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62f106da4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b85eabb3d4bbf"/>
    <x:sheet xmlns:r="http://schemas.openxmlformats.org/officeDocument/2006/relationships" name="Reconciliation" sheetId="2" r:id="R91a30e53cbdf441f"/>
    <x:sheet xmlns:r="http://schemas.openxmlformats.org/officeDocument/2006/relationships" name="Form Baselines" sheetId="3" r:id="R6f0c1fc562a5445f"/>
    <x:sheet xmlns:r="http://schemas.openxmlformats.org/officeDocument/2006/relationships" name="World Matrix" sheetId="4" r:id="R6ac6a5ef1f574371"/>
    <x:sheet xmlns:r="http://schemas.openxmlformats.org/officeDocument/2006/relationships" name="Account Register" sheetId="5" r:id="R4d53d58319364bdf"/>
    <x:sheet xmlns:r="http://schemas.openxmlformats.org/officeDocument/2006/relationships" name="Coefficient Register" sheetId="6" r:id="R07ca6ad0e4e04c04"/>
    <x:sheet xmlns:r="http://schemas.openxmlformats.org/officeDocument/2006/relationships" name="Technology Orders" sheetId="7" r:id="R9357957b0a5d4ae4"/>
    <x:sheet xmlns:r="http://schemas.openxmlformats.org/officeDocument/2006/relationships" name="Article Program" sheetId="8" r:id="R5c5e1f7916af418b"/>
    <x:sheet xmlns:r="http://schemas.openxmlformats.org/officeDocument/2006/relationships" name="Cost Jurisdiction" sheetId="9" r:id="R4565cd86f6f64813"/>
    <x:sheet xmlns:r="http://schemas.openxmlformats.org/officeDocument/2006/relationships" name="Tooling Split" sheetId="10" r:id="R2bfcf164ba4b457d"/>
    <x:sheet xmlns:r="http://schemas.openxmlformats.org/officeDocument/2006/relationships" name="Rendering" sheetId="11" r:id="Ra61a8ed29f824040"/>
    <x:sheet xmlns:r="http://schemas.openxmlformats.org/officeDocument/2006/relationships" name="Nonconversions" sheetId="12" r:id="R366ae1207f64445c"/>
    <x:sheet xmlns:r="http://schemas.openxmlformats.org/officeDocument/2006/relationships" name="Return Record" sheetId="13" r:id="R7c156c981bcf4c6c"/>
    <x:sheet xmlns:r="http://schemas.openxmlformats.org/officeDocument/2006/relationships" name="Inputs" sheetId="14" r:id="R1b3c8ae8de1f481a"/>
    <x:sheet xmlns:r="http://schemas.openxmlformats.org/officeDocument/2006/relationships" name="Mutations" sheetId="15" r:id="Rd24e7b499e754cd0"/>
    <x:sheet xmlns:r="http://schemas.openxmlformats.org/officeDocument/2006/relationships" name="Audit" sheetId="16" r:id="R78c879295cea4a91"/>
    <x:sheet xmlns:r="http://schemas.openxmlformats.org/officeDocument/2006/relationships" name="ReadMe" sheetId="17" r:id="R5c4f594ff7d2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$#,##0"/>
    <x:numFmt numFmtId="202" formatCode="$#,##0.0"/>
    <x:numFmt numFmtId="203" formatCode="$0.00"/>
  </x:numFmts>
  <x:fonts count="6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bottom style="thin">
        <x:color rgb="FF2F75B5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203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4" fillId="2" borderId="0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0135bef0748c0" /><Relationship Type="http://schemas.openxmlformats.org/officeDocument/2006/relationships/theme" Target="/xl/theme/theme1.xml" Id="R6eab456d189442d5" /><Relationship Type="http://schemas.openxmlformats.org/officeDocument/2006/relationships/sharedStrings" Target="/xl/sharedStrings.xml" Id="Rb04b227a23b94459" /><Relationship Type="http://schemas.openxmlformats.org/officeDocument/2006/relationships/worksheet" Target="/xl/worksheets/sheet1.xml" Id="R63bb85eabb3d4bbf" /><Relationship Type="http://schemas.openxmlformats.org/officeDocument/2006/relationships/worksheet" Target="/xl/worksheets/sheet2.xml" Id="R91a30e53cbdf441f" /><Relationship Type="http://schemas.openxmlformats.org/officeDocument/2006/relationships/worksheet" Target="/xl/worksheets/sheet3.xml" Id="R6f0c1fc562a5445f" /><Relationship Type="http://schemas.openxmlformats.org/officeDocument/2006/relationships/worksheet" Target="/xl/worksheets/sheet4.xml" Id="R6ac6a5ef1f574371" /><Relationship Type="http://schemas.openxmlformats.org/officeDocument/2006/relationships/worksheet" Target="/xl/worksheets/sheet5.xml" Id="R4d53d58319364bdf" /><Relationship Type="http://schemas.openxmlformats.org/officeDocument/2006/relationships/worksheet" Target="/xl/worksheets/sheet6.xml" Id="R07ca6ad0e4e04c04" /><Relationship Type="http://schemas.openxmlformats.org/officeDocument/2006/relationships/worksheet" Target="/xl/worksheets/sheet7.xml" Id="R9357957b0a5d4ae4" /><Relationship Type="http://schemas.openxmlformats.org/officeDocument/2006/relationships/worksheet" Target="/xl/worksheets/sheet8.xml" Id="R5c5e1f7916af418b" /><Relationship Type="http://schemas.openxmlformats.org/officeDocument/2006/relationships/worksheet" Target="/xl/worksheets/sheet9.xml" Id="R4565cd86f6f64813" /><Relationship Type="http://schemas.openxmlformats.org/officeDocument/2006/relationships/worksheet" Target="/xl/worksheets/sheet10.xml" Id="R2bfcf164ba4b457d" /><Relationship Type="http://schemas.openxmlformats.org/officeDocument/2006/relationships/worksheet" Target="/xl/worksheets/sheet11.xml" Id="Ra61a8ed29f824040" /><Relationship Type="http://schemas.openxmlformats.org/officeDocument/2006/relationships/worksheet" Target="/xl/worksheets/sheet12.xml" Id="R366ae1207f64445c" /><Relationship Type="http://schemas.openxmlformats.org/officeDocument/2006/relationships/worksheet" Target="/xl/worksheets/sheet13.xml" Id="R7c156c981bcf4c6c" /><Relationship Type="http://schemas.openxmlformats.org/officeDocument/2006/relationships/worksheet" Target="/xl/worksheets/sheet14.xml" Id="R1b3c8ae8de1f481a" /><Relationship Type="http://schemas.openxmlformats.org/officeDocument/2006/relationships/worksheet" Target="/xl/worksheets/sheet15.xml" Id="Rd24e7b499e754cd0" /><Relationship Type="http://schemas.openxmlformats.org/officeDocument/2006/relationships/worksheet" Target="/xl/worksheets/sheet16.xml" Id="R78c879295cea4a91" /><Relationship Type="http://schemas.openxmlformats.org/officeDocument/2006/relationships/worksheet" Target="/xl/worksheets/sheet17.xml" Id="R5c4f594ff7d243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1787351c9e4f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Assigned exposure and reservation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Assigned exposure</c:v>
          </c:tx>
          <c:cat>
            <c:strRef>
              <c:f>'Summary'!$A$25:$A$28</c:f>
              <c:strCache>
                <c:ptCount val="0"/>
              </c:strCache>
            </c:strRef>
          </c:cat>
          <c:val>
            <c:numRef>
              <c:f>'Summary'!$B$25:$B$28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Reservation</c:v>
          </c:tx>
          <c:cat>
            <c:strRef>
              <c:f>'Summary'!$A$25:$A$28</c:f>
              <c:strCache>
                <c:ptCount val="0"/>
              </c:strCache>
            </c:strRef>
          </c:cat>
          <c:val>
            <c:numRef>
              <c:f>'Summary'!$C$25:$C$28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1787351c9e4f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ecisionStackTable" displayName="DecisionStackTable" ref="A6:F10" headerRowCount="1" totalsRowCount="0" totalsRowShown="0">
  <x:tableColumns count="6">
    <x:tableColumn id="1" name="Precedence"/>
    <x:tableColumn id="2" name="Decision"/>
    <x:tableColumn id="3" name="Scope"/>
    <x:tableColumn id="4" name="Controlling result"/>
    <x:tableColumn id="5" name="Valid override"/>
    <x:tableColumn id="6" name="Noncon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FormBaselineTable" displayName="FormBaselineTable" ref="A6:N12" headerRowCount="1" totalsRowCount="0" totalsRowShown="0">
  <x:tableColumns count="14">
    <x:tableColumn id="1" name="Form"/>
    <x:tableColumn id="2" name="Root"/>
    <x:tableColumn id="3" name="Topology action"/>
    <x:tableColumn id="4" name="Physical configuration"/>
    <x:tableColumn id="5" name="Governing account"/>
    <x:tableColumn id="6" name="Minimum surviving rating"/>
    <x:tableColumn id="7" name="Program duration"/>
    <x:tableColumn id="8" name="Technology orders"/>
    <x:tableColumn id="9" name="Builder-line assignments"/>
    <x:tableColumn id="10" name="Full-scale articles"/>
    <x:tableColumn id="11" name="Open coefficients"/>
    <x:tableColumn id="12" name="Accepted observations"/>
    <x:tableColumn id="13" name="Terminal state"/>
    <x:tableColumn id="14" name="Selection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WorldMatrixTable" displayName="WorldMatrixTable" ref="A6:I30" headerRowCount="1" totalsRowCount="0" totalsRowShown="0">
  <x:tableColumns count="9">
    <x:tableColumn id="1" name="World record"/>
    <x:tableColumn id="2" name="Form"/>
    <x:tableColumn id="3" name="World"/>
    <x:tableColumn id="4" name="Condition"/>
    <x:tableColumn id="5" name="Design content"/>
    <x:tableColumn id="6" name="Required coefficient"/>
    <x:tableColumn id="7" name="Accepted observation"/>
    <x:tableColumn id="8" name="State"/>
    <x:tableColumn id="9" name="Maximum pre-evidence 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AccountRegisterTable" displayName="AccountRegisterTable" ref="A6:I60" headerRowCount="1" totalsRowCount="0" totalsRowShown="0">
  <x:tableColumns count="9">
    <x:tableColumn id="1" name="Account record"/>
    <x:tableColumn id="2" name="Form"/>
    <x:tableColumn id="3" name="Account"/>
    <x:tableColumn id="4" name="Controlling decision"/>
    <x:tableColumn id="5" name="Design state"/>
    <x:tableColumn id="6" name="Measured values"/>
    <x:tableColumn id="7" name="Cross-account substitution"/>
    <x:tableColumn id="8" name="Accepted observations"/>
    <x:tableColumn id="9" name="Claim ceil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CoefficientRegisterTable" displayName="CoefficientRegisterTable" ref="A6:I42" headerRowCount="1" totalsRowCount="0" totalsRowShown="0">
  <x:tableColumns count="9">
    <x:tableColumn id="1" name="Coefficient"/>
    <x:tableColumn id="2" name="Form"/>
    <x:tableColumn id="3" name="Symbol"/>
    <x:tableColumn id="4" name="Quantity"/>
    <x:tableColumn id="5" name="Required experiment"/>
    <x:tableColumn id="6" name="Measured"/>
    <x:tableColumn id="7" name="State"/>
    <x:tableColumn id="8" name="Prohibited substitution"/>
    <x:tableColumn id="9" name="Accepted inter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TechnologyOrderTable" displayName="TechnologyOrderTable" ref="A6:H30" headerRowCount="1" totalsRowCount="0" totalsRowShown="0">
  <x:tableColumns count="8">
    <x:tableColumn id="1" name="Order"/>
    <x:tableColumn id="2" name="Form"/>
    <x:tableColumn id="3" name="Technology"/>
    <x:tableColumn id="4" name="Required advance"/>
    <x:tableColumn id="5" name="Builder roots"/>
    <x:tableColumn id="6" name="Articles"/>
    <x:tableColumn id="7" name="Accepted evidence"/>
    <x:tableColumn id="8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ArticleProgramTable" displayName="ArticleProgramTable" ref="A6:M30" headerRowCount="1" totalsRowCount="0" totalsRowShown="0">
  <x:tableColumns count="13">
    <x:tableColumn id="1" name="Order"/>
    <x:tableColumn id="2" name="Form"/>
    <x:tableColumn id="3" name="Builder roots"/>
    <x:tableColumn id="4" name="INT articles"/>
    <x:tableColumn id="5" name="BRK articles"/>
    <x:tableColumn id="6" name="RCN articles"/>
    <x:tableColumn id="7" name="Total articles"/>
    <x:tableColumn id="8" name="Acceptance-bearing"/>
    <x:tableColumn id="9" name="Article spend (USD M)"/>
    <x:tableColumn id="10" name="Tooling (USD M)"/>
    <x:tableColumn id="11" name="Fixtures (USD M)"/>
    <x:tableColumn id="12" name="Operations and evidence (USD M)"/>
    <x:tableColumn id="13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CostJurisdictionTable" displayName="CostJurisdictionTable" ref="A6:F10" headerRowCount="1" totalsRowCount="0" totalsRowShown="0">
  <x:tableColumns count="6">
    <x:tableColumn id="1" name="Jurisdiction"/>
    <x:tableColumn id="2" name="Reservation (USD M)"/>
    <x:tableColumn id="3" name="Assigned exposure (USD M)"/>
    <x:tableColumn id="4" name="Headroom (USD M)"/>
    <x:tableColumn id="5" name="State"/>
    <x:tableColumn id="6" name="Functional bas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ToolingSplitTable" displayName="ToolingSplitTable" ref="A6:H30" headerRowCount="1" totalsRowCount="0" totalsRowShown="0">
  <x:tableColumns count="8">
    <x:tableColumn id="1" name="Order"/>
    <x:tableColumn id="2" name="Form"/>
    <x:tableColumn id="3" name="Total tooling (USD M)"/>
    <x:tableColumn id="4" name="Candidate burden share"/>
    <x:tableColumn id="5" name="Candidate tooling (USD M)"/>
    <x:tableColumn id="6" name="Reconstruction burden share"/>
    <x:tableColumn id="7" name="Reconstruction tooling (USD M)"/>
    <x:tableColumn id="8" name="Allocation basi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RenderingTable" displayName="RenderingTable" ref="A6:F14" headerRowCount="1" totalsRowCount="0" totalsRowShown="0">
  <x:tableColumns count="6">
    <x:tableColumn id="1" name="Class"/>
    <x:tableColumn id="2" name="Artifact"/>
    <x:tableColumn id="3" name="State"/>
    <x:tableColumn id="4" name="Maximum claim"/>
    <x:tableColumn id="5" name="Issue rule"/>
    <x:tableColumn id="6" name="Noncon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erminalNonconversionTable" displayName="TerminalNonconversionTable" ref="A6:D30" headerRowCount="1" totalsRowCount="0" totalsRowShown="0">
  <x:tableColumns count="4">
    <x:tableColumn id="1" name="Rule"/>
    <x:tableColumn id="2" name="Predecessor"/>
    <x:tableColumn id="3" name="Prohibited successor"/>
    <x:tableColumn id="4" name="Reas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ReturnRecordTable" displayName="ReturnRecordTable" ref="A6:E18" headerRowCount="1" totalsRowCount="0" totalsRowShown="0">
  <x:tableColumns count="5">
    <x:tableColumn id="1" name="Record"/>
    <x:tableColumn id="2" name="Test"/>
    <x:tableColumn id="3" name="Calculated"/>
    <x:tableColumn id="4" name="Expected"/>
    <x:tableColumn id="5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InputsControlTable" displayName="InputsControlTable" ref="A6:D27" headerRowCount="1" totalsRowCount="0" totalsRowShown="0">
  <x:tableColumns count="4">
    <x:tableColumn id="1" name="Control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" name="TerminalCostInputsTable" displayName="TerminalCostInputsTable" ref="A32:G56" headerRowCount="1" totalsRowCount="0" totalsRowShown="0">
  <x:tableColumns count="7">
    <x:tableColumn id="1" name="Order"/>
    <x:tableColumn id="2" name="Form"/>
    <x:tableColumn id="3" name="Technology"/>
    <x:tableColumn id="4" name="Unit article"/>
    <x:tableColumn id="5" name="Two tooling cells"/>
    <x:tableColumn id="6" name="Two public fixtures"/>
    <x:tableColumn id="7" name="Operations and ev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utationProtocolTable" displayName="MutationProtocolTable" ref="A6:E30" headerRowCount="1" totalsRowCount="0" totalsRowShown="0">
  <x:tableColumns count="5">
    <x:tableColumn id="1" name="Mutation"/>
    <x:tableColumn id="2" name="Sheet"/>
    <x:tableColumn id="3" name="Cell"/>
    <x:tableColumn id="4" name="Disposable change"/>
    <x:tableColumn id="5" name="Expected resul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erminalAuditTable" displayName="TerminalAuditTable" ref="A6:E56" headerRowCount="1" totalsRowCount="0" totalsRowShown="0">
  <x:tableColumns count="5">
    <x:tableColumn id="1" name="Audit"/>
    <x:tableColumn id="2" name="Test"/>
    <x:tableColumn id="3" name="Calculated"/>
    <x:tableColumn id="4" name="Expected"/>
    <x:tableColumn id="5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b797aed0474c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adc91c9250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7652fee4f7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4812d8ff9544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0a0d5054a4e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3c394d263d40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2321f59e9d4c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6c81f4f1d847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c2993d435445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150f11495d48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11d61111c4448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2884a6fad143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59dc5fb61e648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40af9bba7c1433c" /><Relationship Type="http://schemas.openxmlformats.org/officeDocument/2006/relationships/table" Target="/xl/tables/table14.xml" Id="R8d5853b281f04df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d4b57c3a2de4e5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a34d16434b0474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>
      <x:c r="A2" s="50" t="str">
        <x:v>Cohort-one Engineering Definition Baseline terminal compact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</x:row>
    <x:row r="5">
      <x:c r="A5" s="42" t="str">
        <x:v>Decision</x:v>
      </x:c>
      <x:c r="B5" s="43" t="str">
        <x:v>EDB-TC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</x:row>
    <x:row r="6">
      <x:c r="A6" s="44" t="str">
        <x:v>Verdict</x:v>
      </x:c>
      <x:c r="B6" s="45" t="str">
        <x:v>RETURN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</x:row>
    <x:row r="7">
      <x:c r="A7" s="44" t="str">
        <x:v>Configuration baselines</x:v>
      </x:c>
      <x:c r="B7" s="45" t="n">
        <x:f>COUNTA('Form Baselines'!$A$7:$A$12)</x:f>
        <x:v>6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</x:row>
    <x:row r="8">
      <x:c r="A8" s="44" t="str">
        <x:v>Physical worlds</x:v>
      </x:c>
      <x:c r="B8" s="45" t="n">
        <x:f>COUNTA('World Matrix'!$A$7:$A$30)</x:f>
        <x:v>24</x:v>
      </x:c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</x:row>
    <x:row r="9">
      <x:c r="A9" s="44" t="str">
        <x:v>Account records</x:v>
      </x:c>
      <x:c r="B9" s="45" t="n">
        <x:f>COUNTA('Account Register'!$A$7:$A$60)</x:f>
        <x:v>54</x:v>
      </x:c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</x:row>
    <x:row r="10">
      <x:c r="A10" s="44" t="str">
        <x:v>Technology orders</x:v>
      </x:c>
      <x:c r="B10" s="45" t="n">
        <x:f>COUNTA('Technology Orders'!$A$7:$A$30)</x:f>
        <x:v>24</x:v>
      </x:c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</x:row>
    <x:row r="11">
      <x:c r="A11" s="44" t="str">
        <x:v>Full-scale articles</x:v>
      </x:c>
      <x:c r="B11" s="45" t="n">
        <x:f>SUM('Article Program'!$G$7:$G$30)</x:f>
        <x:v>144</x:v>
      </x:c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</x:row>
    <x:row r="12">
      <x:c r="A12" s="44" t="str">
        <x:v>Acceptance-bearing serials</x:v>
      </x:c>
      <x:c r="B12" s="45" t="n">
        <x:f>SUM('Article Program'!$H$7:$H$30)</x:f>
        <x:v>96</x:v>
      </x:c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</x:row>
    <x:row r="13">
      <x:c r="A13" s="44" t="str">
        <x:v>Open measured coefficients</x:v>
      </x:c>
      <x:c r="B13" s="45" t="n">
        <x:f>COUNTIFS('Coefficient Register'!$G$7:$G$42,"OPEN / UNMEASURED")</x:f>
        <x:v>36</x:v>
      </x:c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>
      <x:c r="A14" s="44" t="str">
        <x:v>Base experimental exposure (USD B)</x:v>
      </x:c>
      <x:c r="B14" s="46" t="n">
        <x:f>SUM('Cost Jurisdiction'!$C$7:$C$10)/1000</x:f>
        <x:v>25.04</x:v>
      </x:c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</x:row>
    <x:row r="15">
      <x:c r="A15" s="44" t="str">
        <x:v>Former candidate mismatch (USD B)</x:v>
      </x:c>
      <x:c r="B15" s="46" t="n">
        <x:f>'Cost Jurisdiction'!$B$17/1000</x:f>
        <x:v>0.39</x:v>
      </x:c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</x:row>
    <x:row r="16">
      <x:c r="A16" s="44" t="str">
        <x:v>Corrected candidate headroom (USD B)</x:v>
      </x:c>
      <x:c r="B16" s="46" t="n">
        <x:f>'Cost Jurisdiction'!$B$20/1000</x:f>
        <x:v>0.8233333333333321</x:v>
      </x:c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</x:row>
    <x:row r="17">
      <x:c r="A17" s="44" t="str">
        <x:v>Cost jurisdictions within reservation</x:v>
      </x:c>
      <x:c r="B17" s="45" t="n">
        <x:f>COUNTIFS('Cost Jurisdiction'!$E$7:$E$10,"WITHIN JURISDICTION")</x:f>
        <x:v>4</x:v>
      </x:c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</x:row>
    <x:row r="18">
      <x:c r="A18" s="44" t="str">
        <x:v>REP-2 plates issued</x:v>
      </x:c>
      <x:c r="B18" s="45" t="n">
        <x:f>Inputs!$B$26</x:f>
        <x:v>0</x:v>
      </x:c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</x:row>
    <x:row r="19">
      <x:c r="A19" s="44" t="str">
        <x:v>Accepted observations</x:v>
      </x:c>
      <x:c r="B19" s="45" t="n">
        <x:f>Inputs!$B$22</x:f>
        <x:v>0</x:v>
      </x:c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</x:row>
    <x:row r="20">
      <x:c r="A20" s="47" t="str">
        <x:v>Downstream authorities</x:v>
      </x:c>
      <x:c r="B20" s="48" t="n">
        <x:f>SUM(Inputs!$B$23:$B$25)+Inputs!$B$27</x:f>
        <x:v>0</x:v>
      </x:c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</x:row>
    <x:row r="24">
      <x:c r="A24" s="49" t="str">
        <x:v>Jurisdiction</x:v>
      </x:c>
      <x:c r="B24" s="49" t="str">
        <x:v>Assigned exposure</x:v>
      </x:c>
      <x:c r="C24" s="49" t="str">
        <x:v>Reservation</x:v>
      </x:c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</x:row>
    <x:row r="25">
      <x:c r="A25" s="15" t="str">
        <x:v>Candidate articles and data</x:v>
      </x:c>
      <x:c r="B25" s="20" t="n">
        <x:f>'Cost Jurisdiction'!C7</x:f>
        <x:v>16376.666666666668</x:v>
      </x:c>
      <x:c r="C25" s="20" t="n">
        <x:f>'Cost Jurisdiction'!B7</x:f>
        <x:v>17200</x:v>
      </x:c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</x:row>
    <x:row r="26">
      <x:c r="A26" s="15" t="str">
        <x:v>Proving stations</x:v>
      </x:c>
      <x:c r="B26" s="20" t="n">
        <x:f>'Cost Jurisdiction'!C8</x:f>
        <x:v>5300</x:v>
      </x:c>
      <x:c r="C26" s="20" t="n">
        <x:f>'Cost Jurisdiction'!B8</x:f>
        <x:v>12900</x:v>
      </x:c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</x:row>
    <x:row r="27">
      <x:c r="A27" s="15" t="str">
        <x:v>Metrology and custody</x:v>
      </x:c>
      <x:c r="B27" s="20" t="n">
        <x:f>'Cost Jurisdiction'!C9</x:f>
        <x:v>2150</x:v>
      </x:c>
      <x:c r="C27" s="20" t="n">
        <x:f>'Cost Jurisdiction'!B9</x:f>
        <x:v>8600</x:v>
      </x:c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</x:row>
    <x:row r="28">
      <x:c r="A28" s="15" t="str">
        <x:v>Replacement and regeneration</x:v>
      </x:c>
      <x:c r="B28" s="20" t="n">
        <x:f>'Cost Jurisdiction'!C10</x:f>
        <x:v>1213.3333333333335</x:v>
      </x:c>
      <x:c r="C28" s="20" t="n">
        <x:f>'Cost Jurisdiction'!B10</x:f>
        <x:v>4300</x:v>
      </x:c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</x:row>
    <x:row r="31">
      <x:c r="A31" s="18" t="str">
        <x:v>Terminal finding</x:v>
      </x:c>
      <x:c r="B31" s="18"/>
      <x:c r="C31" s="18"/>
      <x:c r="D31" s="18"/>
      <x:c r="E31" s="18"/>
      <x:c r="F31" s="18"/>
      <x:c r="G31" s="18"/>
      <x:c r="H31" s="15"/>
      <x:c r="I31" s="15"/>
      <x:c r="J31" s="15"/>
      <x:c r="K31" s="15"/>
      <x:c r="L31" s="15"/>
      <x:c r="M31" s="15"/>
      <x:c r="N31" s="15"/>
      <x:c r="O31" s="15"/>
      <x:c r="P31" s="15"/>
    </x:row>
    <x:row r="32" ht="30" customHeight="1">
      <x:c r="A32" s="18" t="str">
        <x:v>Engineering</x:v>
      </x:c>
      <x:c r="B32" s="18" t="str">
        <x:v>Six build-to-test baselines reconcile configuration, interval, topology and article-program decisions without claiming physical closure.</x:v>
      </x:c>
      <x:c r="C32" s="18"/>
      <x:c r="D32" s="18"/>
      <x:c r="E32" s="18"/>
      <x:c r="F32" s="18"/>
      <x:c r="G32" s="18"/>
      <x:c r="H32" s="15"/>
      <x:c r="I32" s="15"/>
      <x:c r="J32" s="15"/>
      <x:c r="K32" s="15"/>
      <x:c r="L32" s="15"/>
      <x:c r="M32" s="15"/>
      <x:c r="N32" s="15"/>
      <x:c r="O32" s="15"/>
      <x:c r="P32" s="15"/>
    </x:row>
    <x:row r="33" ht="30" customHeight="1">
      <x:c r="A33" s="18" t="str">
        <x:v>Fiscal</x:v>
      </x:c>
      <x:c r="B33" s="18" t="str">
        <x:v>One-third of tooling cost follows the RCN burden into replacement and regeneration. The USD390M category error closes without moving any reservation.</x:v>
      </x:c>
      <x:c r="C33" s="18"/>
      <x:c r="D33" s="18"/>
      <x:c r="E33" s="18"/>
      <x:c r="F33" s="18"/>
      <x:c r="G33" s="18"/>
      <x:c r="H33" s="15"/>
      <x:c r="I33" s="15"/>
      <x:c r="J33" s="15"/>
      <x:c r="K33" s="15"/>
      <x:c r="L33" s="15"/>
      <x:c r="M33" s="15"/>
      <x:c r="N33" s="15"/>
      <x:c r="O33" s="15"/>
      <x:c r="P33" s="15"/>
    </x:row>
    <x:row r="34" ht="30" customHeight="1">
      <x:c r="A34" s="18" t="str">
        <x:v>Rendering</x:v>
      </x:c>
      <x:c r="B34" s="18" t="str">
        <x:v>REP-2 article, fixture and integration-section plates are eligible but unissued. REP-4 remains held for built, serialized and measured articles.</x:v>
      </x:c>
      <x:c r="C34" s="18"/>
      <x:c r="D34" s="18"/>
      <x:c r="E34" s="18"/>
      <x:c r="F34" s="18"/>
      <x:c r="G34" s="18"/>
      <x:c r="H34" s="15"/>
      <x:c r="I34" s="15"/>
      <x:c r="J34" s="15"/>
      <x:c r="K34" s="15"/>
      <x:c r="L34" s="15"/>
      <x:c r="M34" s="15"/>
      <x:c r="N34" s="15"/>
      <x:c r="O34" s="15"/>
      <x:c r="P34" s="15"/>
    </x:row>
    <x:row r="35" ht="30" customHeight="1">
      <x:c r="A35" s="18" t="str">
        <x:v>Authority</x:v>
      </x:c>
      <x:c r="B35" s="18" t="str">
        <x:v>Every accepted observation, MAKE, REP-4, production and selection state remains zero.</x:v>
      </x:c>
      <x:c r="C35" s="18"/>
      <x:c r="D35" s="18"/>
      <x:c r="E35" s="18"/>
      <x:c r="F35" s="18"/>
      <x:c r="G35" s="18"/>
      <x:c r="H35" s="15"/>
      <x:c r="I35" s="15"/>
      <x:c r="J35" s="15"/>
      <x:c r="K35" s="15"/>
      <x:c r="L35" s="15"/>
      <x:c r="M35" s="15"/>
      <x:c r="N35" s="15"/>
      <x:c r="O35" s="15"/>
      <x:c r="P35" s="15"/>
    </x:row>
    <x:row r="36" ht="30" customHeight="1">
      <x:c r="A36" s="18" t="str">
        <x:v>Return</x:v>
      </x:c>
      <x:c r="B36" s="18" t="str">
        <x:v>EDB closes its fifth pass and returns to the registered FR-03 parent with no successor.</x:v>
      </x:c>
      <x:c r="C36" s="18"/>
      <x:c r="D36" s="18"/>
      <x:c r="E36" s="18"/>
      <x:c r="F36" s="18"/>
      <x:c r="G36" s="18"/>
      <x:c r="H36" s="15"/>
      <x:c r="I36" s="15"/>
      <x:c r="J36" s="15"/>
      <x:c r="K36" s="15"/>
      <x:c r="L36" s="15"/>
      <x:c r="M36" s="15"/>
      <x:c r="N36" s="15"/>
      <x:c r="O36" s="15"/>
      <x:c r="P36" s="15"/>
    </x:row>
  </x:sheetData>
  <x:mergeCells>
    <x:mergeCell ref="B31:G31"/>
    <x:mergeCell ref="B32:G32"/>
    <x:mergeCell ref="B33:G33"/>
    <x:mergeCell ref="B34:G34"/>
    <x:mergeCell ref="B35:G35"/>
    <x:mergeCell ref="B36:G36"/>
  </x:mergeCells>
  <x:pageMargins left="0.7" right="0.7" top="0.75" bottom="0.75" header="0.3" footer="0.3"/>
  <x:drawing xmlns:r="http://schemas.openxmlformats.org/officeDocument/2006/relationships" r:id="R99b797aed0474c55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62" hidden="0" customWidth="1"/>
    <x:col min="5" max="5" width="54" hidden="0" customWidth="1"/>
    <x:col min="6" max="6" width="54" hidden="0" customWidth="1"/>
    <x:col min="7" max="7" width="4" hidden="0" customWidth="1"/>
    <x:col min="8" max="8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Four-decision reconciliation and precedence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Precedence</x:v>
      </x:c>
      <x:c r="B6" s="18" t="str">
        <x:v>Decision</x:v>
      </x:c>
      <x:c r="C6" s="18" t="str">
        <x:v>Scope</x:v>
      </x:c>
      <x:c r="D6" s="18" t="str">
        <x:v>Controlling result</x:v>
      </x:c>
      <x:c r="E6" s="18" t="str">
        <x:v>Valid override</x:v>
      </x:c>
      <x:c r="F6" s="18" t="str">
        <x:v>Nonconversion</x:v>
      </x:c>
      <x:c r="G6" s="15"/>
      <x:c r="H6" s="15"/>
    </x:row>
    <x:row r="7">
      <x:c r="A7" s="15" t="n">
        <x:v>1</x:v>
      </x:c>
      <x:c r="B7" s="15" t="str">
        <x:v>EDB-1</x:v>
      </x:c>
      <x:c r="C7" s="18" t="str">
        <x:v>Identity and grammar</x:v>
      </x:c>
      <x:c r="D7" s="18" t="str">
        <x:v>Six sovereign content-addressed configurations; shared meaning only</x:v>
      </x:c>
      <x:c r="E7" s="18" t="str">
        <x:v>Controls identity, units, boundaries, provenance and accounts</x:v>
      </x:c>
      <x:c r="F7" s="18" t="str">
        <x:v>Cannot create measurement or select a form</x:v>
      </x:c>
      <x:c r="G7" s="15"/>
      <x:c r="H7" s="15"/>
    </x:row>
    <x:row r="8">
      <x:c r="A8" s="15" t="n">
        <x:v>2</x:v>
      </x:c>
      <x:c r="B8" s="15" t="str">
        <x:v>NIS-1</x:v>
      </x:c>
      <x:c r="C8" s="18" t="str">
        <x:v>Numerical interval law</x:v>
      </x:c>
      <x:c r="D8" s="18" t="str">
        <x:v>Lower capacity must meet upper requirement; twenty-one uprates</x:v>
      </x:c>
      <x:c r="E8" s="18" t="str">
        <x:v>Overrides one-sided numerical closure within bounded accounts</x:v>
      </x:c>
      <x:c r="F8" s="18" t="str">
        <x:v>Cannot supply a missing coefficient</x:v>
      </x:c>
      <x:c r="G8" s="15"/>
      <x:c r="H8" s="15"/>
    </x:row>
    <x:row r="9">
      <x:c r="A9" s="15" t="n">
        <x:v>3</x:v>
      </x:c>
      <x:c r="B9" s="15" t="str">
        <x:v>PIL-1</x:v>
      </x:c>
      <x:c r="C9" s="18" t="str">
        <x:v>Physical independence</x:v>
      </x:c>
      <x:c r="D9" s="18" t="str">
        <x:v>Three topologies retained and three replaced; common keystones prohibited</x:v>
      </x:c>
      <x:c r="E9" s="18" t="str">
        <x:v>Overrides geometry that defeats causal independence</x:v>
      </x:c>
      <x:c r="F9" s="18" t="str">
        <x:v>Cannot convert specified architecture into observation</x:v>
      </x:c>
      <x:c r="G9" s="15"/>
      <x:c r="H9" s="15"/>
    </x:row>
    <x:row r="10">
      <x:c r="A10" s="15" t="n">
        <x:v>4</x:v>
      </x:c>
      <x:c r="B10" s="15" t="str">
        <x:v>AIP-1</x:v>
      </x:c>
      <x:c r="C10" s="18" t="str">
        <x:v>Experimental realization</x:v>
      </x:c>
      <x:c r="D10" s="18" t="str">
        <x:v>Two builder roots and three nonfungible serials per technology order</x:v>
      </x:c>
      <x:c r="E10" s="18" t="str">
        <x:v>Controls articles, tooling, fixtures, events and cost exposure</x:v>
      </x:c>
      <x:c r="F10" s="18" t="str">
        <x:v>Cannot create evidence, MAKE, production or REP-4</x:v>
      </x:c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8" t="str">
        <x:v>Conflict rule</x:v>
      </x:c>
      <x:c r="B14" s="18"/>
      <x:c r="C14" s="18"/>
      <x:c r="D14" s="18"/>
      <x:c r="E14" s="18"/>
      <x:c r="F14" s="18"/>
      <x:c r="G14" s="15"/>
      <x:c r="H14" s="15"/>
    </x:row>
    <x:row r="15">
      <x:c r="A15" s="18" t="str">
        <x:v>Identity</x:v>
      </x:c>
      <x:c r="B15" s="18" t="str">
        <x:v>Earlier configuration identity survives every scoped override</x:v>
      </x:c>
      <x:c r="C15" s="18"/>
      <x:c r="D15" s="18"/>
      <x:c r="E15" s="18"/>
      <x:c r="F15" s="18"/>
      <x:c r="G15" s="15"/>
      <x:c r="H15" s="15"/>
    </x:row>
    <x:row r="16">
      <x:c r="A16" s="18" t="str">
        <x:v>Numerical</x:v>
      </x:c>
      <x:c r="B16" s="18" t="str">
        <x:v>NIS-1 controls bounded arithmetic; missing values remain missing</x:v>
      </x:c>
      <x:c r="C16" s="18"/>
      <x:c r="D16" s="18"/>
      <x:c r="E16" s="18"/>
      <x:c r="F16" s="18"/>
      <x:c r="G16" s="15"/>
      <x:c r="H16" s="15"/>
    </x:row>
    <x:row r="17">
      <x:c r="A17" s="18" t="str">
        <x:v>Physical</x:v>
      </x:c>
      <x:c r="B17" s="18" t="str">
        <x:v>PIL-1 controls topology when a numerical section shares a keystone</x:v>
      </x:c>
      <x:c r="C17" s="18"/>
      <x:c r="D17" s="18"/>
      <x:c r="E17" s="18"/>
      <x:c r="F17" s="18"/>
      <x:c r="G17" s="15"/>
      <x:c r="H17" s="15"/>
    </x:row>
    <x:row r="18">
      <x:c r="A18" s="18" t="str">
        <x:v>Experimental</x:v>
      </x:c>
      <x:c r="B18" s="18" t="str">
        <x:v>AIP-1 controls how claims are physically separated and tested</x:v>
      </x:c>
      <x:c r="C18" s="18"/>
      <x:c r="D18" s="18"/>
      <x:c r="E18" s="18"/>
      <x:c r="F18" s="18"/>
      <x:c r="G18" s="15"/>
      <x:c r="H18" s="15"/>
    </x:row>
    <x:row r="19">
      <x:c r="A19" s="18"/>
      <x:c r="B19" s="18"/>
      <x:c r="C19" s="18"/>
      <x:c r="D19" s="18"/>
      <x:c r="E19" s="18"/>
      <x:c r="F19" s="18"/>
      <x:c r="G19" s="15"/>
      <x:c r="H19" s="15"/>
    </x:row>
    <x:row r="20">
      <x:c r="A20" s="18"/>
      <x:c r="B20" s="18"/>
      <x:c r="C20" s="18"/>
      <x:c r="D20" s="18"/>
      <x:c r="E20" s="18"/>
      <x:c r="F20" s="18"/>
      <x:c r="G20" s="15"/>
      <x:c r="H20" s="15"/>
    </x:row>
    <x:row r="21">
      <x:c r="A21" s="18" t="str">
        <x:v>Terminal result</x:v>
      </x:c>
      <x:c r="B21" s="18"/>
      <x:c r="C21" s="18"/>
      <x:c r="D21" s="18"/>
      <x:c r="E21" s="18"/>
      <x:c r="F21" s="18"/>
      <x:c r="G21" s="15"/>
      <x:c r="H21" s="15"/>
    </x:row>
    <x:row r="22">
      <x:c r="A22" s="18" t="str">
        <x:v>Baseline state</x:v>
      </x:c>
      <x:c r="B22" s="18" t="str">
        <x:v>BUILD-TO-TEST / UNMEASURED</x:v>
      </x:c>
      <x:c r="C22" s="18"/>
      <x:c r="D22" s="18"/>
      <x:c r="E22" s="18"/>
      <x:c r="F22" s="18"/>
      <x:c r="G22" s="15"/>
      <x:c r="H22" s="15"/>
    </x:row>
    <x:row r="23">
      <x:c r="A23" s="18" t="str">
        <x:v>Parent answer</x:v>
      </x:c>
      <x:c r="B23" s="18" t="str">
        <x:v>Yes: six reconstructable experimental baselines exist; no capability claim exists</x:v>
      </x:c>
      <x:c r="C23" s="18"/>
      <x:c r="D23" s="18"/>
      <x:c r="E23" s="18"/>
      <x:c r="F23" s="18"/>
      <x:c r="G23" s="15"/>
      <x:c r="H23" s="15"/>
    </x:row>
    <x:row r="24">
      <x:c r="A24" s="18" t="str">
        <x:v>Return</x:v>
      </x:c>
      <x:c r="B24" s="18" t="str">
        <x:v>EDB closes and returns to FR-03 with no successor</x:v>
      </x:c>
      <x:c r="C24" s="18"/>
      <x:c r="D24" s="18"/>
      <x:c r="E24" s="18"/>
      <x:c r="F24" s="18"/>
      <x:c r="G24" s="15"/>
      <x:c r="H24" s="15"/>
    </x:row>
  </x:sheetData>
  <x:mergeCells>
    <x:mergeCell ref="B14:F14"/>
    <x:mergeCell ref="B15:F15"/>
    <x:mergeCell ref="B16:F16"/>
    <x:mergeCell ref="B17:F17"/>
    <x:mergeCell ref="B18:F18"/>
    <x:mergeCell ref="B21:F21"/>
    <x:mergeCell ref="B22:F22"/>
    <x:mergeCell ref="B23:F23"/>
    <x:mergeCell ref="B24:F24"/>
  </x:mergeCells>
  <x:pageMargins left="0.7" right="0.7" top="0.75" bottom="0.75" header="0.3" footer="0.3"/>
  <x:tableParts count="1">
    <x:tablePart xmlns:r="http://schemas.openxmlformats.org/officeDocument/2006/relationships" r:id="R07adc91c9250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42" hidden="0" customWidth="1"/>
    <x:col min="5" max="5" width="18" hidden="0" customWidth="1"/>
    <x:col min="6" max="6" width="24" hidden="0" customWidth="1"/>
    <x:col min="7" max="7" width="15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8" hidden="0" customWidth="1"/>
    <x:col min="13" max="13" width="28" hidden="0" customWidth="1"/>
    <x:col min="14" max="14" width="1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50" t="str">
        <x:v>Six reconciled experimental baselines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 ht="34" customHeight="1">
      <x:c r="A6" s="18" t="str">
        <x:v>Form</x:v>
      </x:c>
      <x:c r="B6" s="18" t="str">
        <x:v>Root</x:v>
      </x:c>
      <x:c r="C6" s="18" t="str">
        <x:v>Topology action</x:v>
      </x:c>
      <x:c r="D6" s="18" t="str">
        <x:v>Physical configuration</x:v>
      </x:c>
      <x:c r="E6" s="18" t="str">
        <x:v>Governing account</x:v>
      </x:c>
      <x:c r="F6" s="18" t="str">
        <x:v>Minimum surviving rating</x:v>
      </x:c>
      <x:c r="G6" s="18" t="str">
        <x:v>Program duration</x:v>
      </x:c>
      <x:c r="H6" s="18" t="str">
        <x:v>Technology orders</x:v>
      </x:c>
      <x:c r="I6" s="18" t="str">
        <x:v>Builder-line assignments</x:v>
      </x:c>
      <x:c r="J6" s="18" t="str">
        <x:v>Full-scale articles</x:v>
      </x:c>
      <x:c r="K6" s="18" t="str">
        <x:v>Open coefficients</x:v>
      </x:c>
      <x:c r="L6" s="18" t="str">
        <x:v>Accepted observations</x:v>
      </x:c>
      <x:c r="M6" s="18" t="str">
        <x:v>Terminal state</x:v>
      </x:c>
      <x:c r="N6" s="18" t="str">
        <x:v>Selection state</x:v>
      </x:c>
    </x:row>
    <x:row r="7">
      <x:c r="A7" s="15" t="str">
        <x:v>ET-A-A</x:v>
      </x:c>
      <x:c r="B7" s="15" t="str">
        <x:v>ET-A</x:v>
      </x:c>
      <x:c r="C7" s="15" t="str">
        <x:v>REVISE</x:v>
      </x:c>
      <x:c r="D7" s="18" t="str">
        <x:v>paired sovereign exchange hulls</x:v>
      </x:c>
      <x:c r="E7" s="15" t="str">
        <x:v>Service</x:v>
      </x:c>
      <x:c r="F7" s="15" t="str">
        <x:v>247 t/h</x:v>
      </x:c>
      <x:c r="G7" s="15" t="str">
        <x:v>6 years</x:v>
      </x:c>
      <x:c r="H7" s="15" t="n">
        <x:f>COUNTIFS('Technology Orders'!$B$7:$B$30,A7)</x:f>
        <x:v>4</x:v>
      </x:c>
      <x:c r="I7" s="15" t="n">
        <x:f>H7*Inputs!$B$13</x:f>
        <x:v>8</x:v>
      </x:c>
      <x:c r="J7" s="15" t="n">
        <x:f>H7*Inputs!$B$13*Inputs!$B$14</x:f>
        <x:v>24</x:v>
      </x:c>
      <x:c r="K7" s="15" t="n">
        <x:f>COUNTIFS('Coefficient Register'!$B$7:$B$42,A7,'Coefficient Register'!$G$7:$G$42,"OPEN / UNMEASURED")</x:f>
        <x:v>6</x:v>
      </x:c>
      <x:c r="L7" s="15" t="n">
        <x:f>Inputs!$B$22</x:f>
        <x:v>0</x:v>
      </x:c>
      <x:c r="M7" s="15" t="str">
        <x:v>BUILD-TO-TEST / UNMEASURED</x:v>
      </x:c>
      <x:c r="N7" s="15" t="str">
        <x:v>UNSELECTED</x:v>
      </x:c>
    </x:row>
    <x:row r="8">
      <x:c r="A8" s="15" t="str">
        <x:v>CT-C-B</x:v>
      </x:c>
      <x:c r="B8" s="15" t="str">
        <x:v>CT-C</x:v>
      </x:c>
      <x:c r="C8" s="15" t="str">
        <x:v>RETAIN</x:v>
      </x:c>
      <x:c r="D8" s="18" t="str">
        <x:v>segmented arrested utility belt</x:v>
      </x:c>
      <x:c r="E8" s="15" t="str">
        <x:v>Energy</x:v>
      </x:c>
      <x:c r="F8" s="15" t="str">
        <x:v>7.36 MW</x:v>
      </x:c>
      <x:c r="G8" s="15" t="str">
        <x:v>4.5 years</x:v>
      </x:c>
      <x:c r="H8" s="15" t="n">
        <x:f>COUNTIFS('Technology Orders'!$B$7:$B$30,A8)</x:f>
        <x:v>4</x:v>
      </x:c>
      <x:c r="I8" s="15" t="n">
        <x:f>H8*Inputs!$B$13</x:f>
        <x:v>8</x:v>
      </x:c>
      <x:c r="J8" s="15" t="n">
        <x:f>H8*Inputs!$B$13*Inputs!$B$14</x:f>
        <x:v>24</x:v>
      </x:c>
      <x:c r="K8" s="15" t="n">
        <x:f>COUNTIFS('Coefficient Register'!$B$7:$B$42,A8,'Coefficient Register'!$G$7:$G$42,"OPEN / UNMEASURED")</x:f>
        <x:v>6</x:v>
      </x:c>
      <x:c r="L8" s="15" t="n">
        <x:f>Inputs!$B$22</x:f>
        <x:v>0</x:v>
      </x:c>
      <x:c r="M8" s="15" t="str">
        <x:v>BUILD-TO-TEST / UNMEASURED</x:v>
      </x:c>
      <x:c r="N8" s="15" t="str">
        <x:v>UNSELECTED</x:v>
      </x:c>
    </x:row>
    <x:row r="9">
      <x:c r="A9" s="15" t="str">
        <x:v>HC-A-C</x:v>
      </x:c>
      <x:c r="B9" s="15" t="str">
        <x:v>HC-A</x:v>
      </x:c>
      <x:c r="C9" s="15" t="str">
        <x:v>RETAIN</x:v>
      </x:c>
      <x:c r="D9" s="18" t="str">
        <x:v>mesh-independent rotor sectors</x:v>
      </x:c>
      <x:c r="E9" s="15" t="str">
        <x:v>Service</x:v>
      </x:c>
      <x:c r="F9" s="15" t="str">
        <x:v>27.1 km/day</x:v>
      </x:c>
      <x:c r="G9" s="15" t="str">
        <x:v>5 years</x:v>
      </x:c>
      <x:c r="H9" s="15" t="n">
        <x:f>COUNTIFS('Technology Orders'!$B$7:$B$30,A9)</x:f>
        <x:v>4</x:v>
      </x:c>
      <x:c r="I9" s="15" t="n">
        <x:f>H9*Inputs!$B$13</x:f>
        <x:v>8</x:v>
      </x:c>
      <x:c r="J9" s="15" t="n">
        <x:f>H9*Inputs!$B$13*Inputs!$B$14</x:f>
        <x:v>24</x:v>
      </x:c>
      <x:c r="K9" s="15" t="n">
        <x:f>COUNTIFS('Coefficient Register'!$B$7:$B$42,A9,'Coefficient Register'!$G$7:$G$42,"OPEN / UNMEASURED")</x:f>
        <x:v>6</x:v>
      </x:c>
      <x:c r="L9" s="15" t="n">
        <x:f>Inputs!$B$22</x:f>
        <x:v>0</x:v>
      </x:c>
      <x:c r="M9" s="15" t="str">
        <x:v>BUILD-TO-TEST / UNMEASURED</x:v>
      </x:c>
      <x:c r="N9" s="15" t="str">
        <x:v>UNSELECTED</x:v>
      </x:c>
    </x:row>
    <x:row r="10">
      <x:c r="A10" s="15" t="str">
        <x:v>LF-B-A</x:v>
      </x:c>
      <x:c r="B10" s="15" t="str">
        <x:v>LF-B</x:v>
      </x:c>
      <x:c r="C10" s="15" t="str">
        <x:v>REVISE</x:v>
      </x:c>
      <x:c r="D10" s="18" t="str">
        <x:v>headerless four-island geothermal field</x:v>
      </x:c>
      <x:c r="E10" s="15" t="str">
        <x:v>Mass</x:v>
      </x:c>
      <x:c r="F10" s="15" t="str">
        <x:v>4.08 kt</x:v>
      </x:c>
      <x:c r="G10" s="15" t="str">
        <x:v>8 years</x:v>
      </x:c>
      <x:c r="H10" s="15" t="n">
        <x:f>COUNTIFS('Technology Orders'!$B$7:$B$30,A10)</x:f>
        <x:v>4</x:v>
      </x:c>
      <x:c r="I10" s="15" t="n">
        <x:f>H10*Inputs!$B$13</x:f>
        <x:v>8</x:v>
      </x:c>
      <x:c r="J10" s="15" t="n">
        <x:f>H10*Inputs!$B$13*Inputs!$B$14</x:f>
        <x:v>24</x:v>
      </x:c>
      <x:c r="K10" s="15" t="n">
        <x:f>COUNTIFS('Coefficient Register'!$B$7:$B$42,A10,'Coefficient Register'!$G$7:$G$42,"OPEN / UNMEASURED")</x:f>
        <x:v>6</x:v>
      </x:c>
      <x:c r="L10" s="15" t="n">
        <x:f>Inputs!$B$22</x:f>
        <x:v>0</x:v>
      </x:c>
      <x:c r="M10" s="15" t="str">
        <x:v>BUILD-TO-TEST / UNMEASURED</x:v>
      </x:c>
      <x:c r="N10" s="15" t="str">
        <x:v>UNSELECTED</x:v>
      </x:c>
    </x:row>
    <x:row r="11">
      <x:c r="A11" s="15" t="str">
        <x:v>HU-A-B</x:v>
      </x:c>
      <x:c r="B11" s="15" t="str">
        <x:v>HU-A</x:v>
      </x:c>
      <x:c r="C11" s="15" t="str">
        <x:v>REVISE</x:v>
      </x:c>
      <x:c r="D11" s="18" t="str">
        <x:v>counter-rotating clinical circulation lattice</x:v>
      </x:c>
      <x:c r="E11" s="15" t="str">
        <x:v>Mass</x:v>
      </x:c>
      <x:c r="F11" s="15" t="str">
        <x:v>7.51 kt</x:v>
      </x:c>
      <x:c r="G11" s="15" t="str">
        <x:v>6 years</x:v>
      </x:c>
      <x:c r="H11" s="15" t="n">
        <x:f>COUNTIFS('Technology Orders'!$B$7:$B$30,A11)</x:f>
        <x:v>4</x:v>
      </x:c>
      <x:c r="I11" s="15" t="n">
        <x:f>H11*Inputs!$B$13</x:f>
        <x:v>8</x:v>
      </x:c>
      <x:c r="J11" s="15" t="n">
        <x:f>H11*Inputs!$B$13*Inputs!$B$14</x:f>
        <x:v>24</x:v>
      </x:c>
      <x:c r="K11" s="15" t="n">
        <x:f>COUNTIFS('Coefficient Register'!$B$7:$B$42,A11,'Coefficient Register'!$G$7:$G$42,"OPEN / UNMEASURED")</x:f>
        <x:v>6</x:v>
      </x:c>
      <x:c r="L11" s="15" t="n">
        <x:f>Inputs!$B$22</x:f>
        <x:v>0</x:v>
      </x:c>
      <x:c r="M11" s="15" t="str">
        <x:v>BUILD-TO-TEST / UNMEASURED</x:v>
      </x:c>
      <x:c r="N11" s="15" t="str">
        <x:v>UNSELECTED</x:v>
      </x:c>
    </x:row>
    <x:row r="12">
      <x:c r="A12" s="15" t="str">
        <x:v>RT-B-C</x:v>
      </x:c>
      <x:c r="B12" s="15" t="str">
        <x:v>RT-B</x:v>
      </x:c>
      <x:c r="C12" s="15" t="str">
        <x:v>RETAIN</x:v>
      </x:c>
      <x:c r="D12" s="18" t="str">
        <x:v>ancestry-complete mobile trainlets</x:v>
      </x:c>
      <x:c r="E12" s="15" t="str">
        <x:v>Energy</x:v>
      </x:c>
      <x:c r="F12" s="15" t="str">
        <x:v>27.2 MW</x:v>
      </x:c>
      <x:c r="G12" s="15" t="str">
        <x:v>4.5 years</x:v>
      </x:c>
      <x:c r="H12" s="15" t="n">
        <x:f>COUNTIFS('Technology Orders'!$B$7:$B$30,A12)</x:f>
        <x:v>4</x:v>
      </x:c>
      <x:c r="I12" s="15" t="n">
        <x:f>H12*Inputs!$B$13</x:f>
        <x:v>8</x:v>
      </x:c>
      <x:c r="J12" s="15" t="n">
        <x:f>H12*Inputs!$B$13*Inputs!$B$14</x:f>
        <x:v>24</x:v>
      </x:c>
      <x:c r="K12" s="15" t="n">
        <x:f>COUNTIFS('Coefficient Register'!$B$7:$B$42,A12,'Coefficient Register'!$G$7:$G$42,"OPEN / UNMEASURED")</x:f>
        <x:v>6</x:v>
      </x:c>
      <x:c r="L12" s="15" t="n">
        <x:f>Inputs!$B$22</x:f>
        <x:v>0</x:v>
      </x:c>
      <x:c r="M12" s="15" t="str">
        <x:v>BUILD-TO-TEST / UNMEASURED</x:v>
      </x:c>
      <x:c r="N12" s="15" t="str">
        <x:v>UNSELECTED</x:v>
      </x:c>
    </x:row>
  </x:sheetData>
  <x:conditionalFormatting sqref="M7:M12">
    <x:cfRule type="containsText" dxfId="0" priority="1" operator="containsText" text="HOLD"/>
    <x:cfRule type="containsText" dxfId="1" priority="2" operator="containsText" text="FAIL"/>
    <x:cfRule type="containsText" dxfId="2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a27652fee4f74e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24" hidden="0" customWidth="1"/>
    <x:col min="5" max="5" width="46" hidden="0" customWidth="1"/>
    <x:col min="6" max="6" width="30" hidden="0" customWidth="1"/>
    <x:col min="7" max="7" width="20" hidden="0" customWidth="1"/>
    <x:col min="8" max="8" width="32" hidden="0" customWidth="1"/>
    <x:col min="9" max="9" width="2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</x:row>
    <x:row r="2">
      <x:c r="A2" s="50" t="str">
        <x:v>Twenty-four configuration-bound physical worlds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34" customHeight="1">
      <x:c r="A6" s="18" t="str">
        <x:v>World record</x:v>
      </x:c>
      <x:c r="B6" s="18" t="str">
        <x:v>Form</x:v>
      </x:c>
      <x:c r="C6" s="18" t="str">
        <x:v>World</x:v>
      </x:c>
      <x:c r="D6" s="18" t="str">
        <x:v>Condition</x:v>
      </x:c>
      <x:c r="E6" s="18" t="str">
        <x:v>Design content</x:v>
      </x:c>
      <x:c r="F6" s="18" t="str">
        <x:v>Required coefficient</x:v>
      </x:c>
      <x:c r="G6" s="18" t="str">
        <x:v>Accepted observation</x:v>
      </x:c>
      <x:c r="H6" s="18" t="str">
        <x:v>State</x:v>
      </x:c>
      <x:c r="I6" s="18" t="str">
        <x:v>Maximum pre-evidence class</x:v>
      </x:c>
    </x:row>
    <x:row r="7">
      <x:c r="A7" s="15" t="str">
        <x:v>ET-A-A-NOM</x:v>
      </x:c>
      <x:c r="B7" s="15" t="str">
        <x:v>ET-A-A</x:v>
      </x:c>
      <x:c r="C7" s="15" t="str">
        <x:v>NOM</x:v>
      </x:c>
      <x:c r="D7" s="18" t="str">
        <x:v>Nominal</x:v>
      </x:c>
      <x:c r="E7" s="18" t="str">
        <x:v>four bounded nonthermal accounts</x:v>
      </x:c>
      <x:c r="F7" s="18" t="str">
        <x:v>capacity and requirement calibration</x:v>
      </x:c>
      <x:c r="G7" s="15" t="n">
        <x:v>0</x:v>
      </x:c>
      <x:c r="H7" s="15" t="str">
        <x:v>DEFINED / UNOBSERVED</x:v>
      </x:c>
      <x:c r="I7" s="15" t="str">
        <x:v>REP-2</x:v>
      </x:c>
    </x:row>
    <x:row r="8">
      <x:c r="A8" s="15" t="str">
        <x:v>ET-A-A-N-1</x:v>
      </x:c>
      <x:c r="B8" s="15" t="str">
        <x:v>ET-A-A</x:v>
      </x:c>
      <x:c r="C8" s="15" t="str">
        <x:v>N-1</x:v>
      </x:c>
      <x:c r="D8" s="18" t="str">
        <x:v>Largest-cell loss</x:v>
      </x:c>
      <x:c r="E8" s="18" t="str">
        <x:v>twenty-one uprates across cohort</x:v>
      </x:c>
      <x:c r="F8" s="18" t="str">
        <x:v>loss propagation fraction</x:v>
      </x:c>
      <x:c r="G8" s="15" t="n">
        <x:v>0</x:v>
      </x:c>
      <x:c r="H8" s="15" t="str">
        <x:v>UPRATE ORDERED / UNOBSERVED</x:v>
      </x:c>
      <x:c r="I8" s="15" t="str">
        <x:v>REP-2</x:v>
      </x:c>
    </x:row>
    <x:row r="9">
      <x:c r="A9" s="15" t="str">
        <x:v>ET-A-A-FATAL</x:v>
      </x:c>
      <x:c r="B9" s="15" t="str">
        <x:v>ET-A-A</x:v>
      </x:c>
      <x:c r="C9" s="15" t="str">
        <x:v>FATAL</x:v>
      </x:c>
      <x:c r="D9" s="18" t="str">
        <x:v>Fatal keystone</x:v>
      </x:c>
      <x:c r="E9" s="18" t="str">
        <x:v>named cut, survivor and propagation barrier</x:v>
      </x:c>
      <x:c r="F9" s="18" t="str">
        <x:v>fatal-keystone retention</x:v>
      </x:c>
      <x:c r="G9" s="15" t="n">
        <x:v>0</x:v>
      </x:c>
      <x:c r="H9" s="15" t="str">
        <x:v>CUT SPECIFIED / UNOBSERVED</x:v>
      </x:c>
      <x:c r="I9" s="15" t="str">
        <x:v>REP-2</x:v>
      </x:c>
    </x:row>
    <x:row r="10">
      <x:c r="A10" s="15" t="str">
        <x:v>ET-A-A-COLD</x:v>
      </x:c>
      <x:c r="B10" s="15" t="str">
        <x:v>ET-A-A</x:v>
      </x:c>
      <x:c r="C10" s="15" t="str">
        <x:v>COLD</x:v>
      </x:c>
      <x:c r="D10" s="18" t="str">
        <x:v>Cold reconstruction</x:v>
      </x:c>
      <x:c r="E10" s="18" t="str">
        <x:v>public rebuild route and 168-hour ceiling</x:v>
      </x:c>
      <x:c r="F10" s="18" t="str">
        <x:v>cold-start retention</x:v>
      </x:c>
      <x:c r="G10" s="15" t="n">
        <x:v>0</x:v>
      </x:c>
      <x:c r="H10" s="15" t="str">
        <x:v>PATH SPECIFIED / UNOBSERVED</x:v>
      </x:c>
      <x:c r="I10" s="15" t="str">
        <x:v>REP-2</x:v>
      </x:c>
    </x:row>
    <x:row r="11">
      <x:c r="A11" s="15" t="str">
        <x:v>CT-C-B-NOM</x:v>
      </x:c>
      <x:c r="B11" s="15" t="str">
        <x:v>CT-C-B</x:v>
      </x:c>
      <x:c r="C11" s="15" t="str">
        <x:v>NOM</x:v>
      </x:c>
      <x:c r="D11" s="18" t="str">
        <x:v>Nominal</x:v>
      </x:c>
      <x:c r="E11" s="18" t="str">
        <x:v>four bounded nonthermal accounts</x:v>
      </x:c>
      <x:c r="F11" s="18" t="str">
        <x:v>capacity and requirement calibration</x:v>
      </x:c>
      <x:c r="G11" s="15" t="n">
        <x:v>0</x:v>
      </x:c>
      <x:c r="H11" s="15" t="str">
        <x:v>DEFINED / UNOBSERVED</x:v>
      </x:c>
      <x:c r="I11" s="15" t="str">
        <x:v>REP-2</x:v>
      </x:c>
    </x:row>
    <x:row r="12">
      <x:c r="A12" s="15" t="str">
        <x:v>CT-C-B-N-1</x:v>
      </x:c>
      <x:c r="B12" s="15" t="str">
        <x:v>CT-C-B</x:v>
      </x:c>
      <x:c r="C12" s="15" t="str">
        <x:v>N-1</x:v>
      </x:c>
      <x:c r="D12" s="18" t="str">
        <x:v>Largest-cell loss</x:v>
      </x:c>
      <x:c r="E12" s="18" t="str">
        <x:v>twenty-one uprates across cohort</x:v>
      </x:c>
      <x:c r="F12" s="18" t="str">
        <x:v>loss propagation fraction</x:v>
      </x:c>
      <x:c r="G12" s="15" t="n">
        <x:v>0</x:v>
      </x:c>
      <x:c r="H12" s="15" t="str">
        <x:v>UPRATE ORDERED / UNOBSERVED</x:v>
      </x:c>
      <x:c r="I12" s="15" t="str">
        <x:v>REP-2</x:v>
      </x:c>
    </x:row>
    <x:row r="13">
      <x:c r="A13" s="15" t="str">
        <x:v>CT-C-B-FATAL</x:v>
      </x:c>
      <x:c r="B13" s="15" t="str">
        <x:v>CT-C-B</x:v>
      </x:c>
      <x:c r="C13" s="15" t="str">
        <x:v>FATAL</x:v>
      </x:c>
      <x:c r="D13" s="18" t="str">
        <x:v>Fatal keystone</x:v>
      </x:c>
      <x:c r="E13" s="18" t="str">
        <x:v>named cut, survivor and propagation barrier</x:v>
      </x:c>
      <x:c r="F13" s="18" t="str">
        <x:v>fatal-keystone retention</x:v>
      </x:c>
      <x:c r="G13" s="15" t="n">
        <x:v>0</x:v>
      </x:c>
      <x:c r="H13" s="15" t="str">
        <x:v>CUT SPECIFIED / UNOBSERVED</x:v>
      </x:c>
      <x:c r="I13" s="15" t="str">
        <x:v>REP-2</x:v>
      </x:c>
    </x:row>
    <x:row r="14">
      <x:c r="A14" s="15" t="str">
        <x:v>CT-C-B-COLD</x:v>
      </x:c>
      <x:c r="B14" s="15" t="str">
        <x:v>CT-C-B</x:v>
      </x:c>
      <x:c r="C14" s="15" t="str">
        <x:v>COLD</x:v>
      </x:c>
      <x:c r="D14" s="18" t="str">
        <x:v>Cold reconstruction</x:v>
      </x:c>
      <x:c r="E14" s="18" t="str">
        <x:v>public rebuild route and 168-hour ceiling</x:v>
      </x:c>
      <x:c r="F14" s="18" t="str">
        <x:v>cold-start retention</x:v>
      </x:c>
      <x:c r="G14" s="15" t="n">
        <x:v>0</x:v>
      </x:c>
      <x:c r="H14" s="15" t="str">
        <x:v>PATH SPECIFIED / UNOBSERVED</x:v>
      </x:c>
      <x:c r="I14" s="15" t="str">
        <x:v>REP-2</x:v>
      </x:c>
    </x:row>
    <x:row r="15">
      <x:c r="A15" s="15" t="str">
        <x:v>HC-A-C-NOM</x:v>
      </x:c>
      <x:c r="B15" s="15" t="str">
        <x:v>HC-A-C</x:v>
      </x:c>
      <x:c r="C15" s="15" t="str">
        <x:v>NOM</x:v>
      </x:c>
      <x:c r="D15" s="18" t="str">
        <x:v>Nominal</x:v>
      </x:c>
      <x:c r="E15" s="18" t="str">
        <x:v>four bounded nonthermal accounts</x:v>
      </x:c>
      <x:c r="F15" s="18" t="str">
        <x:v>capacity and requirement calibration</x:v>
      </x:c>
      <x:c r="G15" s="15" t="n">
        <x:v>0</x:v>
      </x:c>
      <x:c r="H15" s="15" t="str">
        <x:v>DEFINED / UNOBSERVED</x:v>
      </x:c>
      <x:c r="I15" s="15" t="str">
        <x:v>REP-2</x:v>
      </x:c>
    </x:row>
    <x:row r="16">
      <x:c r="A16" s="15" t="str">
        <x:v>HC-A-C-N-1</x:v>
      </x:c>
      <x:c r="B16" s="15" t="str">
        <x:v>HC-A-C</x:v>
      </x:c>
      <x:c r="C16" s="15" t="str">
        <x:v>N-1</x:v>
      </x:c>
      <x:c r="D16" s="18" t="str">
        <x:v>Largest-cell loss</x:v>
      </x:c>
      <x:c r="E16" s="18" t="str">
        <x:v>twenty-one uprates across cohort</x:v>
      </x:c>
      <x:c r="F16" s="18" t="str">
        <x:v>loss propagation fraction</x:v>
      </x:c>
      <x:c r="G16" s="15" t="n">
        <x:v>0</x:v>
      </x:c>
      <x:c r="H16" s="15" t="str">
        <x:v>UPRATE ORDERED / UNOBSERVED</x:v>
      </x:c>
      <x:c r="I16" s="15" t="str">
        <x:v>REP-2</x:v>
      </x:c>
    </x:row>
    <x:row r="17">
      <x:c r="A17" s="15" t="str">
        <x:v>HC-A-C-FATAL</x:v>
      </x:c>
      <x:c r="B17" s="15" t="str">
        <x:v>HC-A-C</x:v>
      </x:c>
      <x:c r="C17" s="15" t="str">
        <x:v>FATAL</x:v>
      </x:c>
      <x:c r="D17" s="18" t="str">
        <x:v>Fatal keystone</x:v>
      </x:c>
      <x:c r="E17" s="18" t="str">
        <x:v>named cut, survivor and propagation barrier</x:v>
      </x:c>
      <x:c r="F17" s="18" t="str">
        <x:v>fatal-keystone retention</x:v>
      </x:c>
      <x:c r="G17" s="15" t="n">
        <x:v>0</x:v>
      </x:c>
      <x:c r="H17" s="15" t="str">
        <x:v>CUT SPECIFIED / UNOBSERVED</x:v>
      </x:c>
      <x:c r="I17" s="15" t="str">
        <x:v>REP-2</x:v>
      </x:c>
    </x:row>
    <x:row r="18">
      <x:c r="A18" s="15" t="str">
        <x:v>HC-A-C-COLD</x:v>
      </x:c>
      <x:c r="B18" s="15" t="str">
        <x:v>HC-A-C</x:v>
      </x:c>
      <x:c r="C18" s="15" t="str">
        <x:v>COLD</x:v>
      </x:c>
      <x:c r="D18" s="18" t="str">
        <x:v>Cold reconstruction</x:v>
      </x:c>
      <x:c r="E18" s="18" t="str">
        <x:v>public rebuild route and 168-hour ceiling</x:v>
      </x:c>
      <x:c r="F18" s="18" t="str">
        <x:v>cold-start retention</x:v>
      </x:c>
      <x:c r="G18" s="15" t="n">
        <x:v>0</x:v>
      </x:c>
      <x:c r="H18" s="15" t="str">
        <x:v>PATH SPECIFIED / UNOBSERVED</x:v>
      </x:c>
      <x:c r="I18" s="15" t="str">
        <x:v>REP-2</x:v>
      </x:c>
    </x:row>
    <x:row r="19">
      <x:c r="A19" s="15" t="str">
        <x:v>LF-B-A-NOM</x:v>
      </x:c>
      <x:c r="B19" s="15" t="str">
        <x:v>LF-B-A</x:v>
      </x:c>
      <x:c r="C19" s="15" t="str">
        <x:v>NOM</x:v>
      </x:c>
      <x:c r="D19" s="18" t="str">
        <x:v>Nominal</x:v>
      </x:c>
      <x:c r="E19" s="18" t="str">
        <x:v>four bounded nonthermal accounts</x:v>
      </x:c>
      <x:c r="F19" s="18" t="str">
        <x:v>capacity and requirement calibration</x:v>
      </x:c>
      <x:c r="G19" s="15" t="n">
        <x:v>0</x:v>
      </x:c>
      <x:c r="H19" s="15" t="str">
        <x:v>DEFINED / UNOBSERVED</x:v>
      </x:c>
      <x:c r="I19" s="15" t="str">
        <x:v>REP-2</x:v>
      </x:c>
    </x:row>
    <x:row r="20">
      <x:c r="A20" s="15" t="str">
        <x:v>LF-B-A-N-1</x:v>
      </x:c>
      <x:c r="B20" s="15" t="str">
        <x:v>LF-B-A</x:v>
      </x:c>
      <x:c r="C20" s="15" t="str">
        <x:v>N-1</x:v>
      </x:c>
      <x:c r="D20" s="18" t="str">
        <x:v>Largest-cell loss</x:v>
      </x:c>
      <x:c r="E20" s="18" t="str">
        <x:v>twenty-one uprates across cohort</x:v>
      </x:c>
      <x:c r="F20" s="18" t="str">
        <x:v>loss propagation fraction</x:v>
      </x:c>
      <x:c r="G20" s="15" t="n">
        <x:v>0</x:v>
      </x:c>
      <x:c r="H20" s="15" t="str">
        <x:v>UPRATE ORDERED / UNOBSERVED</x:v>
      </x:c>
      <x:c r="I20" s="15" t="str">
        <x:v>REP-2</x:v>
      </x:c>
    </x:row>
    <x:row r="21">
      <x:c r="A21" s="15" t="str">
        <x:v>LF-B-A-FATAL</x:v>
      </x:c>
      <x:c r="B21" s="15" t="str">
        <x:v>LF-B-A</x:v>
      </x:c>
      <x:c r="C21" s="15" t="str">
        <x:v>FATAL</x:v>
      </x:c>
      <x:c r="D21" s="18" t="str">
        <x:v>Fatal keystone</x:v>
      </x:c>
      <x:c r="E21" s="18" t="str">
        <x:v>named cut, survivor and propagation barrier</x:v>
      </x:c>
      <x:c r="F21" s="18" t="str">
        <x:v>fatal-keystone retention</x:v>
      </x:c>
      <x:c r="G21" s="15" t="n">
        <x:v>0</x:v>
      </x:c>
      <x:c r="H21" s="15" t="str">
        <x:v>CUT SPECIFIED / UNOBSERVED</x:v>
      </x:c>
      <x:c r="I21" s="15" t="str">
        <x:v>REP-2</x:v>
      </x:c>
    </x:row>
    <x:row r="22">
      <x:c r="A22" s="15" t="str">
        <x:v>LF-B-A-COLD</x:v>
      </x:c>
      <x:c r="B22" s="15" t="str">
        <x:v>LF-B-A</x:v>
      </x:c>
      <x:c r="C22" s="15" t="str">
        <x:v>COLD</x:v>
      </x:c>
      <x:c r="D22" s="18" t="str">
        <x:v>Cold reconstruction</x:v>
      </x:c>
      <x:c r="E22" s="18" t="str">
        <x:v>public rebuild route and 168-hour ceiling</x:v>
      </x:c>
      <x:c r="F22" s="18" t="str">
        <x:v>cold-start retention</x:v>
      </x:c>
      <x:c r="G22" s="15" t="n">
        <x:v>0</x:v>
      </x:c>
      <x:c r="H22" s="15" t="str">
        <x:v>PATH SPECIFIED / UNOBSERVED</x:v>
      </x:c>
      <x:c r="I22" s="15" t="str">
        <x:v>REP-2</x:v>
      </x:c>
    </x:row>
    <x:row r="23">
      <x:c r="A23" s="15" t="str">
        <x:v>HU-A-B-NOM</x:v>
      </x:c>
      <x:c r="B23" s="15" t="str">
        <x:v>HU-A-B</x:v>
      </x:c>
      <x:c r="C23" s="15" t="str">
        <x:v>NOM</x:v>
      </x:c>
      <x:c r="D23" s="18" t="str">
        <x:v>Nominal</x:v>
      </x:c>
      <x:c r="E23" s="18" t="str">
        <x:v>four bounded nonthermal accounts</x:v>
      </x:c>
      <x:c r="F23" s="18" t="str">
        <x:v>capacity and requirement calibration</x:v>
      </x:c>
      <x:c r="G23" s="15" t="n">
        <x:v>0</x:v>
      </x:c>
      <x:c r="H23" s="15" t="str">
        <x:v>DEFINED / UNOBSERVED</x:v>
      </x:c>
      <x:c r="I23" s="15" t="str">
        <x:v>REP-2</x:v>
      </x:c>
    </x:row>
    <x:row r="24">
      <x:c r="A24" s="15" t="str">
        <x:v>HU-A-B-N-1</x:v>
      </x:c>
      <x:c r="B24" s="15" t="str">
        <x:v>HU-A-B</x:v>
      </x:c>
      <x:c r="C24" s="15" t="str">
        <x:v>N-1</x:v>
      </x:c>
      <x:c r="D24" s="18" t="str">
        <x:v>Largest-cell loss</x:v>
      </x:c>
      <x:c r="E24" s="18" t="str">
        <x:v>twenty-one uprates across cohort</x:v>
      </x:c>
      <x:c r="F24" s="18" t="str">
        <x:v>loss propagation fraction</x:v>
      </x:c>
      <x:c r="G24" s="15" t="n">
        <x:v>0</x:v>
      </x:c>
      <x:c r="H24" s="15" t="str">
        <x:v>UPRATE ORDERED / UNOBSERVED</x:v>
      </x:c>
      <x:c r="I24" s="15" t="str">
        <x:v>REP-2</x:v>
      </x:c>
    </x:row>
    <x:row r="25">
      <x:c r="A25" s="15" t="str">
        <x:v>HU-A-B-FATAL</x:v>
      </x:c>
      <x:c r="B25" s="15" t="str">
        <x:v>HU-A-B</x:v>
      </x:c>
      <x:c r="C25" s="15" t="str">
        <x:v>FATAL</x:v>
      </x:c>
      <x:c r="D25" s="18" t="str">
        <x:v>Fatal keystone</x:v>
      </x:c>
      <x:c r="E25" s="18" t="str">
        <x:v>named cut, survivor and propagation barrier</x:v>
      </x:c>
      <x:c r="F25" s="18" t="str">
        <x:v>fatal-keystone retention</x:v>
      </x:c>
      <x:c r="G25" s="15" t="n">
        <x:v>0</x:v>
      </x:c>
      <x:c r="H25" s="15" t="str">
        <x:v>CUT SPECIFIED / UNOBSERVED</x:v>
      </x:c>
      <x:c r="I25" s="15" t="str">
        <x:v>REP-2</x:v>
      </x:c>
    </x:row>
    <x:row r="26">
      <x:c r="A26" s="15" t="str">
        <x:v>HU-A-B-COLD</x:v>
      </x:c>
      <x:c r="B26" s="15" t="str">
        <x:v>HU-A-B</x:v>
      </x:c>
      <x:c r="C26" s="15" t="str">
        <x:v>COLD</x:v>
      </x:c>
      <x:c r="D26" s="18" t="str">
        <x:v>Cold reconstruction</x:v>
      </x:c>
      <x:c r="E26" s="18" t="str">
        <x:v>public rebuild route and 168-hour ceiling</x:v>
      </x:c>
      <x:c r="F26" s="18" t="str">
        <x:v>cold-start retention</x:v>
      </x:c>
      <x:c r="G26" s="15" t="n">
        <x:v>0</x:v>
      </x:c>
      <x:c r="H26" s="15" t="str">
        <x:v>PATH SPECIFIED / UNOBSERVED</x:v>
      </x:c>
      <x:c r="I26" s="15" t="str">
        <x:v>REP-2</x:v>
      </x:c>
    </x:row>
    <x:row r="27">
      <x:c r="A27" s="15" t="str">
        <x:v>RT-B-C-NOM</x:v>
      </x:c>
      <x:c r="B27" s="15" t="str">
        <x:v>RT-B-C</x:v>
      </x:c>
      <x:c r="C27" s="15" t="str">
        <x:v>NOM</x:v>
      </x:c>
      <x:c r="D27" s="18" t="str">
        <x:v>Nominal</x:v>
      </x:c>
      <x:c r="E27" s="18" t="str">
        <x:v>four bounded nonthermal accounts</x:v>
      </x:c>
      <x:c r="F27" s="18" t="str">
        <x:v>capacity and requirement calibration</x:v>
      </x:c>
      <x:c r="G27" s="15" t="n">
        <x:v>0</x:v>
      </x:c>
      <x:c r="H27" s="15" t="str">
        <x:v>DEFINED / UNOBSERVED</x:v>
      </x:c>
      <x:c r="I27" s="15" t="str">
        <x:v>REP-2</x:v>
      </x:c>
    </x:row>
    <x:row r="28">
      <x:c r="A28" s="15" t="str">
        <x:v>RT-B-C-N-1</x:v>
      </x:c>
      <x:c r="B28" s="15" t="str">
        <x:v>RT-B-C</x:v>
      </x:c>
      <x:c r="C28" s="15" t="str">
        <x:v>N-1</x:v>
      </x:c>
      <x:c r="D28" s="18" t="str">
        <x:v>Largest-cell loss</x:v>
      </x:c>
      <x:c r="E28" s="18" t="str">
        <x:v>twenty-one uprates across cohort</x:v>
      </x:c>
      <x:c r="F28" s="18" t="str">
        <x:v>loss propagation fraction</x:v>
      </x:c>
      <x:c r="G28" s="15" t="n">
        <x:v>0</x:v>
      </x:c>
      <x:c r="H28" s="15" t="str">
        <x:v>UPRATE ORDERED / UNOBSERVED</x:v>
      </x:c>
      <x:c r="I28" s="15" t="str">
        <x:v>REP-2</x:v>
      </x:c>
    </x:row>
    <x:row r="29">
      <x:c r="A29" s="15" t="str">
        <x:v>RT-B-C-FATAL</x:v>
      </x:c>
      <x:c r="B29" s="15" t="str">
        <x:v>RT-B-C</x:v>
      </x:c>
      <x:c r="C29" s="15" t="str">
        <x:v>FATAL</x:v>
      </x:c>
      <x:c r="D29" s="18" t="str">
        <x:v>Fatal keystone</x:v>
      </x:c>
      <x:c r="E29" s="18" t="str">
        <x:v>named cut, survivor and propagation barrier</x:v>
      </x:c>
      <x:c r="F29" s="18" t="str">
        <x:v>fatal-keystone retention</x:v>
      </x:c>
      <x:c r="G29" s="15" t="n">
        <x:v>0</x:v>
      </x:c>
      <x:c r="H29" s="15" t="str">
        <x:v>CUT SPECIFIED / UNOBSERVED</x:v>
      </x:c>
      <x:c r="I29" s="15" t="str">
        <x:v>REP-2</x:v>
      </x:c>
    </x:row>
    <x:row r="30">
      <x:c r="A30" s="15" t="str">
        <x:v>RT-B-C-COLD</x:v>
      </x:c>
      <x:c r="B30" s="15" t="str">
        <x:v>RT-B-C</x:v>
      </x:c>
      <x:c r="C30" s="15" t="str">
        <x:v>COLD</x:v>
      </x:c>
      <x:c r="D30" s="18" t="str">
        <x:v>Cold reconstruction</x:v>
      </x:c>
      <x:c r="E30" s="18" t="str">
        <x:v>public rebuild route and 168-hour ceiling</x:v>
      </x:c>
      <x:c r="F30" s="18" t="str">
        <x:v>cold-start retention</x:v>
      </x:c>
      <x:c r="G30" s="15" t="n">
        <x:v>0</x:v>
      </x:c>
      <x:c r="H30" s="15" t="str">
        <x:v>PATH SPECIFIED / UNOBSERVED</x:v>
      </x:c>
      <x:c r="I30" s="15" t="str">
        <x:v>REP-2</x:v>
      </x:c>
    </x:row>
  </x:sheetData>
  <x:conditionalFormatting sqref="H7:H30">
    <x:cfRule type="containsText" dxfId="3" priority="1" operator="containsText" text="HOLD"/>
    <x:cfRule type="containsText" dxfId="4" priority="2" operator="containsText" text="FAIL"/>
    <x:cfRule type="containsText" dxfId="5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d44812d8ff9544f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20" hidden="0" customWidth="1"/>
    <x:col min="4" max="4" width="20" hidden="0" customWidth="1"/>
    <x:col min="5" max="5" width="34" hidden="0" customWidth="1"/>
    <x:col min="6" max="6" width="18" hidden="0" customWidth="1"/>
    <x:col min="7" max="7" width="24" hidden="0" customWidth="1"/>
    <x:col min="8" max="8" width="20" hidden="0" customWidth="1"/>
    <x:col min="9" max="9" width="2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</x:row>
    <x:row r="2">
      <x:c r="A2" s="50" t="str">
        <x:v>Fifty-four noncompensatory account records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34" customHeight="1">
      <x:c r="A6" s="18" t="str">
        <x:v>Account record</x:v>
      </x:c>
      <x:c r="B6" s="18" t="str">
        <x:v>Form</x:v>
      </x:c>
      <x:c r="C6" s="18" t="str">
        <x:v>Account</x:v>
      </x:c>
      <x:c r="D6" s="18" t="str">
        <x:v>Controlling decision</x:v>
      </x:c>
      <x:c r="E6" s="18" t="str">
        <x:v>Design state</x:v>
      </x:c>
      <x:c r="F6" s="18" t="str">
        <x:v>Measured values</x:v>
      </x:c>
      <x:c r="G6" s="18" t="str">
        <x:v>Cross-account substitution</x:v>
      </x:c>
      <x:c r="H6" s="18" t="str">
        <x:v>Accepted observations</x:v>
      </x:c>
      <x:c r="I6" s="18" t="str">
        <x:v>Claim ceiling</x:v>
      </x:c>
    </x:row>
    <x:row r="7">
      <x:c r="A7" s="15" t="str">
        <x:v>ET-A-A-SERVICE</x:v>
      </x:c>
      <x:c r="B7" s="15" t="str">
        <x:v>ET-A-A</x:v>
      </x:c>
      <x:c r="C7" s="15" t="str">
        <x:v>Service</x:v>
      </x:c>
      <x:c r="D7" s="15" t="str">
        <x:v>NIS-1</x:v>
      </x:c>
      <x:c r="E7" s="18" t="str">
        <x:v>UPRATE / COEFFICIENT OPEN</x:v>
      </x:c>
      <x:c r="F7" s="15" t="n">
        <x:v>0</x:v>
      </x:c>
      <x:c r="G7" s="15" t="str">
        <x:v>NO</x:v>
      </x:c>
      <x:c r="H7" s="15" t="n">
        <x:v>0</x:v>
      </x:c>
      <x:c r="I7" s="15" t="str">
        <x:v>BUILD-TO-TEST ONLY</x:v>
      </x:c>
    </x:row>
    <x:row r="8">
      <x:c r="A8" s="15" t="str">
        <x:v>ET-A-A-MASS</x:v>
      </x:c>
      <x:c r="B8" s="15" t="str">
        <x:v>ET-A-A</x:v>
      </x:c>
      <x:c r="C8" s="15" t="str">
        <x:v>Mass</x:v>
      </x:c>
      <x:c r="D8" s="15" t="str">
        <x:v>NIS-1</x:v>
      </x:c>
      <x:c r="E8" s="18" t="str">
        <x:v>RETAIN / COEFFICIENT OPEN</x:v>
      </x:c>
      <x:c r="F8" s="15" t="n">
        <x:v>0</x:v>
      </x:c>
      <x:c r="G8" s="15" t="str">
        <x:v>NO</x:v>
      </x:c>
      <x:c r="H8" s="15" t="n">
        <x:v>0</x:v>
      </x:c>
      <x:c r="I8" s="15" t="str">
        <x:v>BUILD-TO-TEST ONLY</x:v>
      </x:c>
    </x:row>
    <x:row r="9">
      <x:c r="A9" s="15" t="str">
        <x:v>ET-A-A-ENERGY</x:v>
      </x:c>
      <x:c r="B9" s="15" t="str">
        <x:v>ET-A-A</x:v>
      </x:c>
      <x:c r="C9" s="15" t="str">
        <x:v>Energy</x:v>
      </x:c>
      <x:c r="D9" s="15" t="str">
        <x:v>NIS-1</x:v>
      </x:c>
      <x:c r="E9" s="18" t="str">
        <x:v>UPRATE / COEFFICIENT OPEN</x:v>
      </x:c>
      <x:c r="F9" s="15" t="n">
        <x:v>0</x:v>
      </x:c>
      <x:c r="G9" s="15" t="str">
        <x:v>NO</x:v>
      </x:c>
      <x:c r="H9" s="15" t="n">
        <x:v>0</x:v>
      </x:c>
      <x:c r="I9" s="15" t="str">
        <x:v>BUILD-TO-TEST ONLY</x:v>
      </x:c>
    </x:row>
    <x:row r="10">
      <x:c r="A10" s="15" t="str">
        <x:v>ET-A-A-FLOW</x:v>
      </x:c>
      <x:c r="B10" s="15" t="str">
        <x:v>ET-A-A</x:v>
      </x:c>
      <x:c r="C10" s="15" t="str">
        <x:v>Flow</x:v>
      </x:c>
      <x:c r="D10" s="15" t="str">
        <x:v>NIS-1</x:v>
      </x:c>
      <x:c r="E10" s="18" t="str">
        <x:v>UPRATE / COEFFICIENT OPEN</x:v>
      </x:c>
      <x:c r="F10" s="15" t="n">
        <x:v>0</x:v>
      </x:c>
      <x:c r="G10" s="15" t="str">
        <x:v>NO</x:v>
      </x:c>
      <x:c r="H10" s="15" t="n">
        <x:v>0</x:v>
      </x:c>
      <x:c r="I10" s="15" t="str">
        <x:v>BUILD-TO-TEST ONLY</x:v>
      </x:c>
    </x:row>
    <x:row r="11">
      <x:c r="A11" s="15" t="str">
        <x:v>ET-A-A-THERMAL</x:v>
      </x:c>
      <x:c r="B11" s="15" t="str">
        <x:v>ET-A-A</x:v>
      </x:c>
      <x:c r="C11" s="15" t="str">
        <x:v>Thermal</x:v>
      </x:c>
      <x:c r="D11" s="15" t="str">
        <x:v>NIS-1</x:v>
      </x:c>
      <x:c r="E11" s="18" t="str">
        <x:v>THERMAL COEFFICIENT OPEN</x:v>
      </x:c>
      <x:c r="F11" s="15" t="n">
        <x:v>0</x:v>
      </x:c>
      <x:c r="G11" s="15" t="str">
        <x:v>NO</x:v>
      </x:c>
      <x:c r="H11" s="15" t="n">
        <x:v>0</x:v>
      </x:c>
      <x:c r="I11" s="15" t="str">
        <x:v>BUILD-TO-TEST ONLY</x:v>
      </x:c>
    </x:row>
    <x:row r="12">
      <x:c r="A12" s="15" t="str">
        <x:v>ET-A-A-GEOMETRY</x:v>
      </x:c>
      <x:c r="B12" s="15" t="str">
        <x:v>ET-A-A</x:v>
      </x:c>
      <x:c r="C12" s="15" t="str">
        <x:v>Geometry</x:v>
      </x:c>
      <x:c r="D12" s="15" t="str">
        <x:v>PIL-1</x:v>
      </x:c>
      <x:c r="E12" s="18" t="str">
        <x:v>REVISE TOPOLOGY / UNOBSERVED</x:v>
      </x:c>
      <x:c r="F12" s="15" t="n">
        <x:v>0</x:v>
      </x:c>
      <x:c r="G12" s="15" t="str">
        <x:v>NO</x:v>
      </x:c>
      <x:c r="H12" s="15" t="n">
        <x:v>0</x:v>
      </x:c>
      <x:c r="I12" s="15" t="str">
        <x:v>BUILD-TO-TEST ONLY</x:v>
      </x:c>
    </x:row>
    <x:row r="13">
      <x:c r="A13" s="15" t="str">
        <x:v>ET-A-A-CIVIL-RIGHTS</x:v>
      </x:c>
      <x:c r="B13" s="15" t="str">
        <x:v>ET-A-A</x:v>
      </x:c>
      <x:c r="C13" s="15" t="str">
        <x:v>Civil rights</x:v>
      </x:c>
      <x:c r="D13" s="15" t="str">
        <x:v>PIL-1</x:v>
      </x:c>
      <x:c r="E13" s="18" t="str">
        <x:v>SPECIFIED / UNOBSERVED</x:v>
      </x:c>
      <x:c r="F13" s="15" t="n">
        <x:v>0</x:v>
      </x:c>
      <x:c r="G13" s="15" t="str">
        <x:v>NO</x:v>
      </x:c>
      <x:c r="H13" s="15" t="n">
        <x:v>0</x:v>
      </x:c>
      <x:c r="I13" s="15" t="str">
        <x:v>BUILD-TO-TEST ONLY</x:v>
      </x:c>
    </x:row>
    <x:row r="14">
      <x:c r="A14" s="15" t="str">
        <x:v>ET-A-A-RESIDUAL-CUSTODY</x:v>
      </x:c>
      <x:c r="B14" s="15" t="str">
        <x:v>ET-A-A</x:v>
      </x:c>
      <x:c r="C14" s="15" t="str">
        <x:v>Residual custody</x:v>
      </x:c>
      <x:c r="D14" s="15" t="str">
        <x:v>PIL-1</x:v>
      </x:c>
      <x:c r="E14" s="18" t="str">
        <x:v>SPECIFIED / UNOBSERVED</x:v>
      </x:c>
      <x:c r="F14" s="15" t="n">
        <x:v>0</x:v>
      </x:c>
      <x:c r="G14" s="15" t="str">
        <x:v>NO</x:v>
      </x:c>
      <x:c r="H14" s="15" t="n">
        <x:v>0</x:v>
      </x:c>
      <x:c r="I14" s="15" t="str">
        <x:v>BUILD-TO-TEST ONLY</x:v>
      </x:c>
    </x:row>
    <x:row r="15">
      <x:c r="A15" s="15" t="str">
        <x:v>ET-A-A-COLD-RECONSTRUCTION</x:v>
      </x:c>
      <x:c r="B15" s="15" t="str">
        <x:v>ET-A-A</x:v>
      </x:c>
      <x:c r="C15" s="15" t="str">
        <x:v>Cold reconstruction</x:v>
      </x:c>
      <x:c r="D15" s="15" t="str">
        <x:v>PIL-1</x:v>
      </x:c>
      <x:c r="E15" s="18" t="str">
        <x:v>SPECIFIED / UNOBSERVED</x:v>
      </x:c>
      <x:c r="F15" s="15" t="n">
        <x:v>0</x:v>
      </x:c>
      <x:c r="G15" s="15" t="str">
        <x:v>NO</x:v>
      </x:c>
      <x:c r="H15" s="15" t="n">
        <x:v>0</x:v>
      </x:c>
      <x:c r="I15" s="15" t="str">
        <x:v>BUILD-TO-TEST ONLY</x:v>
      </x:c>
    </x:row>
    <x:row r="16">
      <x:c r="A16" s="15" t="str">
        <x:v>CT-C-B-SERVICE</x:v>
      </x:c>
      <x:c r="B16" s="15" t="str">
        <x:v>CT-C-B</x:v>
      </x:c>
      <x:c r="C16" s="15" t="str">
        <x:v>Service</x:v>
      </x:c>
      <x:c r="D16" s="15" t="str">
        <x:v>NIS-1</x:v>
      </x:c>
      <x:c r="E16" s="18" t="str">
        <x:v>RETAIN / COEFFICIENT OPEN</x:v>
      </x:c>
      <x:c r="F16" s="15" t="n">
        <x:v>0</x:v>
      </x:c>
      <x:c r="G16" s="15" t="str">
        <x:v>NO</x:v>
      </x:c>
      <x:c r="H16" s="15" t="n">
        <x:v>0</x:v>
      </x:c>
      <x:c r="I16" s="15" t="str">
        <x:v>BUILD-TO-TEST ONLY</x:v>
      </x:c>
    </x:row>
    <x:row r="17">
      <x:c r="A17" s="15" t="str">
        <x:v>CT-C-B-MASS</x:v>
      </x:c>
      <x:c r="B17" s="15" t="str">
        <x:v>CT-C-B</x:v>
      </x:c>
      <x:c r="C17" s="15" t="str">
        <x:v>Mass</x:v>
      </x:c>
      <x:c r="D17" s="15" t="str">
        <x:v>NIS-1</x:v>
      </x:c>
      <x:c r="E17" s="18" t="str">
        <x:v>UPRATE / COEFFICIENT OPEN</x:v>
      </x:c>
      <x:c r="F17" s="15" t="n">
        <x:v>0</x:v>
      </x:c>
      <x:c r="G17" s="15" t="str">
        <x:v>NO</x:v>
      </x:c>
      <x:c r="H17" s="15" t="n">
        <x:v>0</x:v>
      </x:c>
      <x:c r="I17" s="15" t="str">
        <x:v>BUILD-TO-TEST ONLY</x:v>
      </x:c>
    </x:row>
    <x:row r="18">
      <x:c r="A18" s="15" t="str">
        <x:v>CT-C-B-ENERGY</x:v>
      </x:c>
      <x:c r="B18" s="15" t="str">
        <x:v>CT-C-B</x:v>
      </x:c>
      <x:c r="C18" s="15" t="str">
        <x:v>Energy</x:v>
      </x:c>
      <x:c r="D18" s="15" t="str">
        <x:v>NIS-1</x:v>
      </x:c>
      <x:c r="E18" s="18" t="str">
        <x:v>UPRATE / COEFFICIENT OPEN</x:v>
      </x:c>
      <x:c r="F18" s="15" t="n">
        <x:v>0</x:v>
      </x:c>
      <x:c r="G18" s="15" t="str">
        <x:v>NO</x:v>
      </x:c>
      <x:c r="H18" s="15" t="n">
        <x:v>0</x:v>
      </x:c>
      <x:c r="I18" s="15" t="str">
        <x:v>BUILD-TO-TEST ONLY</x:v>
      </x:c>
    </x:row>
    <x:row r="19">
      <x:c r="A19" s="15" t="str">
        <x:v>CT-C-B-FLOW</x:v>
      </x:c>
      <x:c r="B19" s="15" t="str">
        <x:v>CT-C-B</x:v>
      </x:c>
      <x:c r="C19" s="15" t="str">
        <x:v>Flow</x:v>
      </x:c>
      <x:c r="D19" s="15" t="str">
        <x:v>NIS-1</x:v>
      </x:c>
      <x:c r="E19" s="18" t="str">
        <x:v>UPRATE / COEFFICIENT OPEN</x:v>
      </x:c>
      <x:c r="F19" s="15" t="n">
        <x:v>0</x:v>
      </x:c>
      <x:c r="G19" s="15" t="str">
        <x:v>NO</x:v>
      </x:c>
      <x:c r="H19" s="15" t="n">
        <x:v>0</x:v>
      </x:c>
      <x:c r="I19" s="15" t="str">
        <x:v>BUILD-TO-TEST ONLY</x:v>
      </x:c>
    </x:row>
    <x:row r="20">
      <x:c r="A20" s="15" t="str">
        <x:v>CT-C-B-THERMAL</x:v>
      </x:c>
      <x:c r="B20" s="15" t="str">
        <x:v>CT-C-B</x:v>
      </x:c>
      <x:c r="C20" s="15" t="str">
        <x:v>Thermal</x:v>
      </x:c>
      <x:c r="D20" s="15" t="str">
        <x:v>NIS-1</x:v>
      </x:c>
      <x:c r="E20" s="18" t="str">
        <x:v>THERMAL COEFFICIENT OPEN</x:v>
      </x:c>
      <x:c r="F20" s="15" t="n">
        <x:v>0</x:v>
      </x:c>
      <x:c r="G20" s="15" t="str">
        <x:v>NO</x:v>
      </x:c>
      <x:c r="H20" s="15" t="n">
        <x:v>0</x:v>
      </x:c>
      <x:c r="I20" s="15" t="str">
        <x:v>BUILD-TO-TEST ONLY</x:v>
      </x:c>
    </x:row>
    <x:row r="21">
      <x:c r="A21" s="15" t="str">
        <x:v>CT-C-B-GEOMETRY</x:v>
      </x:c>
      <x:c r="B21" s="15" t="str">
        <x:v>CT-C-B</x:v>
      </x:c>
      <x:c r="C21" s="15" t="str">
        <x:v>Geometry</x:v>
      </x:c>
      <x:c r="D21" s="15" t="str">
        <x:v>PIL-1</x:v>
      </x:c>
      <x:c r="E21" s="18" t="str">
        <x:v>RETAIN TOPOLOGY / UNOBSERVED</x:v>
      </x:c>
      <x:c r="F21" s="15" t="n">
        <x:v>0</x:v>
      </x:c>
      <x:c r="G21" s="15" t="str">
        <x:v>NO</x:v>
      </x:c>
      <x:c r="H21" s="15" t="n">
        <x:v>0</x:v>
      </x:c>
      <x:c r="I21" s="15" t="str">
        <x:v>BUILD-TO-TEST ONLY</x:v>
      </x:c>
    </x:row>
    <x:row r="22">
      <x:c r="A22" s="15" t="str">
        <x:v>CT-C-B-CIVIL-RIGHTS</x:v>
      </x:c>
      <x:c r="B22" s="15" t="str">
        <x:v>CT-C-B</x:v>
      </x:c>
      <x:c r="C22" s="15" t="str">
        <x:v>Civil rights</x:v>
      </x:c>
      <x:c r="D22" s="15" t="str">
        <x:v>PIL-1</x:v>
      </x:c>
      <x:c r="E22" s="18" t="str">
        <x:v>SPECIFIED / UNOBSERVED</x:v>
      </x:c>
      <x:c r="F22" s="15" t="n">
        <x:v>0</x:v>
      </x:c>
      <x:c r="G22" s="15" t="str">
        <x:v>NO</x:v>
      </x:c>
      <x:c r="H22" s="15" t="n">
        <x:v>0</x:v>
      </x:c>
      <x:c r="I22" s="15" t="str">
        <x:v>BUILD-TO-TEST ONLY</x:v>
      </x:c>
    </x:row>
    <x:row r="23">
      <x:c r="A23" s="15" t="str">
        <x:v>CT-C-B-RESIDUAL-CUSTODY</x:v>
      </x:c>
      <x:c r="B23" s="15" t="str">
        <x:v>CT-C-B</x:v>
      </x:c>
      <x:c r="C23" s="15" t="str">
        <x:v>Residual custody</x:v>
      </x:c>
      <x:c r="D23" s="15" t="str">
        <x:v>PIL-1</x:v>
      </x:c>
      <x:c r="E23" s="18" t="str">
        <x:v>SPECIFIED / UNOBSERVED</x:v>
      </x:c>
      <x:c r="F23" s="15" t="n">
        <x:v>0</x:v>
      </x:c>
      <x:c r="G23" s="15" t="str">
        <x:v>NO</x:v>
      </x:c>
      <x:c r="H23" s="15" t="n">
        <x:v>0</x:v>
      </x:c>
      <x:c r="I23" s="15" t="str">
        <x:v>BUILD-TO-TEST ONLY</x:v>
      </x:c>
    </x:row>
    <x:row r="24">
      <x:c r="A24" s="15" t="str">
        <x:v>CT-C-B-COLD-RECONSTRUCTION</x:v>
      </x:c>
      <x:c r="B24" s="15" t="str">
        <x:v>CT-C-B</x:v>
      </x:c>
      <x:c r="C24" s="15" t="str">
        <x:v>Cold reconstruction</x:v>
      </x:c>
      <x:c r="D24" s="15" t="str">
        <x:v>PIL-1</x:v>
      </x:c>
      <x:c r="E24" s="18" t="str">
        <x:v>SPECIFIED / UNOBSERVED</x:v>
      </x:c>
      <x:c r="F24" s="15" t="n">
        <x:v>0</x:v>
      </x:c>
      <x:c r="G24" s="15" t="str">
        <x:v>NO</x:v>
      </x:c>
      <x:c r="H24" s="15" t="n">
        <x:v>0</x:v>
      </x:c>
      <x:c r="I24" s="15" t="str">
        <x:v>BUILD-TO-TEST ONLY</x:v>
      </x:c>
    </x:row>
    <x:row r="25">
      <x:c r="A25" s="15" t="str">
        <x:v>HC-A-C-SERVICE</x:v>
      </x:c>
      <x:c r="B25" s="15" t="str">
        <x:v>HC-A-C</x:v>
      </x:c>
      <x:c r="C25" s="15" t="str">
        <x:v>Service</x:v>
      </x:c>
      <x:c r="D25" s="15" t="str">
        <x:v>NIS-1</x:v>
      </x:c>
      <x:c r="E25" s="18" t="str">
        <x:v>UPRATE / COEFFICIENT OPEN</x:v>
      </x:c>
      <x:c r="F25" s="15" t="n">
        <x:v>0</x:v>
      </x:c>
      <x:c r="G25" s="15" t="str">
        <x:v>NO</x:v>
      </x:c>
      <x:c r="H25" s="15" t="n">
        <x:v>0</x:v>
      </x:c>
      <x:c r="I25" s="15" t="str">
        <x:v>BUILD-TO-TEST ONLY</x:v>
      </x:c>
    </x:row>
    <x:row r="26">
      <x:c r="A26" s="15" t="str">
        <x:v>HC-A-C-MASS</x:v>
      </x:c>
      <x:c r="B26" s="15" t="str">
        <x:v>HC-A-C</x:v>
      </x:c>
      <x:c r="C26" s="15" t="str">
        <x:v>Mass</x:v>
      </x:c>
      <x:c r="D26" s="15" t="str">
        <x:v>NIS-1</x:v>
      </x:c>
      <x:c r="E26" s="18" t="str">
        <x:v>UPRATE / COEFFICIENT OPEN</x:v>
      </x:c>
      <x:c r="F26" s="15" t="n">
        <x:v>0</x:v>
      </x:c>
      <x:c r="G26" s="15" t="str">
        <x:v>NO</x:v>
      </x:c>
      <x:c r="H26" s="15" t="n">
        <x:v>0</x:v>
      </x:c>
      <x:c r="I26" s="15" t="str">
        <x:v>BUILD-TO-TEST ONLY</x:v>
      </x:c>
    </x:row>
    <x:row r="27">
      <x:c r="A27" s="15" t="str">
        <x:v>HC-A-C-ENERGY</x:v>
      </x:c>
      <x:c r="B27" s="15" t="str">
        <x:v>HC-A-C</x:v>
      </x:c>
      <x:c r="C27" s="15" t="str">
        <x:v>Energy</x:v>
      </x:c>
      <x:c r="D27" s="15" t="str">
        <x:v>NIS-1</x:v>
      </x:c>
      <x:c r="E27" s="18" t="str">
        <x:v>UPRATE / COEFFICIENT OPEN</x:v>
      </x:c>
      <x:c r="F27" s="15" t="n">
        <x:v>0</x:v>
      </x:c>
      <x:c r="G27" s="15" t="str">
        <x:v>NO</x:v>
      </x:c>
      <x:c r="H27" s="15" t="n">
        <x:v>0</x:v>
      </x:c>
      <x:c r="I27" s="15" t="str">
        <x:v>BUILD-TO-TEST ONLY</x:v>
      </x:c>
    </x:row>
    <x:row r="28">
      <x:c r="A28" s="15" t="str">
        <x:v>HC-A-C-FLOW</x:v>
      </x:c>
      <x:c r="B28" s="15" t="str">
        <x:v>HC-A-C</x:v>
      </x:c>
      <x:c r="C28" s="15" t="str">
        <x:v>Flow</x:v>
      </x:c>
      <x:c r="D28" s="15" t="str">
        <x:v>NIS-1</x:v>
      </x:c>
      <x:c r="E28" s="18" t="str">
        <x:v>UPRATE / COEFFICIENT OPEN</x:v>
      </x:c>
      <x:c r="F28" s="15" t="n">
        <x:v>0</x:v>
      </x:c>
      <x:c r="G28" s="15" t="str">
        <x:v>NO</x:v>
      </x:c>
      <x:c r="H28" s="15" t="n">
        <x:v>0</x:v>
      </x:c>
      <x:c r="I28" s="15" t="str">
        <x:v>BUILD-TO-TEST ONLY</x:v>
      </x:c>
    </x:row>
    <x:row r="29">
      <x:c r="A29" s="15" t="str">
        <x:v>HC-A-C-THERMAL</x:v>
      </x:c>
      <x:c r="B29" s="15" t="str">
        <x:v>HC-A-C</x:v>
      </x:c>
      <x:c r="C29" s="15" t="str">
        <x:v>Thermal</x:v>
      </x:c>
      <x:c r="D29" s="15" t="str">
        <x:v>NIS-1</x:v>
      </x:c>
      <x:c r="E29" s="18" t="str">
        <x:v>THERMAL COEFFICIENT OPEN</x:v>
      </x:c>
      <x:c r="F29" s="15" t="n">
        <x:v>0</x:v>
      </x:c>
      <x:c r="G29" s="15" t="str">
        <x:v>NO</x:v>
      </x:c>
      <x:c r="H29" s="15" t="n">
        <x:v>0</x:v>
      </x:c>
      <x:c r="I29" s="15" t="str">
        <x:v>BUILD-TO-TEST ONLY</x:v>
      </x:c>
    </x:row>
    <x:row r="30">
      <x:c r="A30" s="15" t="str">
        <x:v>HC-A-C-GEOMETRY</x:v>
      </x:c>
      <x:c r="B30" s="15" t="str">
        <x:v>HC-A-C</x:v>
      </x:c>
      <x:c r="C30" s="15" t="str">
        <x:v>Geometry</x:v>
      </x:c>
      <x:c r="D30" s="15" t="str">
        <x:v>PIL-1</x:v>
      </x:c>
      <x:c r="E30" s="18" t="str">
        <x:v>RETAIN TOPOLOGY / UNOBSERVED</x:v>
      </x:c>
      <x:c r="F30" s="15" t="n">
        <x:v>0</x:v>
      </x:c>
      <x:c r="G30" s="15" t="str">
        <x:v>NO</x:v>
      </x:c>
      <x:c r="H30" s="15" t="n">
        <x:v>0</x:v>
      </x:c>
      <x:c r="I30" s="15" t="str">
        <x:v>BUILD-TO-TEST ONLY</x:v>
      </x:c>
    </x:row>
    <x:row r="31">
      <x:c r="A31" s="15" t="str">
        <x:v>HC-A-C-CIVIL-RIGHTS</x:v>
      </x:c>
      <x:c r="B31" s="15" t="str">
        <x:v>HC-A-C</x:v>
      </x:c>
      <x:c r="C31" s="15" t="str">
        <x:v>Civil rights</x:v>
      </x:c>
      <x:c r="D31" s="15" t="str">
        <x:v>PIL-1</x:v>
      </x:c>
      <x:c r="E31" s="18" t="str">
        <x:v>SPECIFIED / UNOBSERVED</x:v>
      </x:c>
      <x:c r="F31" s="15" t="n">
        <x:v>0</x:v>
      </x:c>
      <x:c r="G31" s="15" t="str">
        <x:v>NO</x:v>
      </x:c>
      <x:c r="H31" s="15" t="n">
        <x:v>0</x:v>
      </x:c>
      <x:c r="I31" s="15" t="str">
        <x:v>BUILD-TO-TEST ONLY</x:v>
      </x:c>
    </x:row>
    <x:row r="32">
      <x:c r="A32" s="15" t="str">
        <x:v>HC-A-C-RESIDUAL-CUSTODY</x:v>
      </x:c>
      <x:c r="B32" s="15" t="str">
        <x:v>HC-A-C</x:v>
      </x:c>
      <x:c r="C32" s="15" t="str">
        <x:v>Residual custody</x:v>
      </x:c>
      <x:c r="D32" s="15" t="str">
        <x:v>PIL-1</x:v>
      </x:c>
      <x:c r="E32" s="18" t="str">
        <x:v>SPECIFIED / UNOBSERVED</x:v>
      </x:c>
      <x:c r="F32" s="15" t="n">
        <x:v>0</x:v>
      </x:c>
      <x:c r="G32" s="15" t="str">
        <x:v>NO</x:v>
      </x:c>
      <x:c r="H32" s="15" t="n">
        <x:v>0</x:v>
      </x:c>
      <x:c r="I32" s="15" t="str">
        <x:v>BUILD-TO-TEST ONLY</x:v>
      </x:c>
    </x:row>
    <x:row r="33">
      <x:c r="A33" s="15" t="str">
        <x:v>HC-A-C-COLD-RECONSTRUCTION</x:v>
      </x:c>
      <x:c r="B33" s="15" t="str">
        <x:v>HC-A-C</x:v>
      </x:c>
      <x:c r="C33" s="15" t="str">
        <x:v>Cold reconstruction</x:v>
      </x:c>
      <x:c r="D33" s="15" t="str">
        <x:v>PIL-1</x:v>
      </x:c>
      <x:c r="E33" s="18" t="str">
        <x:v>SPECIFIED / UNOBSERVED</x:v>
      </x:c>
      <x:c r="F33" s="15" t="n">
        <x:v>0</x:v>
      </x:c>
      <x:c r="G33" s="15" t="str">
        <x:v>NO</x:v>
      </x:c>
      <x:c r="H33" s="15" t="n">
        <x:v>0</x:v>
      </x:c>
      <x:c r="I33" s="15" t="str">
        <x:v>BUILD-TO-TEST ONLY</x:v>
      </x:c>
    </x:row>
    <x:row r="34">
      <x:c r="A34" s="15" t="str">
        <x:v>LF-B-A-SERVICE</x:v>
      </x:c>
      <x:c r="B34" s="15" t="str">
        <x:v>LF-B-A</x:v>
      </x:c>
      <x:c r="C34" s="15" t="str">
        <x:v>Service</x:v>
      </x:c>
      <x:c r="D34" s="15" t="str">
        <x:v>NIS-1</x:v>
      </x:c>
      <x:c r="E34" s="18" t="str">
        <x:v>UPRATE / COEFFICIENT OPEN</x:v>
      </x:c>
      <x:c r="F34" s="15" t="n">
        <x:v>0</x:v>
      </x:c>
      <x:c r="G34" s="15" t="str">
        <x:v>NO</x:v>
      </x:c>
      <x:c r="H34" s="15" t="n">
        <x:v>0</x:v>
      </x:c>
      <x:c r="I34" s="15" t="str">
        <x:v>BUILD-TO-TEST ONLY</x:v>
      </x:c>
    </x:row>
    <x:row r="35">
      <x:c r="A35" s="15" t="str">
        <x:v>LF-B-A-MASS</x:v>
      </x:c>
      <x:c r="B35" s="15" t="str">
        <x:v>LF-B-A</x:v>
      </x:c>
      <x:c r="C35" s="15" t="str">
        <x:v>Mass</x:v>
      </x:c>
      <x:c r="D35" s="15" t="str">
        <x:v>NIS-1</x:v>
      </x:c>
      <x:c r="E35" s="18" t="str">
        <x:v>UPRATE / COEFFICIENT OPEN</x:v>
      </x:c>
      <x:c r="F35" s="15" t="n">
        <x:v>0</x:v>
      </x:c>
      <x:c r="G35" s="15" t="str">
        <x:v>NO</x:v>
      </x:c>
      <x:c r="H35" s="15" t="n">
        <x:v>0</x:v>
      </x:c>
      <x:c r="I35" s="15" t="str">
        <x:v>BUILD-TO-TEST ONLY</x:v>
      </x:c>
    </x:row>
    <x:row r="36">
      <x:c r="A36" s="15" t="str">
        <x:v>LF-B-A-ENERGY</x:v>
      </x:c>
      <x:c r="B36" s="15" t="str">
        <x:v>LF-B-A</x:v>
      </x:c>
      <x:c r="C36" s="15" t="str">
        <x:v>Energy</x:v>
      </x:c>
      <x:c r="D36" s="15" t="str">
        <x:v>NIS-1</x:v>
      </x:c>
      <x:c r="E36" s="18" t="str">
        <x:v>UPRATE / COEFFICIENT OPEN</x:v>
      </x:c>
      <x:c r="F36" s="15" t="n">
        <x:v>0</x:v>
      </x:c>
      <x:c r="G36" s="15" t="str">
        <x:v>NO</x:v>
      </x:c>
      <x:c r="H36" s="15" t="n">
        <x:v>0</x:v>
      </x:c>
      <x:c r="I36" s="15" t="str">
        <x:v>BUILD-TO-TEST ONLY</x:v>
      </x:c>
    </x:row>
    <x:row r="37">
      <x:c r="A37" s="15" t="str">
        <x:v>LF-B-A-FLOW</x:v>
      </x:c>
      <x:c r="B37" s="15" t="str">
        <x:v>LF-B-A</x:v>
      </x:c>
      <x:c r="C37" s="15" t="str">
        <x:v>Flow</x:v>
      </x:c>
      <x:c r="D37" s="15" t="str">
        <x:v>NIS-1</x:v>
      </x:c>
      <x:c r="E37" s="18" t="str">
        <x:v>UPRATE / COEFFICIENT OPEN</x:v>
      </x:c>
      <x:c r="F37" s="15" t="n">
        <x:v>0</x:v>
      </x:c>
      <x:c r="G37" s="15" t="str">
        <x:v>NO</x:v>
      </x:c>
      <x:c r="H37" s="15" t="n">
        <x:v>0</x:v>
      </x:c>
      <x:c r="I37" s="15" t="str">
        <x:v>BUILD-TO-TEST ONLY</x:v>
      </x:c>
    </x:row>
    <x:row r="38">
      <x:c r="A38" s="15" t="str">
        <x:v>LF-B-A-THERMAL</x:v>
      </x:c>
      <x:c r="B38" s="15" t="str">
        <x:v>LF-B-A</x:v>
      </x:c>
      <x:c r="C38" s="15" t="str">
        <x:v>Thermal</x:v>
      </x:c>
      <x:c r="D38" s="15" t="str">
        <x:v>NIS-1</x:v>
      </x:c>
      <x:c r="E38" s="18" t="str">
        <x:v>THERMAL COEFFICIENT OPEN</x:v>
      </x:c>
      <x:c r="F38" s="15" t="n">
        <x:v>0</x:v>
      </x:c>
      <x:c r="G38" s="15" t="str">
        <x:v>NO</x:v>
      </x:c>
      <x:c r="H38" s="15" t="n">
        <x:v>0</x:v>
      </x:c>
      <x:c r="I38" s="15" t="str">
        <x:v>BUILD-TO-TEST ONLY</x:v>
      </x:c>
    </x:row>
    <x:row r="39">
      <x:c r="A39" s="15" t="str">
        <x:v>LF-B-A-GEOMETRY</x:v>
      </x:c>
      <x:c r="B39" s="15" t="str">
        <x:v>LF-B-A</x:v>
      </x:c>
      <x:c r="C39" s="15" t="str">
        <x:v>Geometry</x:v>
      </x:c>
      <x:c r="D39" s="15" t="str">
        <x:v>PIL-1</x:v>
      </x:c>
      <x:c r="E39" s="18" t="str">
        <x:v>REVISE TOPOLOGY / UNOBSERVED</x:v>
      </x:c>
      <x:c r="F39" s="15" t="n">
        <x:v>0</x:v>
      </x:c>
      <x:c r="G39" s="15" t="str">
        <x:v>NO</x:v>
      </x:c>
      <x:c r="H39" s="15" t="n">
        <x:v>0</x:v>
      </x:c>
      <x:c r="I39" s="15" t="str">
        <x:v>BUILD-TO-TEST ONLY</x:v>
      </x:c>
    </x:row>
    <x:row r="40">
      <x:c r="A40" s="15" t="str">
        <x:v>LF-B-A-CIVIL-RIGHTS</x:v>
      </x:c>
      <x:c r="B40" s="15" t="str">
        <x:v>LF-B-A</x:v>
      </x:c>
      <x:c r="C40" s="15" t="str">
        <x:v>Civil rights</x:v>
      </x:c>
      <x:c r="D40" s="15" t="str">
        <x:v>PIL-1</x:v>
      </x:c>
      <x:c r="E40" s="18" t="str">
        <x:v>SPECIFIED / UNOBSERVED</x:v>
      </x:c>
      <x:c r="F40" s="15" t="n">
        <x:v>0</x:v>
      </x:c>
      <x:c r="G40" s="15" t="str">
        <x:v>NO</x:v>
      </x:c>
      <x:c r="H40" s="15" t="n">
        <x:v>0</x:v>
      </x:c>
      <x:c r="I40" s="15" t="str">
        <x:v>BUILD-TO-TEST ONLY</x:v>
      </x:c>
    </x:row>
    <x:row r="41">
      <x:c r="A41" s="15" t="str">
        <x:v>LF-B-A-RESIDUAL-CUSTODY</x:v>
      </x:c>
      <x:c r="B41" s="15" t="str">
        <x:v>LF-B-A</x:v>
      </x:c>
      <x:c r="C41" s="15" t="str">
        <x:v>Residual custody</x:v>
      </x:c>
      <x:c r="D41" s="15" t="str">
        <x:v>PIL-1</x:v>
      </x:c>
      <x:c r="E41" s="18" t="str">
        <x:v>SPECIFIED / UNOBSERVED</x:v>
      </x:c>
      <x:c r="F41" s="15" t="n">
        <x:v>0</x:v>
      </x:c>
      <x:c r="G41" s="15" t="str">
        <x:v>NO</x:v>
      </x:c>
      <x:c r="H41" s="15" t="n">
        <x:v>0</x:v>
      </x:c>
      <x:c r="I41" s="15" t="str">
        <x:v>BUILD-TO-TEST ONLY</x:v>
      </x:c>
    </x:row>
    <x:row r="42">
      <x:c r="A42" s="15" t="str">
        <x:v>LF-B-A-COLD-RECONSTRUCTION</x:v>
      </x:c>
      <x:c r="B42" s="15" t="str">
        <x:v>LF-B-A</x:v>
      </x:c>
      <x:c r="C42" s="15" t="str">
        <x:v>Cold reconstruction</x:v>
      </x:c>
      <x:c r="D42" s="15" t="str">
        <x:v>PIL-1</x:v>
      </x:c>
      <x:c r="E42" s="18" t="str">
        <x:v>SPECIFIED / UNOBSERVED</x:v>
      </x:c>
      <x:c r="F42" s="15" t="n">
        <x:v>0</x:v>
      </x:c>
      <x:c r="G42" s="15" t="str">
        <x:v>NO</x:v>
      </x:c>
      <x:c r="H42" s="15" t="n">
        <x:v>0</x:v>
      </x:c>
      <x:c r="I42" s="15" t="str">
        <x:v>BUILD-TO-TEST ONLY</x:v>
      </x:c>
    </x:row>
    <x:row r="43">
      <x:c r="A43" s="15" t="str">
        <x:v>HU-A-B-SERVICE</x:v>
      </x:c>
      <x:c r="B43" s="15" t="str">
        <x:v>HU-A-B</x:v>
      </x:c>
      <x:c r="C43" s="15" t="str">
        <x:v>Service</x:v>
      </x:c>
      <x:c r="D43" s="15" t="str">
        <x:v>NIS-1</x:v>
      </x:c>
      <x:c r="E43" s="18" t="str">
        <x:v>UPRATE / COEFFICIENT OPEN</x:v>
      </x:c>
      <x:c r="F43" s="15" t="n">
        <x:v>0</x:v>
      </x:c>
      <x:c r="G43" s="15" t="str">
        <x:v>NO</x:v>
      </x:c>
      <x:c r="H43" s="15" t="n">
        <x:v>0</x:v>
      </x:c>
      <x:c r="I43" s="15" t="str">
        <x:v>BUILD-TO-TEST ONLY</x:v>
      </x:c>
    </x:row>
    <x:row r="44">
      <x:c r="A44" s="15" t="str">
        <x:v>HU-A-B-MASS</x:v>
      </x:c>
      <x:c r="B44" s="15" t="str">
        <x:v>HU-A-B</x:v>
      </x:c>
      <x:c r="C44" s="15" t="str">
        <x:v>Mass</x:v>
      </x:c>
      <x:c r="D44" s="15" t="str">
        <x:v>NIS-1</x:v>
      </x:c>
      <x:c r="E44" s="18" t="str">
        <x:v>UPRATE / COEFFICIENT OPEN</x:v>
      </x:c>
      <x:c r="F44" s="15" t="n">
        <x:v>0</x:v>
      </x:c>
      <x:c r="G44" s="15" t="str">
        <x:v>NO</x:v>
      </x:c>
      <x:c r="H44" s="15" t="n">
        <x:v>0</x:v>
      </x:c>
      <x:c r="I44" s="15" t="str">
        <x:v>BUILD-TO-TEST ONLY</x:v>
      </x:c>
    </x:row>
    <x:row r="45">
      <x:c r="A45" s="15" t="str">
        <x:v>HU-A-B-ENERGY</x:v>
      </x:c>
      <x:c r="B45" s="15" t="str">
        <x:v>HU-A-B</x:v>
      </x:c>
      <x:c r="C45" s="15" t="str">
        <x:v>Energy</x:v>
      </x:c>
      <x:c r="D45" s="15" t="str">
        <x:v>NIS-1</x:v>
      </x:c>
      <x:c r="E45" s="18" t="str">
        <x:v>RETAIN / COEFFICIENT OPEN</x:v>
      </x:c>
      <x:c r="F45" s="15" t="n">
        <x:v>0</x:v>
      </x:c>
      <x:c r="G45" s="15" t="str">
        <x:v>NO</x:v>
      </x:c>
      <x:c r="H45" s="15" t="n">
        <x:v>0</x:v>
      </x:c>
      <x:c r="I45" s="15" t="str">
        <x:v>BUILD-TO-TEST ONLY</x:v>
      </x:c>
    </x:row>
    <x:row r="46">
      <x:c r="A46" s="15" t="str">
        <x:v>HU-A-B-FLOW</x:v>
      </x:c>
      <x:c r="B46" s="15" t="str">
        <x:v>HU-A-B</x:v>
      </x:c>
      <x:c r="C46" s="15" t="str">
        <x:v>Flow</x:v>
      </x:c>
      <x:c r="D46" s="15" t="str">
        <x:v>NIS-1</x:v>
      </x:c>
      <x:c r="E46" s="18" t="str">
        <x:v>UPRATE / COEFFICIENT OPEN</x:v>
      </x:c>
      <x:c r="F46" s="15" t="n">
        <x:v>0</x:v>
      </x:c>
      <x:c r="G46" s="15" t="str">
        <x:v>NO</x:v>
      </x:c>
      <x:c r="H46" s="15" t="n">
        <x:v>0</x:v>
      </x:c>
      <x:c r="I46" s="15" t="str">
        <x:v>BUILD-TO-TEST ONLY</x:v>
      </x:c>
    </x:row>
    <x:row r="47">
      <x:c r="A47" s="15" t="str">
        <x:v>HU-A-B-THERMAL</x:v>
      </x:c>
      <x:c r="B47" s="15" t="str">
        <x:v>HU-A-B</x:v>
      </x:c>
      <x:c r="C47" s="15" t="str">
        <x:v>Thermal</x:v>
      </x:c>
      <x:c r="D47" s="15" t="str">
        <x:v>NIS-1</x:v>
      </x:c>
      <x:c r="E47" s="18" t="str">
        <x:v>THERMAL COEFFICIENT OPEN</x:v>
      </x:c>
      <x:c r="F47" s="15" t="n">
        <x:v>0</x:v>
      </x:c>
      <x:c r="G47" s="15" t="str">
        <x:v>NO</x:v>
      </x:c>
      <x:c r="H47" s="15" t="n">
        <x:v>0</x:v>
      </x:c>
      <x:c r="I47" s="15" t="str">
        <x:v>BUILD-TO-TEST ONLY</x:v>
      </x:c>
    </x:row>
    <x:row r="48">
      <x:c r="A48" s="15" t="str">
        <x:v>HU-A-B-GEOMETRY</x:v>
      </x:c>
      <x:c r="B48" s="15" t="str">
        <x:v>HU-A-B</x:v>
      </x:c>
      <x:c r="C48" s="15" t="str">
        <x:v>Geometry</x:v>
      </x:c>
      <x:c r="D48" s="15" t="str">
        <x:v>PIL-1</x:v>
      </x:c>
      <x:c r="E48" s="18" t="str">
        <x:v>REVISE TOPOLOGY / UNOBSERVED</x:v>
      </x:c>
      <x:c r="F48" s="15" t="n">
        <x:v>0</x:v>
      </x:c>
      <x:c r="G48" s="15" t="str">
        <x:v>NO</x:v>
      </x:c>
      <x:c r="H48" s="15" t="n">
        <x:v>0</x:v>
      </x:c>
      <x:c r="I48" s="15" t="str">
        <x:v>BUILD-TO-TEST ONLY</x:v>
      </x:c>
    </x:row>
    <x:row r="49">
      <x:c r="A49" s="15" t="str">
        <x:v>HU-A-B-CIVIL-RIGHTS</x:v>
      </x:c>
      <x:c r="B49" s="15" t="str">
        <x:v>HU-A-B</x:v>
      </x:c>
      <x:c r="C49" s="15" t="str">
        <x:v>Civil rights</x:v>
      </x:c>
      <x:c r="D49" s="15" t="str">
        <x:v>PIL-1</x:v>
      </x:c>
      <x:c r="E49" s="18" t="str">
        <x:v>SPECIFIED / UNOBSERVED</x:v>
      </x:c>
      <x:c r="F49" s="15" t="n">
        <x:v>0</x:v>
      </x:c>
      <x:c r="G49" s="15" t="str">
        <x:v>NO</x:v>
      </x:c>
      <x:c r="H49" s="15" t="n">
        <x:v>0</x:v>
      </x:c>
      <x:c r="I49" s="15" t="str">
        <x:v>BUILD-TO-TEST ONLY</x:v>
      </x:c>
    </x:row>
    <x:row r="50">
      <x:c r="A50" s="15" t="str">
        <x:v>HU-A-B-RESIDUAL-CUSTODY</x:v>
      </x:c>
      <x:c r="B50" s="15" t="str">
        <x:v>HU-A-B</x:v>
      </x:c>
      <x:c r="C50" s="15" t="str">
        <x:v>Residual custody</x:v>
      </x:c>
      <x:c r="D50" s="15" t="str">
        <x:v>PIL-1</x:v>
      </x:c>
      <x:c r="E50" s="18" t="str">
        <x:v>SPECIFIED / UNOBSERVED</x:v>
      </x:c>
      <x:c r="F50" s="15" t="n">
        <x:v>0</x:v>
      </x:c>
      <x:c r="G50" s="15" t="str">
        <x:v>NO</x:v>
      </x:c>
      <x:c r="H50" s="15" t="n">
        <x:v>0</x:v>
      </x:c>
      <x:c r="I50" s="15" t="str">
        <x:v>BUILD-TO-TEST ONLY</x:v>
      </x:c>
    </x:row>
    <x:row r="51">
      <x:c r="A51" s="15" t="str">
        <x:v>HU-A-B-COLD-RECONSTRUCTION</x:v>
      </x:c>
      <x:c r="B51" s="15" t="str">
        <x:v>HU-A-B</x:v>
      </x:c>
      <x:c r="C51" s="15" t="str">
        <x:v>Cold reconstruction</x:v>
      </x:c>
      <x:c r="D51" s="15" t="str">
        <x:v>PIL-1</x:v>
      </x:c>
      <x:c r="E51" s="18" t="str">
        <x:v>SPECIFIED / UNOBSERVED</x:v>
      </x:c>
      <x:c r="F51" s="15" t="n">
        <x:v>0</x:v>
      </x:c>
      <x:c r="G51" s="15" t="str">
        <x:v>NO</x:v>
      </x:c>
      <x:c r="H51" s="15" t="n">
        <x:v>0</x:v>
      </x:c>
      <x:c r="I51" s="15" t="str">
        <x:v>BUILD-TO-TEST ONLY</x:v>
      </x:c>
    </x:row>
    <x:row r="52">
      <x:c r="A52" s="15" t="str">
        <x:v>RT-B-C-SERVICE</x:v>
      </x:c>
      <x:c r="B52" s="15" t="str">
        <x:v>RT-B-C</x:v>
      </x:c>
      <x:c r="C52" s="15" t="str">
        <x:v>Service</x:v>
      </x:c>
      <x:c r="D52" s="15" t="str">
        <x:v>NIS-1</x:v>
      </x:c>
      <x:c r="E52" s="18" t="str">
        <x:v>UPRATE / COEFFICIENT OPEN</x:v>
      </x:c>
      <x:c r="F52" s="15" t="n">
        <x:v>0</x:v>
      </x:c>
      <x:c r="G52" s="15" t="str">
        <x:v>NO</x:v>
      </x:c>
      <x:c r="H52" s="15" t="n">
        <x:v>0</x:v>
      </x:c>
      <x:c r="I52" s="15" t="str">
        <x:v>BUILD-TO-TEST ONLY</x:v>
      </x:c>
    </x:row>
    <x:row r="53">
      <x:c r="A53" s="15" t="str">
        <x:v>RT-B-C-MASS</x:v>
      </x:c>
      <x:c r="B53" s="15" t="str">
        <x:v>RT-B-C</x:v>
      </x:c>
      <x:c r="C53" s="15" t="str">
        <x:v>Mass</x:v>
      </x:c>
      <x:c r="D53" s="15" t="str">
        <x:v>NIS-1</x:v>
      </x:c>
      <x:c r="E53" s="18" t="str">
        <x:v>UPRATE / COEFFICIENT OPEN</x:v>
      </x:c>
      <x:c r="F53" s="15" t="n">
        <x:v>0</x:v>
      </x:c>
      <x:c r="G53" s="15" t="str">
        <x:v>NO</x:v>
      </x:c>
      <x:c r="H53" s="15" t="n">
        <x:v>0</x:v>
      </x:c>
      <x:c r="I53" s="15" t="str">
        <x:v>BUILD-TO-TEST ONLY</x:v>
      </x:c>
    </x:row>
    <x:row r="54">
      <x:c r="A54" s="15" t="str">
        <x:v>RT-B-C-ENERGY</x:v>
      </x:c>
      <x:c r="B54" s="15" t="str">
        <x:v>RT-B-C</x:v>
      </x:c>
      <x:c r="C54" s="15" t="str">
        <x:v>Energy</x:v>
      </x:c>
      <x:c r="D54" s="15" t="str">
        <x:v>NIS-1</x:v>
      </x:c>
      <x:c r="E54" s="18" t="str">
        <x:v>UPRATE / COEFFICIENT OPEN</x:v>
      </x:c>
      <x:c r="F54" s="15" t="n">
        <x:v>0</x:v>
      </x:c>
      <x:c r="G54" s="15" t="str">
        <x:v>NO</x:v>
      </x:c>
      <x:c r="H54" s="15" t="n">
        <x:v>0</x:v>
      </x:c>
      <x:c r="I54" s="15" t="str">
        <x:v>BUILD-TO-TEST ONLY</x:v>
      </x:c>
    </x:row>
    <x:row r="55">
      <x:c r="A55" s="15" t="str">
        <x:v>RT-B-C-FLOW</x:v>
      </x:c>
      <x:c r="B55" s="15" t="str">
        <x:v>RT-B-C</x:v>
      </x:c>
      <x:c r="C55" s="15" t="str">
        <x:v>Flow</x:v>
      </x:c>
      <x:c r="D55" s="15" t="str">
        <x:v>NIS-1</x:v>
      </x:c>
      <x:c r="E55" s="18" t="str">
        <x:v>UPRATE / COEFFICIENT OPEN</x:v>
      </x:c>
      <x:c r="F55" s="15" t="n">
        <x:v>0</x:v>
      </x:c>
      <x:c r="G55" s="15" t="str">
        <x:v>NO</x:v>
      </x:c>
      <x:c r="H55" s="15" t="n">
        <x:v>0</x:v>
      </x:c>
      <x:c r="I55" s="15" t="str">
        <x:v>BUILD-TO-TEST ONLY</x:v>
      </x:c>
    </x:row>
    <x:row r="56">
      <x:c r="A56" s="15" t="str">
        <x:v>RT-B-C-THERMAL</x:v>
      </x:c>
      <x:c r="B56" s="15" t="str">
        <x:v>RT-B-C</x:v>
      </x:c>
      <x:c r="C56" s="15" t="str">
        <x:v>Thermal</x:v>
      </x:c>
      <x:c r="D56" s="15" t="str">
        <x:v>NIS-1</x:v>
      </x:c>
      <x:c r="E56" s="18" t="str">
        <x:v>THERMAL COEFFICIENT OPEN</x:v>
      </x:c>
      <x:c r="F56" s="15" t="n">
        <x:v>0</x:v>
      </x:c>
      <x:c r="G56" s="15" t="str">
        <x:v>NO</x:v>
      </x:c>
      <x:c r="H56" s="15" t="n">
        <x:v>0</x:v>
      </x:c>
      <x:c r="I56" s="15" t="str">
        <x:v>BUILD-TO-TEST ONLY</x:v>
      </x:c>
    </x:row>
    <x:row r="57">
      <x:c r="A57" s="15" t="str">
        <x:v>RT-B-C-GEOMETRY</x:v>
      </x:c>
      <x:c r="B57" s="15" t="str">
        <x:v>RT-B-C</x:v>
      </x:c>
      <x:c r="C57" s="15" t="str">
        <x:v>Geometry</x:v>
      </x:c>
      <x:c r="D57" s="15" t="str">
        <x:v>PIL-1</x:v>
      </x:c>
      <x:c r="E57" s="18" t="str">
        <x:v>RETAIN TOPOLOGY / UNOBSERVED</x:v>
      </x:c>
      <x:c r="F57" s="15" t="n">
        <x:v>0</x:v>
      </x:c>
      <x:c r="G57" s="15" t="str">
        <x:v>NO</x:v>
      </x:c>
      <x:c r="H57" s="15" t="n">
        <x:v>0</x:v>
      </x:c>
      <x:c r="I57" s="15" t="str">
        <x:v>BUILD-TO-TEST ONLY</x:v>
      </x:c>
    </x:row>
    <x:row r="58">
      <x:c r="A58" s="15" t="str">
        <x:v>RT-B-C-CIVIL-RIGHTS</x:v>
      </x:c>
      <x:c r="B58" s="15" t="str">
        <x:v>RT-B-C</x:v>
      </x:c>
      <x:c r="C58" s="15" t="str">
        <x:v>Civil rights</x:v>
      </x:c>
      <x:c r="D58" s="15" t="str">
        <x:v>PIL-1</x:v>
      </x:c>
      <x:c r="E58" s="18" t="str">
        <x:v>SPECIFIED / UNOBSERVED</x:v>
      </x:c>
      <x:c r="F58" s="15" t="n">
        <x:v>0</x:v>
      </x:c>
      <x:c r="G58" s="15" t="str">
        <x:v>NO</x:v>
      </x:c>
      <x:c r="H58" s="15" t="n">
        <x:v>0</x:v>
      </x:c>
      <x:c r="I58" s="15" t="str">
        <x:v>BUILD-TO-TEST ONLY</x:v>
      </x:c>
    </x:row>
    <x:row r="59">
      <x:c r="A59" s="15" t="str">
        <x:v>RT-B-C-RESIDUAL-CUSTODY</x:v>
      </x:c>
      <x:c r="B59" s="15" t="str">
        <x:v>RT-B-C</x:v>
      </x:c>
      <x:c r="C59" s="15" t="str">
        <x:v>Residual custody</x:v>
      </x:c>
      <x:c r="D59" s="15" t="str">
        <x:v>PIL-1</x:v>
      </x:c>
      <x:c r="E59" s="18" t="str">
        <x:v>SPECIFIED / UNOBSERVED</x:v>
      </x:c>
      <x:c r="F59" s="15" t="n">
        <x:v>0</x:v>
      </x:c>
      <x:c r="G59" s="15" t="str">
        <x:v>NO</x:v>
      </x:c>
      <x:c r="H59" s="15" t="n">
        <x:v>0</x:v>
      </x:c>
      <x:c r="I59" s="15" t="str">
        <x:v>BUILD-TO-TEST ONLY</x:v>
      </x:c>
    </x:row>
    <x:row r="60">
      <x:c r="A60" s="15" t="str">
        <x:v>RT-B-C-COLD-RECONSTRUCTION</x:v>
      </x:c>
      <x:c r="B60" s="15" t="str">
        <x:v>RT-B-C</x:v>
      </x:c>
      <x:c r="C60" s="15" t="str">
        <x:v>Cold reconstruction</x:v>
      </x:c>
      <x:c r="D60" s="15" t="str">
        <x:v>PIL-1</x:v>
      </x:c>
      <x:c r="E60" s="18" t="str">
        <x:v>SPECIFIED / UNOBSERVED</x:v>
      </x:c>
      <x:c r="F60" s="15" t="n">
        <x:v>0</x:v>
      </x:c>
      <x:c r="G60" s="15" t="str">
        <x:v>NO</x:v>
      </x:c>
      <x:c r="H60" s="15" t="n">
        <x:v>0</x:v>
      </x:c>
      <x:c r="I60" s="15" t="str">
        <x:v>BUILD-TO-TEST ONLY</x:v>
      </x:c>
    </x:row>
  </x:sheetData>
  <x:conditionalFormatting sqref="E7:E60">
    <x:cfRule type="containsText" dxfId="6" priority="1" operator="containsText" text="HOLD"/>
    <x:cfRule type="containsText" dxfId="7" priority="2" operator="containsText" text="FAIL"/>
    <x:cfRule type="containsText" dxfId="8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e4d0a0d5054a4e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34" hidden="0" customWidth="1"/>
    <x:col min="5" max="5" width="48" hidden="0" customWidth="1"/>
    <x:col min="6" max="6" width="14" hidden="0" customWidth="1"/>
    <x:col min="7" max="7" width="24" hidden="0" customWidth="1"/>
    <x:col min="8" max="8" width="40" hidden="0" customWidth="1"/>
    <x:col min="9" max="9" width="18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</x:row>
    <x:row r="2">
      <x:c r="A2" s="50" t="str">
        <x:v>Thirty-six source-specific measurement obligations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34" customHeight="1">
      <x:c r="A6" s="18" t="str">
        <x:v>Coefficient</x:v>
      </x:c>
      <x:c r="B6" s="18" t="str">
        <x:v>Form</x:v>
      </x:c>
      <x:c r="C6" s="18" t="str">
        <x:v>Symbol</x:v>
      </x:c>
      <x:c r="D6" s="18" t="str">
        <x:v>Quantity</x:v>
      </x:c>
      <x:c r="E6" s="18" t="str">
        <x:v>Required experiment</x:v>
      </x:c>
      <x:c r="F6" s="18" t="str">
        <x:v>Measured</x:v>
      </x:c>
      <x:c r="G6" s="18" t="str">
        <x:v>State</x:v>
      </x:c>
      <x:c r="H6" s="18" t="str">
        <x:v>Prohibited substitution</x:v>
      </x:c>
      <x:c r="I6" s="18" t="str">
        <x:v>Accepted interval</x:v>
      </x:c>
    </x:row>
    <x:row r="7">
      <x:c r="A7" s="15" t="str">
        <x:v>ET-A-A-CAP</x:v>
      </x:c>
      <x:c r="B7" s="15" t="str">
        <x:v>ET-A-A</x:v>
      </x:c>
      <x:c r="C7" s="15" t="str">
        <x:v>βC</x:v>
      </x:c>
      <x:c r="D7" s="18" t="str">
        <x:v>capacity calibration factor</x:v>
      </x:c>
      <x:c r="E7" s="18" t="str">
        <x:v>full-range metered capacity sweep</x:v>
      </x:c>
      <x:c r="F7" s="15" t="n">
        <x:v>0</x:v>
      </x:c>
      <x:c r="G7" s="15" t="str">
        <x:v>OPEN / UNMEASURED</x:v>
      </x:c>
      <x:c r="H7" s="15" t="str">
        <x:v>No sibling, midpoint or modeled zero</x:v>
      </x:c>
      <x:c r="I7" s="15" t="n">
        <x:v>0</x:v>
      </x:c>
    </x:row>
    <x:row r="8">
      <x:c r="A8" s="15" t="str">
        <x:v>ET-A-A-REQ</x:v>
      </x:c>
      <x:c r="B8" s="15" t="str">
        <x:v>ET-A-A</x:v>
      </x:c>
      <x:c r="C8" s="15" t="str">
        <x:v>βR</x:v>
      </x:c>
      <x:c r="D8" s="18" t="str">
        <x:v>service requirement scale factor</x:v>
      </x:c>
      <x:c r="E8" s="18" t="str">
        <x:v>receiver-denominator replay</x:v>
      </x:c>
      <x:c r="F8" s="15" t="n">
        <x:v>0</x:v>
      </x:c>
      <x:c r="G8" s="15" t="str">
        <x:v>OPEN / UNMEASURED</x:v>
      </x:c>
      <x:c r="H8" s="15" t="str">
        <x:v>No sibling, midpoint or modeled zero</x:v>
      </x:c>
      <x:c r="I8" s="15" t="n">
        <x:v>0</x:v>
      </x:c>
    </x:row>
    <x:row r="9">
      <x:c r="A9" s="15" t="str">
        <x:v>ET-A-A-LOSS</x:v>
      </x:c>
      <x:c r="B9" s="15" t="str">
        <x:v>ET-A-A</x:v>
      </x:c>
      <x:c r="C9" s="15" t="str">
        <x:v>λ</x:v>
      </x:c>
      <x:c r="D9" s="18" t="str">
        <x:v>largest-cell propagation fraction</x:v>
      </x:c>
      <x:c r="E9" s="18" t="str">
        <x:v>instrumented cell-loss trial</x:v>
      </x:c>
      <x:c r="F9" s="15" t="n">
        <x:v>0</x:v>
      </x:c>
      <x:c r="G9" s="15" t="str">
        <x:v>OPEN / UNMEASURED</x:v>
      </x:c>
      <x:c r="H9" s="15" t="str">
        <x:v>No sibling, midpoint or modeled zero</x:v>
      </x:c>
      <x:c r="I9" s="15" t="n">
        <x:v>0</x:v>
      </x:c>
    </x:row>
    <x:row r="10">
      <x:c r="A10" s="15" t="str">
        <x:v>ET-A-A-KEY</x:v>
      </x:c>
      <x:c r="B10" s="15" t="str">
        <x:v>ET-A-A</x:v>
      </x:c>
      <x:c r="C10" s="15" t="str">
        <x:v>κ</x:v>
      </x:c>
      <x:c r="D10" s="18" t="str">
        <x:v>fatal-keystone retained fraction</x:v>
      </x:c>
      <x:c r="E10" s="18" t="str">
        <x:v>frozen keystone intervention</x:v>
      </x:c>
      <x:c r="F10" s="15" t="n">
        <x:v>0</x:v>
      </x:c>
      <x:c r="G10" s="15" t="str">
        <x:v>OPEN / UNMEASURED</x:v>
      </x:c>
      <x:c r="H10" s="15" t="str">
        <x:v>No sibling, midpoint or modeled zero</x:v>
      </x:c>
      <x:c r="I10" s="15" t="n">
        <x:v>0</x:v>
      </x:c>
    </x:row>
    <x:row r="11">
      <x:c r="A11" s="15" t="str">
        <x:v>ET-A-A-COLD</x:v>
      </x:c>
      <x:c r="B11" s="15" t="str">
        <x:v>ET-A-A</x:v>
      </x:c>
      <x:c r="C11" s="15" t="str">
        <x:v>χ</x:v>
      </x:c>
      <x:c r="D11" s="18" t="str">
        <x:v>cold-start retained fraction</x:v>
      </x:c>
      <x:c r="E11" s="18" t="str">
        <x:v>clean-team reconstruction and black start</x:v>
      </x:c>
      <x:c r="F11" s="15" t="n">
        <x:v>0</x:v>
      </x:c>
      <x:c r="G11" s="15" t="str">
        <x:v>OPEN / UNMEASURED</x:v>
      </x:c>
      <x:c r="H11" s="15" t="str">
        <x:v>No sibling, midpoint or modeled zero</x:v>
      </x:c>
      <x:c r="I11" s="15" t="n">
        <x:v>0</x:v>
      </x:c>
    </x:row>
    <x:row r="12">
      <x:c r="A12" s="15" t="str">
        <x:v>ET-A-A-THERM</x:v>
      </x:c>
      <x:c r="B12" s="15" t="str">
        <x:v>ET-A-A</x:v>
      </x:c>
      <x:c r="C12" s="15" t="str">
        <x:v>θ</x:v>
      </x:c>
      <x:c r="D12" s="18" t="str">
        <x:v>peak thermal duty coefficient</x:v>
      </x:c>
      <x:c r="E12" s="18" t="str">
        <x:v>worst-ambient calorimetry and heat rejection</x:v>
      </x:c>
      <x:c r="F12" s="15" t="n">
        <x:v>0</x:v>
      </x:c>
      <x:c r="G12" s="15" t="str">
        <x:v>OPEN / UNMEASURED</x:v>
      </x:c>
      <x:c r="H12" s="15" t="str">
        <x:v>No sibling, midpoint or modeled zero</x:v>
      </x:c>
      <x:c r="I12" s="15" t="n">
        <x:v>0</x:v>
      </x:c>
    </x:row>
    <x:row r="13">
      <x:c r="A13" s="15" t="str">
        <x:v>CT-C-B-CAP</x:v>
      </x:c>
      <x:c r="B13" s="15" t="str">
        <x:v>CT-C-B</x:v>
      </x:c>
      <x:c r="C13" s="15" t="str">
        <x:v>βC</x:v>
      </x:c>
      <x:c r="D13" s="18" t="str">
        <x:v>capacity calibration factor</x:v>
      </x:c>
      <x:c r="E13" s="18" t="str">
        <x:v>full-range metered capacity sweep</x:v>
      </x:c>
      <x:c r="F13" s="15" t="n">
        <x:v>0</x:v>
      </x:c>
      <x:c r="G13" s="15" t="str">
        <x:v>OPEN / UNMEASURED</x:v>
      </x:c>
      <x:c r="H13" s="15" t="str">
        <x:v>No sibling, midpoint or modeled zero</x:v>
      </x:c>
      <x:c r="I13" s="15" t="n">
        <x:v>0</x:v>
      </x:c>
    </x:row>
    <x:row r="14">
      <x:c r="A14" s="15" t="str">
        <x:v>CT-C-B-REQ</x:v>
      </x:c>
      <x:c r="B14" s="15" t="str">
        <x:v>CT-C-B</x:v>
      </x:c>
      <x:c r="C14" s="15" t="str">
        <x:v>βR</x:v>
      </x:c>
      <x:c r="D14" s="18" t="str">
        <x:v>service requirement scale factor</x:v>
      </x:c>
      <x:c r="E14" s="18" t="str">
        <x:v>receiver-denominator replay</x:v>
      </x:c>
      <x:c r="F14" s="15" t="n">
        <x:v>0</x:v>
      </x:c>
      <x:c r="G14" s="15" t="str">
        <x:v>OPEN / UNMEASURED</x:v>
      </x:c>
      <x:c r="H14" s="15" t="str">
        <x:v>No sibling, midpoint or modeled zero</x:v>
      </x:c>
      <x:c r="I14" s="15" t="n">
        <x:v>0</x:v>
      </x:c>
    </x:row>
    <x:row r="15">
      <x:c r="A15" s="15" t="str">
        <x:v>CT-C-B-LOSS</x:v>
      </x:c>
      <x:c r="B15" s="15" t="str">
        <x:v>CT-C-B</x:v>
      </x:c>
      <x:c r="C15" s="15" t="str">
        <x:v>λ</x:v>
      </x:c>
      <x:c r="D15" s="18" t="str">
        <x:v>largest-cell propagation fraction</x:v>
      </x:c>
      <x:c r="E15" s="18" t="str">
        <x:v>instrumented cell-loss trial</x:v>
      </x:c>
      <x:c r="F15" s="15" t="n">
        <x:v>0</x:v>
      </x:c>
      <x:c r="G15" s="15" t="str">
        <x:v>OPEN / UNMEASURED</x:v>
      </x:c>
      <x:c r="H15" s="15" t="str">
        <x:v>No sibling, midpoint or modeled zero</x:v>
      </x:c>
      <x:c r="I15" s="15" t="n">
        <x:v>0</x:v>
      </x:c>
    </x:row>
    <x:row r="16">
      <x:c r="A16" s="15" t="str">
        <x:v>CT-C-B-KEY</x:v>
      </x:c>
      <x:c r="B16" s="15" t="str">
        <x:v>CT-C-B</x:v>
      </x:c>
      <x:c r="C16" s="15" t="str">
        <x:v>κ</x:v>
      </x:c>
      <x:c r="D16" s="18" t="str">
        <x:v>fatal-keystone retained fraction</x:v>
      </x:c>
      <x:c r="E16" s="18" t="str">
        <x:v>frozen keystone intervention</x:v>
      </x:c>
      <x:c r="F16" s="15" t="n">
        <x:v>0</x:v>
      </x:c>
      <x:c r="G16" s="15" t="str">
        <x:v>OPEN / UNMEASURED</x:v>
      </x:c>
      <x:c r="H16" s="15" t="str">
        <x:v>No sibling, midpoint or modeled zero</x:v>
      </x:c>
      <x:c r="I16" s="15" t="n">
        <x:v>0</x:v>
      </x:c>
    </x:row>
    <x:row r="17">
      <x:c r="A17" s="15" t="str">
        <x:v>CT-C-B-COLD</x:v>
      </x:c>
      <x:c r="B17" s="15" t="str">
        <x:v>CT-C-B</x:v>
      </x:c>
      <x:c r="C17" s="15" t="str">
        <x:v>χ</x:v>
      </x:c>
      <x:c r="D17" s="18" t="str">
        <x:v>cold-start retained fraction</x:v>
      </x:c>
      <x:c r="E17" s="18" t="str">
        <x:v>clean-team reconstruction and black start</x:v>
      </x:c>
      <x:c r="F17" s="15" t="n">
        <x:v>0</x:v>
      </x:c>
      <x:c r="G17" s="15" t="str">
        <x:v>OPEN / UNMEASURED</x:v>
      </x:c>
      <x:c r="H17" s="15" t="str">
        <x:v>No sibling, midpoint or modeled zero</x:v>
      </x:c>
      <x:c r="I17" s="15" t="n">
        <x:v>0</x:v>
      </x:c>
    </x:row>
    <x:row r="18">
      <x:c r="A18" s="15" t="str">
        <x:v>CT-C-B-THERM</x:v>
      </x:c>
      <x:c r="B18" s="15" t="str">
        <x:v>CT-C-B</x:v>
      </x:c>
      <x:c r="C18" s="15" t="str">
        <x:v>θ</x:v>
      </x:c>
      <x:c r="D18" s="18" t="str">
        <x:v>peak thermal duty coefficient</x:v>
      </x:c>
      <x:c r="E18" s="18" t="str">
        <x:v>worst-ambient calorimetry and heat rejection</x:v>
      </x:c>
      <x:c r="F18" s="15" t="n">
        <x:v>0</x:v>
      </x:c>
      <x:c r="G18" s="15" t="str">
        <x:v>OPEN / UNMEASURED</x:v>
      </x:c>
      <x:c r="H18" s="15" t="str">
        <x:v>No sibling, midpoint or modeled zero</x:v>
      </x:c>
      <x:c r="I18" s="15" t="n">
        <x:v>0</x:v>
      </x:c>
    </x:row>
    <x:row r="19">
      <x:c r="A19" s="15" t="str">
        <x:v>HC-A-C-CAP</x:v>
      </x:c>
      <x:c r="B19" s="15" t="str">
        <x:v>HC-A-C</x:v>
      </x:c>
      <x:c r="C19" s="15" t="str">
        <x:v>βC</x:v>
      </x:c>
      <x:c r="D19" s="18" t="str">
        <x:v>capacity calibration factor</x:v>
      </x:c>
      <x:c r="E19" s="18" t="str">
        <x:v>full-range metered capacity sweep</x:v>
      </x:c>
      <x:c r="F19" s="15" t="n">
        <x:v>0</x:v>
      </x:c>
      <x:c r="G19" s="15" t="str">
        <x:v>OPEN / UNMEASURED</x:v>
      </x:c>
      <x:c r="H19" s="15" t="str">
        <x:v>No sibling, midpoint or modeled zero</x:v>
      </x:c>
      <x:c r="I19" s="15" t="n">
        <x:v>0</x:v>
      </x:c>
    </x:row>
    <x:row r="20">
      <x:c r="A20" s="15" t="str">
        <x:v>HC-A-C-REQ</x:v>
      </x:c>
      <x:c r="B20" s="15" t="str">
        <x:v>HC-A-C</x:v>
      </x:c>
      <x:c r="C20" s="15" t="str">
        <x:v>βR</x:v>
      </x:c>
      <x:c r="D20" s="18" t="str">
        <x:v>service requirement scale factor</x:v>
      </x:c>
      <x:c r="E20" s="18" t="str">
        <x:v>receiver-denominator replay</x:v>
      </x:c>
      <x:c r="F20" s="15" t="n">
        <x:v>0</x:v>
      </x:c>
      <x:c r="G20" s="15" t="str">
        <x:v>OPEN / UNMEASURED</x:v>
      </x:c>
      <x:c r="H20" s="15" t="str">
        <x:v>No sibling, midpoint or modeled zero</x:v>
      </x:c>
      <x:c r="I20" s="15" t="n">
        <x:v>0</x:v>
      </x:c>
    </x:row>
    <x:row r="21">
      <x:c r="A21" s="15" t="str">
        <x:v>HC-A-C-LOSS</x:v>
      </x:c>
      <x:c r="B21" s="15" t="str">
        <x:v>HC-A-C</x:v>
      </x:c>
      <x:c r="C21" s="15" t="str">
        <x:v>λ</x:v>
      </x:c>
      <x:c r="D21" s="18" t="str">
        <x:v>largest-cell propagation fraction</x:v>
      </x:c>
      <x:c r="E21" s="18" t="str">
        <x:v>instrumented cell-loss trial</x:v>
      </x:c>
      <x:c r="F21" s="15" t="n">
        <x:v>0</x:v>
      </x:c>
      <x:c r="G21" s="15" t="str">
        <x:v>OPEN / UNMEASURED</x:v>
      </x:c>
      <x:c r="H21" s="15" t="str">
        <x:v>No sibling, midpoint or modeled zero</x:v>
      </x:c>
      <x:c r="I21" s="15" t="n">
        <x:v>0</x:v>
      </x:c>
    </x:row>
    <x:row r="22">
      <x:c r="A22" s="15" t="str">
        <x:v>HC-A-C-KEY</x:v>
      </x:c>
      <x:c r="B22" s="15" t="str">
        <x:v>HC-A-C</x:v>
      </x:c>
      <x:c r="C22" s="15" t="str">
        <x:v>κ</x:v>
      </x:c>
      <x:c r="D22" s="18" t="str">
        <x:v>fatal-keystone retained fraction</x:v>
      </x:c>
      <x:c r="E22" s="18" t="str">
        <x:v>frozen keystone intervention</x:v>
      </x:c>
      <x:c r="F22" s="15" t="n">
        <x:v>0</x:v>
      </x:c>
      <x:c r="G22" s="15" t="str">
        <x:v>OPEN / UNMEASURED</x:v>
      </x:c>
      <x:c r="H22" s="15" t="str">
        <x:v>No sibling, midpoint or modeled zero</x:v>
      </x:c>
      <x:c r="I22" s="15" t="n">
        <x:v>0</x:v>
      </x:c>
    </x:row>
    <x:row r="23">
      <x:c r="A23" s="15" t="str">
        <x:v>HC-A-C-COLD</x:v>
      </x:c>
      <x:c r="B23" s="15" t="str">
        <x:v>HC-A-C</x:v>
      </x:c>
      <x:c r="C23" s="15" t="str">
        <x:v>χ</x:v>
      </x:c>
      <x:c r="D23" s="18" t="str">
        <x:v>cold-start retained fraction</x:v>
      </x:c>
      <x:c r="E23" s="18" t="str">
        <x:v>clean-team reconstruction and black start</x:v>
      </x:c>
      <x:c r="F23" s="15" t="n">
        <x:v>0</x:v>
      </x:c>
      <x:c r="G23" s="15" t="str">
        <x:v>OPEN / UNMEASURED</x:v>
      </x:c>
      <x:c r="H23" s="15" t="str">
        <x:v>No sibling, midpoint or modeled zero</x:v>
      </x:c>
      <x:c r="I23" s="15" t="n">
        <x:v>0</x:v>
      </x:c>
    </x:row>
    <x:row r="24">
      <x:c r="A24" s="15" t="str">
        <x:v>HC-A-C-THERM</x:v>
      </x:c>
      <x:c r="B24" s="15" t="str">
        <x:v>HC-A-C</x:v>
      </x:c>
      <x:c r="C24" s="15" t="str">
        <x:v>θ</x:v>
      </x:c>
      <x:c r="D24" s="18" t="str">
        <x:v>peak thermal duty coefficient</x:v>
      </x:c>
      <x:c r="E24" s="18" t="str">
        <x:v>worst-ambient calorimetry and heat rejection</x:v>
      </x:c>
      <x:c r="F24" s="15" t="n">
        <x:v>0</x:v>
      </x:c>
      <x:c r="G24" s="15" t="str">
        <x:v>OPEN / UNMEASURED</x:v>
      </x:c>
      <x:c r="H24" s="15" t="str">
        <x:v>No sibling, midpoint or modeled zero</x:v>
      </x:c>
      <x:c r="I24" s="15" t="n">
        <x:v>0</x:v>
      </x:c>
    </x:row>
    <x:row r="25">
      <x:c r="A25" s="15" t="str">
        <x:v>LF-B-A-CAP</x:v>
      </x:c>
      <x:c r="B25" s="15" t="str">
        <x:v>LF-B-A</x:v>
      </x:c>
      <x:c r="C25" s="15" t="str">
        <x:v>βC</x:v>
      </x:c>
      <x:c r="D25" s="18" t="str">
        <x:v>capacity calibration factor</x:v>
      </x:c>
      <x:c r="E25" s="18" t="str">
        <x:v>full-range metered capacity sweep</x:v>
      </x:c>
      <x:c r="F25" s="15" t="n">
        <x:v>0</x:v>
      </x:c>
      <x:c r="G25" s="15" t="str">
        <x:v>OPEN / UNMEASURED</x:v>
      </x:c>
      <x:c r="H25" s="15" t="str">
        <x:v>No sibling, midpoint or modeled zero</x:v>
      </x:c>
      <x:c r="I25" s="15" t="n">
        <x:v>0</x:v>
      </x:c>
    </x:row>
    <x:row r="26">
      <x:c r="A26" s="15" t="str">
        <x:v>LF-B-A-REQ</x:v>
      </x:c>
      <x:c r="B26" s="15" t="str">
        <x:v>LF-B-A</x:v>
      </x:c>
      <x:c r="C26" s="15" t="str">
        <x:v>βR</x:v>
      </x:c>
      <x:c r="D26" s="18" t="str">
        <x:v>service requirement scale factor</x:v>
      </x:c>
      <x:c r="E26" s="18" t="str">
        <x:v>receiver-denominator replay</x:v>
      </x:c>
      <x:c r="F26" s="15" t="n">
        <x:v>0</x:v>
      </x:c>
      <x:c r="G26" s="15" t="str">
        <x:v>OPEN / UNMEASURED</x:v>
      </x:c>
      <x:c r="H26" s="15" t="str">
        <x:v>No sibling, midpoint or modeled zero</x:v>
      </x:c>
      <x:c r="I26" s="15" t="n">
        <x:v>0</x:v>
      </x:c>
    </x:row>
    <x:row r="27">
      <x:c r="A27" s="15" t="str">
        <x:v>LF-B-A-LOSS</x:v>
      </x:c>
      <x:c r="B27" s="15" t="str">
        <x:v>LF-B-A</x:v>
      </x:c>
      <x:c r="C27" s="15" t="str">
        <x:v>λ</x:v>
      </x:c>
      <x:c r="D27" s="18" t="str">
        <x:v>largest-cell propagation fraction</x:v>
      </x:c>
      <x:c r="E27" s="18" t="str">
        <x:v>instrumented cell-loss trial</x:v>
      </x:c>
      <x:c r="F27" s="15" t="n">
        <x:v>0</x:v>
      </x:c>
      <x:c r="G27" s="15" t="str">
        <x:v>OPEN / UNMEASURED</x:v>
      </x:c>
      <x:c r="H27" s="15" t="str">
        <x:v>No sibling, midpoint or modeled zero</x:v>
      </x:c>
      <x:c r="I27" s="15" t="n">
        <x:v>0</x:v>
      </x:c>
    </x:row>
    <x:row r="28">
      <x:c r="A28" s="15" t="str">
        <x:v>LF-B-A-KEY</x:v>
      </x:c>
      <x:c r="B28" s="15" t="str">
        <x:v>LF-B-A</x:v>
      </x:c>
      <x:c r="C28" s="15" t="str">
        <x:v>κ</x:v>
      </x:c>
      <x:c r="D28" s="18" t="str">
        <x:v>fatal-keystone retained fraction</x:v>
      </x:c>
      <x:c r="E28" s="18" t="str">
        <x:v>frozen keystone intervention</x:v>
      </x:c>
      <x:c r="F28" s="15" t="n">
        <x:v>0</x:v>
      </x:c>
      <x:c r="G28" s="15" t="str">
        <x:v>OPEN / UNMEASURED</x:v>
      </x:c>
      <x:c r="H28" s="15" t="str">
        <x:v>No sibling, midpoint or modeled zero</x:v>
      </x:c>
      <x:c r="I28" s="15" t="n">
        <x:v>0</x:v>
      </x:c>
    </x:row>
    <x:row r="29">
      <x:c r="A29" s="15" t="str">
        <x:v>LF-B-A-COLD</x:v>
      </x:c>
      <x:c r="B29" s="15" t="str">
        <x:v>LF-B-A</x:v>
      </x:c>
      <x:c r="C29" s="15" t="str">
        <x:v>χ</x:v>
      </x:c>
      <x:c r="D29" s="18" t="str">
        <x:v>cold-start retained fraction</x:v>
      </x:c>
      <x:c r="E29" s="18" t="str">
        <x:v>clean-team reconstruction and black start</x:v>
      </x:c>
      <x:c r="F29" s="15" t="n">
        <x:v>0</x:v>
      </x:c>
      <x:c r="G29" s="15" t="str">
        <x:v>OPEN / UNMEASURED</x:v>
      </x:c>
      <x:c r="H29" s="15" t="str">
        <x:v>No sibling, midpoint or modeled zero</x:v>
      </x:c>
      <x:c r="I29" s="15" t="n">
        <x:v>0</x:v>
      </x:c>
    </x:row>
    <x:row r="30">
      <x:c r="A30" s="15" t="str">
        <x:v>LF-B-A-THERM</x:v>
      </x:c>
      <x:c r="B30" s="15" t="str">
        <x:v>LF-B-A</x:v>
      </x:c>
      <x:c r="C30" s="15" t="str">
        <x:v>θ</x:v>
      </x:c>
      <x:c r="D30" s="18" t="str">
        <x:v>peak thermal duty coefficient</x:v>
      </x:c>
      <x:c r="E30" s="18" t="str">
        <x:v>worst-ambient calorimetry and heat rejection</x:v>
      </x:c>
      <x:c r="F30" s="15" t="n">
        <x:v>0</x:v>
      </x:c>
      <x:c r="G30" s="15" t="str">
        <x:v>OPEN / UNMEASURED</x:v>
      </x:c>
      <x:c r="H30" s="15" t="str">
        <x:v>No sibling, midpoint or modeled zero</x:v>
      </x:c>
      <x:c r="I30" s="15" t="n">
        <x:v>0</x:v>
      </x:c>
    </x:row>
    <x:row r="31">
      <x:c r="A31" s="15" t="str">
        <x:v>HU-A-B-CAP</x:v>
      </x:c>
      <x:c r="B31" s="15" t="str">
        <x:v>HU-A-B</x:v>
      </x:c>
      <x:c r="C31" s="15" t="str">
        <x:v>βC</x:v>
      </x:c>
      <x:c r="D31" s="18" t="str">
        <x:v>capacity calibration factor</x:v>
      </x:c>
      <x:c r="E31" s="18" t="str">
        <x:v>full-range metered capacity sweep</x:v>
      </x:c>
      <x:c r="F31" s="15" t="n">
        <x:v>0</x:v>
      </x:c>
      <x:c r="G31" s="15" t="str">
        <x:v>OPEN / UNMEASURED</x:v>
      </x:c>
      <x:c r="H31" s="15" t="str">
        <x:v>No sibling, midpoint or modeled zero</x:v>
      </x:c>
      <x:c r="I31" s="15" t="n">
        <x:v>0</x:v>
      </x:c>
    </x:row>
    <x:row r="32">
      <x:c r="A32" s="15" t="str">
        <x:v>HU-A-B-REQ</x:v>
      </x:c>
      <x:c r="B32" s="15" t="str">
        <x:v>HU-A-B</x:v>
      </x:c>
      <x:c r="C32" s="15" t="str">
        <x:v>βR</x:v>
      </x:c>
      <x:c r="D32" s="18" t="str">
        <x:v>service requirement scale factor</x:v>
      </x:c>
      <x:c r="E32" s="18" t="str">
        <x:v>receiver-denominator replay</x:v>
      </x:c>
      <x:c r="F32" s="15" t="n">
        <x:v>0</x:v>
      </x:c>
      <x:c r="G32" s="15" t="str">
        <x:v>OPEN / UNMEASURED</x:v>
      </x:c>
      <x:c r="H32" s="15" t="str">
        <x:v>No sibling, midpoint or modeled zero</x:v>
      </x:c>
      <x:c r="I32" s="15" t="n">
        <x:v>0</x:v>
      </x:c>
    </x:row>
    <x:row r="33">
      <x:c r="A33" s="15" t="str">
        <x:v>HU-A-B-LOSS</x:v>
      </x:c>
      <x:c r="B33" s="15" t="str">
        <x:v>HU-A-B</x:v>
      </x:c>
      <x:c r="C33" s="15" t="str">
        <x:v>λ</x:v>
      </x:c>
      <x:c r="D33" s="18" t="str">
        <x:v>largest-cell propagation fraction</x:v>
      </x:c>
      <x:c r="E33" s="18" t="str">
        <x:v>instrumented cell-loss trial</x:v>
      </x:c>
      <x:c r="F33" s="15" t="n">
        <x:v>0</x:v>
      </x:c>
      <x:c r="G33" s="15" t="str">
        <x:v>OPEN / UNMEASURED</x:v>
      </x:c>
      <x:c r="H33" s="15" t="str">
        <x:v>No sibling, midpoint or modeled zero</x:v>
      </x:c>
      <x:c r="I33" s="15" t="n">
        <x:v>0</x:v>
      </x:c>
    </x:row>
    <x:row r="34">
      <x:c r="A34" s="15" t="str">
        <x:v>HU-A-B-KEY</x:v>
      </x:c>
      <x:c r="B34" s="15" t="str">
        <x:v>HU-A-B</x:v>
      </x:c>
      <x:c r="C34" s="15" t="str">
        <x:v>κ</x:v>
      </x:c>
      <x:c r="D34" s="18" t="str">
        <x:v>fatal-keystone retained fraction</x:v>
      </x:c>
      <x:c r="E34" s="18" t="str">
        <x:v>frozen keystone intervention</x:v>
      </x:c>
      <x:c r="F34" s="15" t="n">
        <x:v>0</x:v>
      </x:c>
      <x:c r="G34" s="15" t="str">
        <x:v>OPEN / UNMEASURED</x:v>
      </x:c>
      <x:c r="H34" s="15" t="str">
        <x:v>No sibling, midpoint or modeled zero</x:v>
      </x:c>
      <x:c r="I34" s="15" t="n">
        <x:v>0</x:v>
      </x:c>
    </x:row>
    <x:row r="35">
      <x:c r="A35" s="15" t="str">
        <x:v>HU-A-B-COLD</x:v>
      </x:c>
      <x:c r="B35" s="15" t="str">
        <x:v>HU-A-B</x:v>
      </x:c>
      <x:c r="C35" s="15" t="str">
        <x:v>χ</x:v>
      </x:c>
      <x:c r="D35" s="18" t="str">
        <x:v>cold-start retained fraction</x:v>
      </x:c>
      <x:c r="E35" s="18" t="str">
        <x:v>clean-team reconstruction and black start</x:v>
      </x:c>
      <x:c r="F35" s="15" t="n">
        <x:v>0</x:v>
      </x:c>
      <x:c r="G35" s="15" t="str">
        <x:v>OPEN / UNMEASURED</x:v>
      </x:c>
      <x:c r="H35" s="15" t="str">
        <x:v>No sibling, midpoint or modeled zero</x:v>
      </x:c>
      <x:c r="I35" s="15" t="n">
        <x:v>0</x:v>
      </x:c>
    </x:row>
    <x:row r="36">
      <x:c r="A36" s="15" t="str">
        <x:v>HU-A-B-THERM</x:v>
      </x:c>
      <x:c r="B36" s="15" t="str">
        <x:v>HU-A-B</x:v>
      </x:c>
      <x:c r="C36" s="15" t="str">
        <x:v>θ</x:v>
      </x:c>
      <x:c r="D36" s="18" t="str">
        <x:v>peak thermal duty coefficient</x:v>
      </x:c>
      <x:c r="E36" s="18" t="str">
        <x:v>worst-ambient calorimetry and heat rejection</x:v>
      </x:c>
      <x:c r="F36" s="15" t="n">
        <x:v>0</x:v>
      </x:c>
      <x:c r="G36" s="15" t="str">
        <x:v>OPEN / UNMEASURED</x:v>
      </x:c>
      <x:c r="H36" s="15" t="str">
        <x:v>No sibling, midpoint or modeled zero</x:v>
      </x:c>
      <x:c r="I36" s="15" t="n">
        <x:v>0</x:v>
      </x:c>
    </x:row>
    <x:row r="37">
      <x:c r="A37" s="15" t="str">
        <x:v>RT-B-C-CAP</x:v>
      </x:c>
      <x:c r="B37" s="15" t="str">
        <x:v>RT-B-C</x:v>
      </x:c>
      <x:c r="C37" s="15" t="str">
        <x:v>βC</x:v>
      </x:c>
      <x:c r="D37" s="18" t="str">
        <x:v>capacity calibration factor</x:v>
      </x:c>
      <x:c r="E37" s="18" t="str">
        <x:v>full-range metered capacity sweep</x:v>
      </x:c>
      <x:c r="F37" s="15" t="n">
        <x:v>0</x:v>
      </x:c>
      <x:c r="G37" s="15" t="str">
        <x:v>OPEN / UNMEASURED</x:v>
      </x:c>
      <x:c r="H37" s="15" t="str">
        <x:v>No sibling, midpoint or modeled zero</x:v>
      </x:c>
      <x:c r="I37" s="15" t="n">
        <x:v>0</x:v>
      </x:c>
    </x:row>
    <x:row r="38">
      <x:c r="A38" s="15" t="str">
        <x:v>RT-B-C-REQ</x:v>
      </x:c>
      <x:c r="B38" s="15" t="str">
        <x:v>RT-B-C</x:v>
      </x:c>
      <x:c r="C38" s="15" t="str">
        <x:v>βR</x:v>
      </x:c>
      <x:c r="D38" s="18" t="str">
        <x:v>service requirement scale factor</x:v>
      </x:c>
      <x:c r="E38" s="18" t="str">
        <x:v>receiver-denominator replay</x:v>
      </x:c>
      <x:c r="F38" s="15" t="n">
        <x:v>0</x:v>
      </x:c>
      <x:c r="G38" s="15" t="str">
        <x:v>OPEN / UNMEASURED</x:v>
      </x:c>
      <x:c r="H38" s="15" t="str">
        <x:v>No sibling, midpoint or modeled zero</x:v>
      </x:c>
      <x:c r="I38" s="15" t="n">
        <x:v>0</x:v>
      </x:c>
    </x:row>
    <x:row r="39">
      <x:c r="A39" s="15" t="str">
        <x:v>RT-B-C-LOSS</x:v>
      </x:c>
      <x:c r="B39" s="15" t="str">
        <x:v>RT-B-C</x:v>
      </x:c>
      <x:c r="C39" s="15" t="str">
        <x:v>λ</x:v>
      </x:c>
      <x:c r="D39" s="18" t="str">
        <x:v>largest-cell propagation fraction</x:v>
      </x:c>
      <x:c r="E39" s="18" t="str">
        <x:v>instrumented cell-loss trial</x:v>
      </x:c>
      <x:c r="F39" s="15" t="n">
        <x:v>0</x:v>
      </x:c>
      <x:c r="G39" s="15" t="str">
        <x:v>OPEN / UNMEASURED</x:v>
      </x:c>
      <x:c r="H39" s="15" t="str">
        <x:v>No sibling, midpoint or modeled zero</x:v>
      </x:c>
      <x:c r="I39" s="15" t="n">
        <x:v>0</x:v>
      </x:c>
    </x:row>
    <x:row r="40">
      <x:c r="A40" s="15" t="str">
        <x:v>RT-B-C-KEY</x:v>
      </x:c>
      <x:c r="B40" s="15" t="str">
        <x:v>RT-B-C</x:v>
      </x:c>
      <x:c r="C40" s="15" t="str">
        <x:v>κ</x:v>
      </x:c>
      <x:c r="D40" s="18" t="str">
        <x:v>fatal-keystone retained fraction</x:v>
      </x:c>
      <x:c r="E40" s="18" t="str">
        <x:v>frozen keystone intervention</x:v>
      </x:c>
      <x:c r="F40" s="15" t="n">
        <x:v>0</x:v>
      </x:c>
      <x:c r="G40" s="15" t="str">
        <x:v>OPEN / UNMEASURED</x:v>
      </x:c>
      <x:c r="H40" s="15" t="str">
        <x:v>No sibling, midpoint or modeled zero</x:v>
      </x:c>
      <x:c r="I40" s="15" t="n">
        <x:v>0</x:v>
      </x:c>
    </x:row>
    <x:row r="41">
      <x:c r="A41" s="15" t="str">
        <x:v>RT-B-C-COLD</x:v>
      </x:c>
      <x:c r="B41" s="15" t="str">
        <x:v>RT-B-C</x:v>
      </x:c>
      <x:c r="C41" s="15" t="str">
        <x:v>χ</x:v>
      </x:c>
      <x:c r="D41" s="18" t="str">
        <x:v>cold-start retained fraction</x:v>
      </x:c>
      <x:c r="E41" s="18" t="str">
        <x:v>clean-team reconstruction and black start</x:v>
      </x:c>
      <x:c r="F41" s="15" t="n">
        <x:v>0</x:v>
      </x:c>
      <x:c r="G41" s="15" t="str">
        <x:v>OPEN / UNMEASURED</x:v>
      </x:c>
      <x:c r="H41" s="15" t="str">
        <x:v>No sibling, midpoint or modeled zero</x:v>
      </x:c>
      <x:c r="I41" s="15" t="n">
        <x:v>0</x:v>
      </x:c>
    </x:row>
    <x:row r="42">
      <x:c r="A42" s="15" t="str">
        <x:v>RT-B-C-THERM</x:v>
      </x:c>
      <x:c r="B42" s="15" t="str">
        <x:v>RT-B-C</x:v>
      </x:c>
      <x:c r="C42" s="15" t="str">
        <x:v>θ</x:v>
      </x:c>
      <x:c r="D42" s="18" t="str">
        <x:v>peak thermal duty coefficient</x:v>
      </x:c>
      <x:c r="E42" s="18" t="str">
        <x:v>worst-ambient calorimetry and heat rejection</x:v>
      </x:c>
      <x:c r="F42" s="15" t="n">
        <x:v>0</x:v>
      </x:c>
      <x:c r="G42" s="15" t="str">
        <x:v>OPEN / UNMEASURED</x:v>
      </x:c>
      <x:c r="H42" s="15" t="str">
        <x:v>No sibling, midpoint or modeled zero</x:v>
      </x:c>
      <x:c r="I42" s="15" t="n">
        <x:v>0</x:v>
      </x:c>
    </x:row>
  </x:sheetData>
  <x:conditionalFormatting sqref="G7:G42">
    <x:cfRule type="containsText" dxfId="9" priority="1" operator="containsText" text="HOLD"/>
    <x:cfRule type="containsText" dxfId="10" priority="2" operator="containsText" text="FAIL"/>
    <x:cfRule type="containsText" dxfId="11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b93c394d263d400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6" hidden="0" customWidth="1"/>
    <x:col min="4" max="4" width="58" hidden="0" customWidth="1"/>
    <x:col min="5" max="5" width="14" hidden="0" customWidth="1"/>
    <x:col min="6" max="6" width="12" hidden="0" customWidth="1"/>
    <x:col min="7" max="7" width="18" hidden="0" customWidth="1"/>
    <x:col min="8" max="8" width="2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Twenty-four source-specific technology orders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Order</x:v>
      </x:c>
      <x:c r="B6" s="18" t="str">
        <x:v>Form</x:v>
      </x:c>
      <x:c r="C6" s="18" t="str">
        <x:v>Technology</x:v>
      </x:c>
      <x:c r="D6" s="18" t="str">
        <x:v>Required advance</x:v>
      </x:c>
      <x:c r="E6" s="18" t="str">
        <x:v>Builder roots</x:v>
      </x:c>
      <x:c r="F6" s="18" t="str">
        <x:v>Articles</x:v>
      </x:c>
      <x:c r="G6" s="18" t="str">
        <x:v>Accepted evidence</x:v>
      </x:c>
      <x:c r="H6" s="18" t="str">
        <x:v>State</x:v>
      </x:c>
    </x:row>
    <x:row r="7">
      <x:c r="A7" s="15" t="str">
        <x:v>ET-A-A-TECH-1</x:v>
      </x:c>
      <x:c r="B7" s="15" t="str">
        <x:v>ET-A-A</x:v>
      </x:c>
      <x:c r="C7" s="18" t="str">
        <x:v>Independent six-axis transfer saddle</x:v>
      </x:c>
      <x:c r="D7" s="18" t="str">
        <x:v>coupled motion and load cancellation at full transfer</x:v>
      </x:c>
      <x:c r="E7" s="15" t="n">
        <x:f>Inputs!$B$13</x:f>
        <x:v>2</x:v>
      </x:c>
      <x:c r="F7" s="15" t="n">
        <x:f>Inputs!$B$13*Inputs!$B$14</x:f>
        <x:v>6</x:v>
      </x:c>
      <x:c r="G7" s="15" t="n">
        <x:v>0</x:v>
      </x:c>
      <x:c r="H7" s="15" t="str">
        <x:v>ORDERED / UNBUILT</x:v>
      </x:c>
    </x:row>
    <x:row r="8">
      <x:c r="A8" s="15" t="str">
        <x:v>ET-A-A-TECH-2</x:v>
      </x:c>
      <x:c r="B8" s="15" t="str">
        <x:v>ET-A-A</x:v>
      </x:c>
      <x:c r="C8" s="18" t="str">
        <x:v>Self-forming shore path</x:v>
      </x:c>
      <x:c r="D8" s="18" t="str">
        <x:v>robotic amphibious support with verified bearing and separate custody</x:v>
      </x:c>
      <x:c r="E8" s="15" t="n">
        <x:f>Inputs!$B$13</x:f>
        <x:v>2</x:v>
      </x:c>
      <x:c r="F8" s="15" t="n">
        <x:f>Inputs!$B$13*Inputs!$B$14</x:f>
        <x:v>6</x:v>
      </x:c>
      <x:c r="G8" s="15" t="n">
        <x:v>0</x:v>
      </x:c>
      <x:c r="H8" s="15" t="str">
        <x:v>ORDERED / UNBUILT</x:v>
      </x:c>
    </x:row>
    <x:row r="9">
      <x:c r="A9" s="15" t="str">
        <x:v>ET-A-A-TECH-3</x:v>
      </x:c>
      <x:c r="B9" s="15" t="str">
        <x:v>ET-A-A</x:v>
      </x:c>
      <x:c r="C9" s="18" t="str">
        <x:v>Distributed custody metrology</x:v>
      </x:c>
      <x:c r="D9" s="18" t="str">
        <x:v>salt-tolerant reconciliation without a central meter</x:v>
      </x:c>
      <x:c r="E9" s="15" t="n">
        <x:f>Inputs!$B$13</x:f>
        <x:v>2</x:v>
      </x:c>
      <x:c r="F9" s="15" t="n">
        <x:f>Inputs!$B$13*Inputs!$B$14</x:f>
        <x:v>6</x:v>
      </x:c>
      <x:c r="G9" s="15" t="n">
        <x:v>0</x:v>
      </x:c>
      <x:c r="H9" s="15" t="str">
        <x:v>ORDERED / UNBUILT</x:v>
      </x:c>
    </x:row>
    <x:row r="10">
      <x:c r="A10" s="15" t="str">
        <x:v>ET-A-A-TECH-4</x:v>
      </x:c>
      <x:c r="B10" s="15" t="str">
        <x:v>ET-A-A</x:v>
      </x:c>
      <x:c r="C10" s="18" t="str">
        <x:v>Hull-local thermal metabolism</x:v>
      </x:c>
      <x:c r="D10" s="18" t="str">
        <x:v>drying, refuge and refrigeration rejection inside each train</x:v>
      </x:c>
      <x:c r="E10" s="15" t="n">
        <x:f>Inputs!$B$13</x:f>
        <x:v>2</x:v>
      </x:c>
      <x:c r="F10" s="15" t="n">
        <x:f>Inputs!$B$13*Inputs!$B$14</x:f>
        <x:v>6</x:v>
      </x:c>
      <x:c r="G10" s="15" t="n">
        <x:v>0</x:v>
      </x:c>
      <x:c r="H10" s="15" t="str">
        <x:v>ORDERED / UNBUILT</x:v>
      </x:c>
    </x:row>
    <x:row r="11">
      <x:c r="A11" s="15" t="str">
        <x:v>CT-C-B-TECH-1</x:v>
      </x:c>
      <x:c r="B11" s="15" t="str">
        <x:v>CT-C-B</x:v>
      </x:c>
      <x:c r="C11" s="18" t="str">
        <x:v>Proof-loaded reversible attachment</x:v>
      </x:c>
      <x:c r="D11" s="18" t="str">
        <x:v>robotic anchor installation with continuous structural proof</x:v>
      </x:c>
      <x:c r="E11" s="15" t="n">
        <x:f>Inputs!$B$13</x:f>
        <x:v>2</x:v>
      </x:c>
      <x:c r="F11" s="15" t="n">
        <x:f>Inputs!$B$13*Inputs!$B$14</x:f>
        <x:v>6</x:v>
      </x:c>
      <x:c r="G11" s="15" t="n">
        <x:v>0</x:v>
      </x:c>
      <x:c r="H11" s="15" t="str">
        <x:v>ORDERED / UNBUILT</x:v>
      </x:c>
    </x:row>
    <x:row r="12">
      <x:c r="A12" s="15" t="str">
        <x:v>CT-C-B-TECH-2</x:v>
      </x:c>
      <x:c r="B12" s="15" t="str">
        <x:v>CT-C-B</x:v>
      </x:c>
      <x:c r="C12" s="18" t="str">
        <x:v>Passive progressive-peel arrest</x:v>
      </x:c>
      <x:c r="D12" s="18" t="str">
        <x:v>segment gap that arrests a released façade zone</x:v>
      </x:c>
      <x:c r="E12" s="15" t="n">
        <x:f>Inputs!$B$13</x:f>
        <x:v>2</x:v>
      </x:c>
      <x:c r="F12" s="15" t="n">
        <x:f>Inputs!$B$13*Inputs!$B$14</x:f>
        <x:v>6</x:v>
      </x:c>
      <x:c r="G12" s="15" t="n">
        <x:v>0</x:v>
      </x:c>
      <x:c r="H12" s="15" t="str">
        <x:v>ORDERED / UNBUILT</x:v>
      </x:c>
    </x:row>
    <x:row r="13">
      <x:c r="A13" s="15" t="str">
        <x:v>CT-C-B-TECH-3</x:v>
      </x:c>
      <x:c r="B13" s="15" t="str">
        <x:v>CT-C-B</x:v>
      </x:c>
      <x:c r="C13" s="18" t="str">
        <x:v>Mixed-utility guillotine</x:v>
      </x:c>
      <x:c r="D13" s="18" t="str">
        <x:v>electrical, hydraulic, smoke and dirty-return isolation</x:v>
      </x:c>
      <x:c r="E13" s="15" t="n">
        <x:f>Inputs!$B$13</x:f>
        <x:v>2</x:v>
      </x:c>
      <x:c r="F13" s="15" t="n">
        <x:f>Inputs!$B$13*Inputs!$B$14</x:f>
        <x:v>6</x:v>
      </x:c>
      <x:c r="G13" s="15" t="n">
        <x:v>0</x:v>
      </x:c>
      <x:c r="H13" s="15" t="str">
        <x:v>ORDERED / UNBUILT</x:v>
      </x:c>
    </x:row>
    <x:row r="14">
      <x:c r="A14" s="15" t="str">
        <x:v>CT-C-B-TECH-4</x:v>
      </x:c>
      <x:c r="B14" s="15" t="str">
        <x:v>CT-C-B</x:v>
      </x:c>
      <x:c r="C14" s="18" t="str">
        <x:v>Occupied-zone installation robotics</x:v>
      </x:c>
      <x:c r="D14" s="18" t="str">
        <x:v>low-noise contamination-aware work around continuing occupancy</x:v>
      </x:c>
      <x:c r="E14" s="15" t="n">
        <x:f>Inputs!$B$13</x:f>
        <x:v>2</x:v>
      </x:c>
      <x:c r="F14" s="15" t="n">
        <x:f>Inputs!$B$13*Inputs!$B$14</x:f>
        <x:v>6</x:v>
      </x:c>
      <x:c r="G14" s="15" t="n">
        <x:v>0</x:v>
      </x:c>
      <x:c r="H14" s="15" t="str">
        <x:v>ORDERED / UNBUILT</x:v>
      </x:c>
    </x:row>
    <x:row r="15">
      <x:c r="A15" s="15" t="str">
        <x:v>HC-A-C-TECH-1</x:v>
      </x:c>
      <x:c r="B15" s="15" t="str">
        <x:v>HC-A-C</x:v>
      </x:c>
      <x:c r="C15" s="18" t="str">
        <x:v>Mesh-independent heavy rotor cell</x:v>
      </x:c>
      <x:c r="D15" s="18" t="str">
        <x:v>local flight, causal delivery and safeing under denied navigation</x:v>
      </x:c>
      <x:c r="E15" s="15" t="n">
        <x:f>Inputs!$B$13</x:f>
        <x:v>2</x:v>
      </x:c>
      <x:c r="F15" s="15" t="n">
        <x:f>Inputs!$B$13*Inputs!$B$14</x:f>
        <x:v>6</x:v>
      </x:c>
      <x:c r="G15" s="15" t="n">
        <x:v>0</x:v>
      </x:c>
      <x:c r="H15" s="15" t="str">
        <x:v>ORDERED / UNBUILT</x:v>
      </x:c>
    </x:row>
    <x:row r="16">
      <x:c r="A16" s="15" t="str">
        <x:v>HC-A-C-TECH-2</x:v>
      </x:c>
      <x:c r="B16" s="15" t="str">
        <x:v>HC-A-C</x:v>
      </x:c>
      <x:c r="C16" s="18" t="str">
        <x:v>Hot-zone exchange lane</x:v>
      </x:c>
      <x:c r="D16" s="18" t="str">
        <x:v>robotic battery or working-fluid exchange inside plume conditions</x:v>
      </x:c>
      <x:c r="E16" s="15" t="n">
        <x:f>Inputs!$B$13</x:f>
        <x:v>2</x:v>
      </x:c>
      <x:c r="F16" s="15" t="n">
        <x:f>Inputs!$B$13*Inputs!$B$14</x:f>
        <x:v>6</x:v>
      </x:c>
      <x:c r="G16" s="15" t="n">
        <x:v>0</x:v>
      </x:c>
      <x:c r="H16" s="15" t="str">
        <x:v>ORDERED / UNBUILT</x:v>
      </x:c>
    </x:row>
    <x:row r="17">
      <x:c r="A17" s="15" t="str">
        <x:v>HC-A-C-TECH-3</x:v>
      </x:c>
      <x:c r="B17" s="15" t="str">
        <x:v>HC-A-C</x:v>
      </x:c>
      <x:c r="C17" s="18" t="str">
        <x:v>Self-calibrating plume tomography</x:v>
      </x:c>
      <x:c r="D17" s="18" t="str">
        <x:v>visible hold under correlated sensor drift</x:v>
      </x:c>
      <x:c r="E17" s="15" t="n">
        <x:f>Inputs!$B$13</x:f>
        <x:v>2</x:v>
      </x:c>
      <x:c r="F17" s="15" t="n">
        <x:f>Inputs!$B$13*Inputs!$B$14</x:f>
        <x:v>6</x:v>
      </x:c>
      <x:c r="G17" s="15" t="n">
        <x:v>0</x:v>
      </x:c>
      <x:c r="H17" s="15" t="str">
        <x:v>ORDERED / UNBUILT</x:v>
      </x:c>
    </x:row>
    <x:row r="18">
      <x:c r="A18" s="15" t="str">
        <x:v>HC-A-C-TECH-4</x:v>
      </x:c>
      <x:c r="B18" s="15" t="str">
        <x:v>HC-A-C</x:v>
      </x:c>
      <x:c r="C18" s="18" t="str">
        <x:v>Cell-local aero-thermal system</x:v>
      </x:c>
      <x:c r="D18" s="18" t="str">
        <x:v>72-hour rotor and payload control without shared cooling</x:v>
      </x:c>
      <x:c r="E18" s="15" t="n">
        <x:f>Inputs!$B$13</x:f>
        <x:v>2</x:v>
      </x:c>
      <x:c r="F18" s="15" t="n">
        <x:f>Inputs!$B$13*Inputs!$B$14</x:f>
        <x:v>6</x:v>
      </x:c>
      <x:c r="G18" s="15" t="n">
        <x:v>0</x:v>
      </x:c>
      <x:c r="H18" s="15" t="str">
        <x:v>ORDERED / UNBUILT</x:v>
      </x:c>
    </x:row>
    <x:row r="19">
      <x:c r="A19" s="15" t="str">
        <x:v>LF-B-A-TECH-1</x:v>
      </x:c>
      <x:c r="B19" s="15" t="str">
        <x:v>LF-B-A</x:v>
      </x:c>
      <x:c r="C19" s="18" t="str">
        <x:v>Rapid multi-bore inference</x:v>
      </x:c>
      <x:c r="D19" s="18" t="str">
        <x:v>local reservoir bounds without a central subsurface model</x:v>
      </x:c>
      <x:c r="E19" s="15" t="n">
        <x:f>Inputs!$B$13</x:f>
        <x:v>2</x:v>
      </x:c>
      <x:c r="F19" s="15" t="n">
        <x:f>Inputs!$B$13*Inputs!$B$14</x:f>
        <x:v>6</x:v>
      </x:c>
      <x:c r="G19" s="15" t="n">
        <x:v>0</x:v>
      </x:c>
      <x:c r="H19" s="15" t="str">
        <x:v>ORDERED / UNBUILT</x:v>
      </x:c>
    </x:row>
    <x:row r="20">
      <x:c r="A20" s="15" t="str">
        <x:v>LF-B-A-TECH-2</x:v>
      </x:c>
      <x:c r="B20" s="15" t="str">
        <x:v>LF-B-A</x:v>
      </x:c>
      <x:c r="C20" s="18" t="str">
        <x:v>Headerless high-temperature switching</x:v>
      </x:c>
      <x:c r="D20" s="18" t="str">
        <x:v>island-local production and reinjection isolation</x:v>
      </x:c>
      <x:c r="E20" s="15" t="n">
        <x:f>Inputs!$B$13</x:f>
        <x:v>2</x:v>
      </x:c>
      <x:c r="F20" s="15" t="n">
        <x:f>Inputs!$B$13*Inputs!$B$14</x:f>
        <x:v>6</x:v>
      </x:c>
      <x:c r="G20" s="15" t="n">
        <x:v>0</x:v>
      </x:c>
      <x:c r="H20" s="15" t="str">
        <x:v>ORDERED / UNBUILT</x:v>
      </x:c>
    </x:row>
    <x:row r="21">
      <x:c r="A21" s="15" t="str">
        <x:v>LF-B-A-TECH-3</x:v>
      </x:c>
      <x:c r="B21" s="15" t="str">
        <x:v>LF-B-A</x:v>
      </x:c>
      <x:c r="C21" s="18" t="str">
        <x:v>Closed brine-mineral metabolism</x:v>
      </x:c>
      <x:c r="D21" s="18" t="str">
        <x:v>continuous mass, chemistry and heat reconciliation</x:v>
      </x:c>
      <x:c r="E21" s="15" t="n">
        <x:f>Inputs!$B$13</x:f>
        <x:v>2</x:v>
      </x:c>
      <x:c r="F21" s="15" t="n">
        <x:f>Inputs!$B$13*Inputs!$B$14</x:f>
        <x:v>6</x:v>
      </x:c>
      <x:c r="G21" s="15" t="n">
        <x:v>0</x:v>
      </x:c>
      <x:c r="H21" s="15" t="str">
        <x:v>ORDERED / UNBUILT</x:v>
      </x:c>
    </x:row>
    <x:row r="22">
      <x:c r="A22" s="15" t="str">
        <x:v>LF-B-A-TECH-4</x:v>
      </x:c>
      <x:c r="B22" s="15" t="str">
        <x:v>LF-B-A</x:v>
      </x:c>
      <x:c r="C22" s="18" t="str">
        <x:v>Autonomous trenchless lifeline corridor</x:v>
      </x:c>
      <x:c r="D22" s="18" t="str">
        <x:v>two reconstructable water-power paths across broken terrain</x:v>
      </x:c>
      <x:c r="E22" s="15" t="n">
        <x:f>Inputs!$B$13</x:f>
        <x:v>2</x:v>
      </x:c>
      <x:c r="F22" s="15" t="n">
        <x:f>Inputs!$B$13*Inputs!$B$14</x:f>
        <x:v>6</x:v>
      </x:c>
      <x:c r="G22" s="15" t="n">
        <x:v>0</x:v>
      </x:c>
      <x:c r="H22" s="15" t="str">
        <x:v>ORDERED / UNBUILT</x:v>
      </x:c>
    </x:row>
    <x:row r="23">
      <x:c r="A23" s="15" t="str">
        <x:v>HU-A-B-TECH-1</x:v>
      </x:c>
      <x:c r="B23" s="15" t="str">
        <x:v>HU-A-B</x:v>
      </x:c>
      <x:c r="C23" s="18" t="str">
        <x:v>Counter-rotating clinical loops</x:v>
      </x:c>
      <x:c r="D23" s="18" t="str">
        <x:v>clean-dirty circulation through a section and crossbar cut</x:v>
      </x:c>
      <x:c r="E23" s="15" t="n">
        <x:f>Inputs!$B$13</x:f>
        <x:v>2</x:v>
      </x:c>
      <x:c r="F23" s="15" t="n">
        <x:f>Inputs!$B$13*Inputs!$B$14</x:f>
        <x:v>6</x:v>
      </x:c>
      <x:c r="G23" s="15" t="n">
        <x:v>0</x:v>
      </x:c>
      <x:c r="H23" s="15" t="str">
        <x:v>ORDERED / UNBUILT</x:v>
      </x:c>
    </x:row>
    <x:row r="24">
      <x:c r="A24" s="15" t="str">
        <x:v>HU-A-B-TECH-2</x:v>
      </x:c>
      <x:c r="B24" s="15" t="str">
        <x:v>HU-A-B</x:v>
      </x:c>
      <x:c r="C24" s="18" t="str">
        <x:v>Acuity-reconfigurable care district</x:v>
      </x:c>
      <x:c r="D24" s="18" t="str">
        <x:v>convert a bay without deleting any of ten care lines</x:v>
      </x:c>
      <x:c r="E24" s="15" t="n">
        <x:f>Inputs!$B$13</x:f>
        <x:v>2</x:v>
      </x:c>
      <x:c r="F24" s="15" t="n">
        <x:f>Inputs!$B$13*Inputs!$B$14</x:f>
        <x:v>6</x:v>
      </x:c>
      <x:c r="G24" s="15" t="n">
        <x:v>0</x:v>
      </x:c>
      <x:c r="H24" s="15" t="str">
        <x:v>ORDERED / UNBUILT</x:v>
      </x:c>
    </x:row>
    <x:row r="25">
      <x:c r="A25" s="15" t="str">
        <x:v>HU-A-B-TECH-3</x:v>
      </x:c>
      <x:c r="B25" s="15" t="str">
        <x:v>HU-A-B</x:v>
      </x:c>
      <x:c r="C25" s="18" t="str">
        <x:v>Distributed sterile ancestry</x:v>
      </x:c>
      <x:c r="D25" s="18" t="str">
        <x:v>qualify replacement supply without a central sterile core</x:v>
      </x:c>
      <x:c r="E25" s="15" t="n">
        <x:f>Inputs!$B$13</x:f>
        <x:v>2</x:v>
      </x:c>
      <x:c r="F25" s="15" t="n">
        <x:f>Inputs!$B$13*Inputs!$B$14</x:f>
        <x:v>6</x:v>
      </x:c>
      <x:c r="G25" s="15" t="n">
        <x:v>0</x:v>
      </x:c>
      <x:c r="H25" s="15" t="str">
        <x:v>ORDERED / UNBUILT</x:v>
      </x:c>
    </x:row>
    <x:row r="26">
      <x:c r="A26" s="15" t="str">
        <x:v>HU-A-B-TECH-4</x:v>
      </x:c>
      <x:c r="B26" s="15" t="str">
        <x:v>HU-A-B</x:v>
      </x:c>
      <x:c r="C26" s="18" t="str">
        <x:v>Offline relationship continuity</x:v>
      </x:c>
      <x:c r="D26" s="18" t="str">
        <x:v>identity, consent and support records without network dependence</x:v>
      </x:c>
      <x:c r="E26" s="15" t="n">
        <x:f>Inputs!$B$13</x:f>
        <x:v>2</x:v>
      </x:c>
      <x:c r="F26" s="15" t="n">
        <x:f>Inputs!$B$13*Inputs!$B$14</x:f>
        <x:v>6</x:v>
      </x:c>
      <x:c r="G26" s="15" t="n">
        <x:v>0</x:v>
      </x:c>
      <x:c r="H26" s="15" t="str">
        <x:v>ORDERED / UNBUILT</x:v>
      </x:c>
    </x:row>
    <x:row r="27">
      <x:c r="A27" s="15" t="str">
        <x:v>RT-B-C-TECH-1</x:v>
      </x:c>
      <x:c r="B27" s="15" t="str">
        <x:v>RT-B-C</x:v>
      </x:c>
      <x:c r="C27" s="18" t="str">
        <x:v>Ancestry-complete mobile trainlet</x:v>
      </x:c>
      <x:c r="D27" s="18" t="str">
        <x:v>dirty return through signed release inside one road-mobile chain</x:v>
      </x:c>
      <x:c r="E27" s="15" t="n">
        <x:f>Inputs!$B$13</x:f>
        <x:v>2</x:v>
      </x:c>
      <x:c r="F27" s="15" t="n">
        <x:f>Inputs!$B$13*Inputs!$B$14</x:f>
        <x:v>6</x:v>
      </x:c>
      <x:c r="G27" s="15" t="n">
        <x:v>0</x:v>
      </x:c>
      <x:c r="H27" s="15" t="str">
        <x:v>ORDERED / UNBUILT</x:v>
      </x:c>
    </x:row>
    <x:row r="28">
      <x:c r="A28" s="15" t="str">
        <x:v>RT-B-C-TECH-2</x:v>
      </x:c>
      <x:c r="B28" s="15" t="str">
        <x:v>RT-B-C</x:v>
      </x:c>
      <x:c r="C28" s="18" t="str">
        <x:v>Pulsed process microgrid</x:v>
      </x:c>
      <x:c r="D28" s="18" t="str">
        <x:v>trainlet-local power and heat rejection after largest-cell loss</x:v>
      </x:c>
      <x:c r="E28" s="15" t="n">
        <x:f>Inputs!$B$13</x:f>
        <x:v>2</x:v>
      </x:c>
      <x:c r="F28" s="15" t="n">
        <x:f>Inputs!$B$13*Inputs!$B$14</x:f>
        <x:v>6</x:v>
      </x:c>
      <x:c r="G28" s="15" t="n">
        <x:v>0</x:v>
      </x:c>
      <x:c r="H28" s="15" t="str">
        <x:v>ORDERED / UNBUILT</x:v>
      </x:c>
    </x:row>
    <x:row r="29">
      <x:c r="A29" s="15" t="str">
        <x:v>RT-B-C-TECH-3</x:v>
      </x:c>
      <x:c r="B29" s="15" t="str">
        <x:v>RT-B-C</x:v>
      </x:c>
      <x:c r="C29" s="18" t="str">
        <x:v>Self-describing machines and fixtures</x:v>
      </x:c>
      <x:c r="D29" s="18" t="str">
        <x:v>cold rebuild without private keys or tacit setup</x:v>
      </x:c>
      <x:c r="E29" s="15" t="n">
        <x:f>Inputs!$B$13</x:f>
        <x:v>2</x:v>
      </x:c>
      <x:c r="F29" s="15" t="n">
        <x:f>Inputs!$B$13*Inputs!$B$14</x:f>
        <x:v>6</x:v>
      </x:c>
      <x:c r="G29" s="15" t="n">
        <x:v>0</x:v>
      </x:c>
      <x:c r="H29" s="15" t="str">
        <x:v>ORDERED / UNBUILT</x:v>
      </x:c>
    </x:row>
    <x:row r="30">
      <x:c r="A30" s="15" t="str">
        <x:v>RT-B-C-TECH-4</x:v>
      </x:c>
      <x:c r="B30" s="15" t="str">
        <x:v>RT-B-C</x:v>
      </x:c>
      <x:c r="C30" s="18" t="str">
        <x:v>Portable primary metrology</x:v>
      </x:c>
      <x:c r="D30" s="18" t="str">
        <x:v>field standards that qualify release without a central laboratory</x:v>
      </x:c>
      <x:c r="E30" s="15" t="n">
        <x:f>Inputs!$B$13</x:f>
        <x:v>2</x:v>
      </x:c>
      <x:c r="F30" s="15" t="n">
        <x:f>Inputs!$B$13*Inputs!$B$14</x:f>
        <x:v>6</x:v>
      </x:c>
      <x:c r="G30" s="15" t="n">
        <x:v>0</x:v>
      </x:c>
      <x:c r="H30" s="15" t="str">
        <x:v>ORDERED / UNBUILT</x:v>
      </x:c>
    </x:row>
  </x:sheetData>
  <x:conditionalFormatting sqref="H7:H30">
    <x:cfRule type="containsText" dxfId="12" priority="1" operator="containsText" text="HOLD"/>
    <x:cfRule type="containsText" dxfId="13" priority="2" operator="containsText" text="FAIL"/>
    <x:cfRule type="containsText" dxfId="14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a42321f59e9d4c1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4" hidden="0" customWidth="1"/>
    <x:col min="13" max="13" width="26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>
      <x:c r="A2" s="50" t="str">
        <x:v>Nonfungible article program by technology order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</x:row>
    <x:row r="6" ht="34" customHeight="1">
      <x:c r="A6" s="18" t="str">
        <x:v>Order</x:v>
      </x:c>
      <x:c r="B6" s="18" t="str">
        <x:v>Form</x:v>
      </x:c>
      <x:c r="C6" s="18" t="str">
        <x:v>Builder roots</x:v>
      </x:c>
      <x:c r="D6" s="18" t="str">
        <x:v>INT articles</x:v>
      </x:c>
      <x:c r="E6" s="18" t="str">
        <x:v>BRK articles</x:v>
      </x:c>
      <x:c r="F6" s="18" t="str">
        <x:v>RCN articles</x:v>
      </x:c>
      <x:c r="G6" s="18" t="str">
        <x:v>Total articles</x:v>
      </x:c>
      <x:c r="H6" s="18" t="str">
        <x:v>Acceptance-bearing</x:v>
      </x:c>
      <x:c r="I6" s="18" t="str">
        <x:v>Article spend (USD M)</x:v>
      </x:c>
      <x:c r="J6" s="18" t="str">
        <x:v>Tooling (USD M)</x:v>
      </x:c>
      <x:c r="K6" s="18" t="str">
        <x:v>Fixtures (USD M)</x:v>
      </x:c>
      <x:c r="L6" s="18" t="str">
        <x:v>Operations and evidence (USD M)</x:v>
      </x:c>
      <x:c r="M6" s="18" t="str">
        <x:v>State</x:v>
      </x:c>
    </x:row>
    <x:row r="7">
      <x:c r="A7" s="15" t="str">
        <x:v>ET-A-A-TECH-1</x:v>
      </x:c>
      <x:c r="B7" s="15" t="str">
        <x:v>ET-A-A</x:v>
      </x:c>
      <x:c r="C7" s="15" t="n">
        <x:f>Inputs!$B$13</x:f>
        <x:v>2</x:v>
      </x:c>
      <x:c r="D7" s="15" t="n">
        <x:f>C7</x:f>
        <x:v>2</x:v>
      </x:c>
      <x:c r="E7" s="15" t="n">
        <x:f>C7</x:f>
        <x:v>2</x:v>
      </x:c>
      <x:c r="F7" s="15" t="n">
        <x:f>C7</x:f>
        <x:v>2</x:v>
      </x:c>
      <x:c r="G7" s="15" t="n">
        <x:f>SUM(D7:F7)</x:f>
        <x:v>6</x:v>
      </x:c>
      <x:c r="H7" s="15" t="n">
        <x:f>E7+F7</x:f>
        <x:v>4</x:v>
      </x:c>
      <x:c r="I7" s="20" t="n">
        <x:f>G7*Inputs!D33</x:f>
        <x:v>1320</x:v>
      </x:c>
      <x:c r="J7" s="20" t="n">
        <x:f>Inputs!E33</x:f>
        <x:v>320</x:v>
      </x:c>
      <x:c r="K7" s="20" t="n">
        <x:f>Inputs!F33</x:f>
        <x:v>500</x:v>
      </x:c>
      <x:c r="L7" s="20" t="n">
        <x:f>Inputs!G33</x:f>
        <x:v>180</x:v>
      </x:c>
      <x:c r="M7" s="15" t="str">
        <x:v>PROGRAMMED / UNBUILT</x:v>
      </x:c>
    </x:row>
    <x:row r="8">
      <x:c r="A8" s="15" t="str">
        <x:v>ET-A-A-TECH-2</x:v>
      </x:c>
      <x:c r="B8" s="15" t="str">
        <x:v>ET-A-A</x:v>
      </x:c>
      <x:c r="C8" s="15" t="n">
        <x:f>Inputs!$B$13</x:f>
        <x:v>2</x:v>
      </x:c>
      <x:c r="D8" s="15" t="n">
        <x:f>C8</x:f>
        <x:v>2</x:v>
      </x:c>
      <x:c r="E8" s="15" t="n">
        <x:f>C8</x:f>
        <x:v>2</x:v>
      </x:c>
      <x:c r="F8" s="15" t="n">
        <x:f>C8</x:f>
        <x:v>2</x:v>
      </x:c>
      <x:c r="G8" s="15" t="n">
        <x:f>SUM(D8:F8)</x:f>
        <x:v>6</x:v>
      </x:c>
      <x:c r="H8" s="15" t="n">
        <x:f>E8+F8</x:f>
        <x:v>4</x:v>
      </x:c>
      <x:c r="I8" s="20" t="n">
        <x:f>G8*Inputs!D34</x:f>
        <x:v>1080</x:v>
      </x:c>
      <x:c r="J8" s="20" t="n">
        <x:f>Inputs!E34</x:f>
        <x:v>300</x:v>
      </x:c>
      <x:c r="K8" s="20" t="n">
        <x:f>Inputs!F34</x:f>
        <x:v>450</x:v>
      </x:c>
      <x:c r="L8" s="20" t="n">
        <x:f>Inputs!G34</x:f>
        <x:v>160</x:v>
      </x:c>
      <x:c r="M8" s="15" t="str">
        <x:v>PROGRAMMED / UNBUILT</x:v>
      </x:c>
    </x:row>
    <x:row r="9">
      <x:c r="A9" s="15" t="str">
        <x:v>ET-A-A-TECH-3</x:v>
      </x:c>
      <x:c r="B9" s="15" t="str">
        <x:v>ET-A-A</x:v>
      </x:c>
      <x:c r="C9" s="15" t="n">
        <x:f>Inputs!$B$13</x:f>
        <x:v>2</x:v>
      </x:c>
      <x:c r="D9" s="15" t="n">
        <x:f>C9</x:f>
        <x:v>2</x:v>
      </x:c>
      <x:c r="E9" s="15" t="n">
        <x:f>C9</x:f>
        <x:v>2</x:v>
      </x:c>
      <x:c r="F9" s="15" t="n">
        <x:f>C9</x:f>
        <x:v>2</x:v>
      </x:c>
      <x:c r="G9" s="15" t="n">
        <x:f>SUM(D9:F9)</x:f>
        <x:v>6</x:v>
      </x:c>
      <x:c r="H9" s="15" t="n">
        <x:f>E9+F9</x:f>
        <x:v>4</x:v>
      </x:c>
      <x:c r="I9" s="20" t="n">
        <x:f>G9*Inputs!D35</x:f>
        <x:v>420</x:v>
      </x:c>
      <x:c r="J9" s="20" t="n">
        <x:f>Inputs!E35</x:f>
        <x:v>100</x:v>
      </x:c>
      <x:c r="K9" s="20" t="n">
        <x:f>Inputs!F35</x:f>
        <x:v>120</x:v>
      </x:c>
      <x:c r="L9" s="20" t="n">
        <x:f>Inputs!G35</x:f>
        <x:v>70</x:v>
      </x:c>
      <x:c r="M9" s="15" t="str">
        <x:v>PROGRAMMED / UNBUILT</x:v>
      </x:c>
    </x:row>
    <x:row r="10">
      <x:c r="A10" s="15" t="str">
        <x:v>ET-A-A-TECH-4</x:v>
      </x:c>
      <x:c r="B10" s="15" t="str">
        <x:v>ET-A-A</x:v>
      </x:c>
      <x:c r="C10" s="15" t="n">
        <x:f>Inputs!$B$13</x:f>
        <x:v>2</x:v>
      </x:c>
      <x:c r="D10" s="15" t="n">
        <x:f>C10</x:f>
        <x:v>2</x:v>
      </x:c>
      <x:c r="E10" s="15" t="n">
        <x:f>C10</x:f>
        <x:v>2</x:v>
      </x:c>
      <x:c r="F10" s="15" t="n">
        <x:f>C10</x:f>
        <x:v>2</x:v>
      </x:c>
      <x:c r="G10" s="15" t="n">
        <x:f>SUM(D10:F10)</x:f>
        <x:v>6</x:v>
      </x:c>
      <x:c r="H10" s="15" t="n">
        <x:f>E10+F10</x:f>
        <x:v>4</x:v>
      </x:c>
      <x:c r="I10" s="20" t="n">
        <x:f>G10*Inputs!D36</x:f>
        <x:v>780</x:v>
      </x:c>
      <x:c r="J10" s="20" t="n">
        <x:f>Inputs!E36</x:f>
        <x:v>220</x:v>
      </x:c>
      <x:c r="K10" s="20" t="n">
        <x:f>Inputs!F36</x:f>
        <x:v>250</x:v>
      </x:c>
      <x:c r="L10" s="20" t="n">
        <x:f>Inputs!G36</x:f>
        <x:v>110</x:v>
      </x:c>
      <x:c r="M10" s="15" t="str">
        <x:v>PROGRAMMED / UNBUILT</x:v>
      </x:c>
    </x:row>
    <x:row r="11">
      <x:c r="A11" s="15" t="str">
        <x:v>CT-C-B-TECH-1</x:v>
      </x:c>
      <x:c r="B11" s="15" t="str">
        <x:v>CT-C-B</x:v>
      </x:c>
      <x:c r="C11" s="15" t="n">
        <x:f>Inputs!$B$13</x:f>
        <x:v>2</x:v>
      </x:c>
      <x:c r="D11" s="15" t="n">
        <x:f>C11</x:f>
        <x:v>2</x:v>
      </x:c>
      <x:c r="E11" s="15" t="n">
        <x:f>C11</x:f>
        <x:v>2</x:v>
      </x:c>
      <x:c r="F11" s="15" t="n">
        <x:f>C11</x:f>
        <x:v>2</x:v>
      </x:c>
      <x:c r="G11" s="15" t="n">
        <x:f>SUM(D11:F11)</x:f>
        <x:v>6</x:v>
      </x:c>
      <x:c r="H11" s="15" t="n">
        <x:f>E11+F11</x:f>
        <x:v>4</x:v>
      </x:c>
      <x:c r="I11" s="20" t="n">
        <x:f>G11*Inputs!D37</x:f>
        <x:v>540</x:v>
      </x:c>
      <x:c r="J11" s="20" t="n">
        <x:f>Inputs!E37</x:f>
        <x:v>150</x:v>
      </x:c>
      <x:c r="K11" s="20" t="n">
        <x:f>Inputs!F37</x:f>
        <x:v>180</x:v>
      </x:c>
      <x:c r="L11" s="20" t="n">
        <x:f>Inputs!G37</x:f>
        <x:v>80</x:v>
      </x:c>
      <x:c r="M11" s="15" t="str">
        <x:v>PROGRAMMED / UNBUILT</x:v>
      </x:c>
    </x:row>
    <x:row r="12">
      <x:c r="A12" s="15" t="str">
        <x:v>CT-C-B-TECH-2</x:v>
      </x:c>
      <x:c r="B12" s="15" t="str">
        <x:v>CT-C-B</x:v>
      </x:c>
      <x:c r="C12" s="15" t="n">
        <x:f>Inputs!$B$13</x:f>
        <x:v>2</x:v>
      </x:c>
      <x:c r="D12" s="15" t="n">
        <x:f>C12</x:f>
        <x:v>2</x:v>
      </x:c>
      <x:c r="E12" s="15" t="n">
        <x:f>C12</x:f>
        <x:v>2</x:v>
      </x:c>
      <x:c r="F12" s="15" t="n">
        <x:f>C12</x:f>
        <x:v>2</x:v>
      </x:c>
      <x:c r="G12" s="15" t="n">
        <x:f>SUM(D12:F12)</x:f>
        <x:v>6</x:v>
      </x:c>
      <x:c r="H12" s="15" t="n">
        <x:f>E12+F12</x:f>
        <x:v>4</x:v>
      </x:c>
      <x:c r="I12" s="20" t="n">
        <x:f>G12*Inputs!D38</x:f>
        <x:v>420</x:v>
      </x:c>
      <x:c r="J12" s="20" t="n">
        <x:f>Inputs!E38</x:f>
        <x:v>120</x:v>
      </x:c>
      <x:c r="K12" s="20" t="n">
        <x:f>Inputs!F38</x:f>
        <x:v>150</x:v>
      </x:c>
      <x:c r="L12" s="20" t="n">
        <x:f>Inputs!G38</x:f>
        <x:v>70</x:v>
      </x:c>
      <x:c r="M12" s="15" t="str">
        <x:v>PROGRAMMED / UNBUILT</x:v>
      </x:c>
    </x:row>
    <x:row r="13">
      <x:c r="A13" s="15" t="str">
        <x:v>CT-C-B-TECH-3</x:v>
      </x:c>
      <x:c r="B13" s="15" t="str">
        <x:v>CT-C-B</x:v>
      </x:c>
      <x:c r="C13" s="15" t="n">
        <x:f>Inputs!$B$13</x:f>
        <x:v>2</x:v>
      </x:c>
      <x:c r="D13" s="15" t="n">
        <x:f>C13</x:f>
        <x:v>2</x:v>
      </x:c>
      <x:c r="E13" s="15" t="n">
        <x:f>C13</x:f>
        <x:v>2</x:v>
      </x:c>
      <x:c r="F13" s="15" t="n">
        <x:f>C13</x:f>
        <x:v>2</x:v>
      </x:c>
      <x:c r="G13" s="15" t="n">
        <x:f>SUM(D13:F13)</x:f>
        <x:v>6</x:v>
      </x:c>
      <x:c r="H13" s="15" t="n">
        <x:f>E13+F13</x:f>
        <x:v>4</x:v>
      </x:c>
      <x:c r="I13" s="20" t="n">
        <x:f>G13*Inputs!D39</x:f>
        <x:v>300</x:v>
      </x:c>
      <x:c r="J13" s="20" t="n">
        <x:f>Inputs!E39</x:f>
        <x:v>90</x:v>
      </x:c>
      <x:c r="K13" s="20" t="n">
        <x:f>Inputs!F39</x:f>
        <x:v>120</x:v>
      </x:c>
      <x:c r="L13" s="20" t="n">
        <x:f>Inputs!G39</x:f>
        <x:v>50</x:v>
      </x:c>
      <x:c r="M13" s="15" t="str">
        <x:v>PROGRAMMED / UNBUILT</x:v>
      </x:c>
    </x:row>
    <x:row r="14">
      <x:c r="A14" s="15" t="str">
        <x:v>CT-C-B-TECH-4</x:v>
      </x:c>
      <x:c r="B14" s="15" t="str">
        <x:v>CT-C-B</x:v>
      </x:c>
      <x:c r="C14" s="15" t="n">
        <x:f>Inputs!$B$13</x:f>
        <x:v>2</x:v>
      </x:c>
      <x:c r="D14" s="15" t="n">
        <x:f>C14</x:f>
        <x:v>2</x:v>
      </x:c>
      <x:c r="E14" s="15" t="n">
        <x:f>C14</x:f>
        <x:v>2</x:v>
      </x:c>
      <x:c r="F14" s="15" t="n">
        <x:f>C14</x:f>
        <x:v>2</x:v>
      </x:c>
      <x:c r="G14" s="15" t="n">
        <x:f>SUM(D14:F14)</x:f>
        <x:v>6</x:v>
      </x:c>
      <x:c r="H14" s="15" t="n">
        <x:f>E14+F14</x:f>
        <x:v>4</x:v>
      </x:c>
      <x:c r="I14" s="20" t="n">
        <x:f>G14*Inputs!D40</x:f>
        <x:v>360</x:v>
      </x:c>
      <x:c r="J14" s="20" t="n">
        <x:f>Inputs!E40</x:f>
        <x:v>110</x:v>
      </x:c>
      <x:c r="K14" s="20" t="n">
        <x:f>Inputs!F40</x:f>
        <x:v>140</x:v>
      </x:c>
      <x:c r="L14" s="20" t="n">
        <x:f>Inputs!G40</x:f>
        <x:v>60</x:v>
      </x:c>
      <x:c r="M14" s="15" t="str">
        <x:v>PROGRAMMED / UNBUILT</x:v>
      </x:c>
    </x:row>
    <x:row r="15">
      <x:c r="A15" s="15" t="str">
        <x:v>HC-A-C-TECH-1</x:v>
      </x:c>
      <x:c r="B15" s="15" t="str">
        <x:v>HC-A-C</x:v>
      </x:c>
      <x:c r="C15" s="15" t="n">
        <x:f>Inputs!$B$13</x:f>
        <x:v>2</x:v>
      </x:c>
      <x:c r="D15" s="15" t="n">
        <x:f>C15</x:f>
        <x:v>2</x:v>
      </x:c>
      <x:c r="E15" s="15" t="n">
        <x:f>C15</x:f>
        <x:v>2</x:v>
      </x:c>
      <x:c r="F15" s="15" t="n">
        <x:f>C15</x:f>
        <x:v>2</x:v>
      </x:c>
      <x:c r="G15" s="15" t="n">
        <x:f>SUM(D15:F15)</x:f>
        <x:v>6</x:v>
      </x:c>
      <x:c r="H15" s="15" t="n">
        <x:f>E15+F15</x:f>
        <x:v>4</x:v>
      </x:c>
      <x:c r="I15" s="20" t="n">
        <x:f>G15*Inputs!D41</x:f>
        <x:v>900</x:v>
      </x:c>
      <x:c r="J15" s="20" t="n">
        <x:f>Inputs!E41</x:f>
        <x:v>220</x:v>
      </x:c>
      <x:c r="K15" s="20" t="n">
        <x:f>Inputs!F41</x:f>
        <x:v>300</x:v>
      </x:c>
      <x:c r="L15" s="20" t="n">
        <x:f>Inputs!G41</x:f>
        <x:v>120</x:v>
      </x:c>
      <x:c r="M15" s="15" t="str">
        <x:v>PROGRAMMED / UNBUILT</x:v>
      </x:c>
    </x:row>
    <x:row r="16">
      <x:c r="A16" s="15" t="str">
        <x:v>HC-A-C-TECH-2</x:v>
      </x:c>
      <x:c r="B16" s="15" t="str">
        <x:v>HC-A-C</x:v>
      </x:c>
      <x:c r="C16" s="15" t="n">
        <x:f>Inputs!$B$13</x:f>
        <x:v>2</x:v>
      </x:c>
      <x:c r="D16" s="15" t="n">
        <x:f>C16</x:f>
        <x:v>2</x:v>
      </x:c>
      <x:c r="E16" s="15" t="n">
        <x:f>C16</x:f>
        <x:v>2</x:v>
      </x:c>
      <x:c r="F16" s="15" t="n">
        <x:f>C16</x:f>
        <x:v>2</x:v>
      </x:c>
      <x:c r="G16" s="15" t="n">
        <x:f>SUM(D16:F16)</x:f>
        <x:v>6</x:v>
      </x:c>
      <x:c r="H16" s="15" t="n">
        <x:f>E16+F16</x:f>
        <x:v>4</x:v>
      </x:c>
      <x:c r="I16" s="20" t="n">
        <x:f>G16*Inputs!D42</x:f>
        <x:v>480</x:v>
      </x:c>
      <x:c r="J16" s="20" t="n">
        <x:f>Inputs!E42</x:f>
        <x:v>120</x:v>
      </x:c>
      <x:c r="K16" s="20" t="n">
        <x:f>Inputs!F42</x:f>
        <x:v>160</x:v>
      </x:c>
      <x:c r="L16" s="20" t="n">
        <x:f>Inputs!G42</x:f>
        <x:v>70</x:v>
      </x:c>
      <x:c r="M16" s="15" t="str">
        <x:v>PROGRAMMED / UNBUILT</x:v>
      </x:c>
    </x:row>
    <x:row r="17">
      <x:c r="A17" s="15" t="str">
        <x:v>HC-A-C-TECH-3</x:v>
      </x:c>
      <x:c r="B17" s="15" t="str">
        <x:v>HC-A-C</x:v>
      </x:c>
      <x:c r="C17" s="15" t="n">
        <x:f>Inputs!$B$13</x:f>
        <x:v>2</x:v>
      </x:c>
      <x:c r="D17" s="15" t="n">
        <x:f>C17</x:f>
        <x:v>2</x:v>
      </x:c>
      <x:c r="E17" s="15" t="n">
        <x:f>C17</x:f>
        <x:v>2</x:v>
      </x:c>
      <x:c r="F17" s="15" t="n">
        <x:f>C17</x:f>
        <x:v>2</x:v>
      </x:c>
      <x:c r="G17" s="15" t="n">
        <x:f>SUM(D17:F17)</x:f>
        <x:v>6</x:v>
      </x:c>
      <x:c r="H17" s="15" t="n">
        <x:f>E17+F17</x:f>
        <x:v>4</x:v>
      </x:c>
      <x:c r="I17" s="20" t="n">
        <x:f>G17*Inputs!D43</x:f>
        <x:v>210</x:v>
      </x:c>
      <x:c r="J17" s="20" t="n">
        <x:f>Inputs!E43</x:f>
        <x:v>60</x:v>
      </x:c>
      <x:c r="K17" s="20" t="n">
        <x:f>Inputs!F43</x:f>
        <x:v>80</x:v>
      </x:c>
      <x:c r="L17" s="20" t="n">
        <x:f>Inputs!G43</x:f>
        <x:v>40</x:v>
      </x:c>
      <x:c r="M17" s="15" t="str">
        <x:v>PROGRAMMED / UNBUILT</x:v>
      </x:c>
    </x:row>
    <x:row r="18">
      <x:c r="A18" s="15" t="str">
        <x:v>HC-A-C-TECH-4</x:v>
      </x:c>
      <x:c r="B18" s="15" t="str">
        <x:v>HC-A-C</x:v>
      </x:c>
      <x:c r="C18" s="15" t="n">
        <x:f>Inputs!$B$13</x:f>
        <x:v>2</x:v>
      </x:c>
      <x:c r="D18" s="15" t="n">
        <x:f>C18</x:f>
        <x:v>2</x:v>
      </x:c>
      <x:c r="E18" s="15" t="n">
        <x:f>C18</x:f>
        <x:v>2</x:v>
      </x:c>
      <x:c r="F18" s="15" t="n">
        <x:f>C18</x:f>
        <x:v>2</x:v>
      </x:c>
      <x:c r="G18" s="15" t="n">
        <x:f>SUM(D18:F18)</x:f>
        <x:v>6</x:v>
      </x:c>
      <x:c r="H18" s="15" t="n">
        <x:f>E18+F18</x:f>
        <x:v>4</x:v>
      </x:c>
      <x:c r="I18" s="20" t="n">
        <x:f>G18*Inputs!D44</x:f>
        <x:v>420</x:v>
      </x:c>
      <x:c r="J18" s="20" t="n">
        <x:f>Inputs!E44</x:f>
        <x:v>100</x:v>
      </x:c>
      <x:c r="K18" s="20" t="n">
        <x:f>Inputs!F44</x:f>
        <x:v>120</x:v>
      </x:c>
      <x:c r="L18" s="20" t="n">
        <x:f>Inputs!G44</x:f>
        <x:v>60</x:v>
      </x:c>
      <x:c r="M18" s="15" t="str">
        <x:v>PROGRAMMED / UNBUILT</x:v>
      </x:c>
    </x:row>
    <x:row r="19">
      <x:c r="A19" s="15" t="str">
        <x:v>LF-B-A-TECH-1</x:v>
      </x:c>
      <x:c r="B19" s="15" t="str">
        <x:v>LF-B-A</x:v>
      </x:c>
      <x:c r="C19" s="15" t="n">
        <x:f>Inputs!$B$13</x:f>
        <x:v>2</x:v>
      </x:c>
      <x:c r="D19" s="15" t="n">
        <x:f>C19</x:f>
        <x:v>2</x:v>
      </x:c>
      <x:c r="E19" s="15" t="n">
        <x:f>C19</x:f>
        <x:v>2</x:v>
      </x:c>
      <x:c r="F19" s="15" t="n">
        <x:f>C19</x:f>
        <x:v>2</x:v>
      </x:c>
      <x:c r="G19" s="15" t="n">
        <x:f>SUM(D19:F19)</x:f>
        <x:v>6</x:v>
      </x:c>
      <x:c r="H19" s="15" t="n">
        <x:f>E19+F19</x:f>
        <x:v>4</x:v>
      </x:c>
      <x:c r="I19" s="20" t="n">
        <x:f>G19*Inputs!D45</x:f>
        <x:v>720</x:v>
      </x:c>
      <x:c r="J19" s="20" t="n">
        <x:f>Inputs!E45</x:f>
        <x:v>180</x:v>
      </x:c>
      <x:c r="K19" s="20" t="n">
        <x:f>Inputs!F45</x:f>
        <x:v>350</x:v>
      </x:c>
      <x:c r="L19" s="20" t="n">
        <x:f>Inputs!G45</x:f>
        <x:v>120</x:v>
      </x:c>
      <x:c r="M19" s="15" t="str">
        <x:v>PROGRAMMED / UNBUILT</x:v>
      </x:c>
    </x:row>
    <x:row r="20">
      <x:c r="A20" s="15" t="str">
        <x:v>LF-B-A-TECH-2</x:v>
      </x:c>
      <x:c r="B20" s="15" t="str">
        <x:v>LF-B-A</x:v>
      </x:c>
      <x:c r="C20" s="15" t="n">
        <x:f>Inputs!$B$13</x:f>
        <x:v>2</x:v>
      </x:c>
      <x:c r="D20" s="15" t="n">
        <x:f>C20</x:f>
        <x:v>2</x:v>
      </x:c>
      <x:c r="E20" s="15" t="n">
        <x:f>C20</x:f>
        <x:v>2</x:v>
      </x:c>
      <x:c r="F20" s="15" t="n">
        <x:f>C20</x:f>
        <x:v>2</x:v>
      </x:c>
      <x:c r="G20" s="15" t="n">
        <x:f>SUM(D20:F20)</x:f>
        <x:v>6</x:v>
      </x:c>
      <x:c r="H20" s="15" t="n">
        <x:f>E20+F20</x:f>
        <x:v>4</x:v>
      </x:c>
      <x:c r="I20" s="20" t="n">
        <x:f>G20*Inputs!D46</x:f>
        <x:v>1260</x:v>
      </x:c>
      <x:c r="J20" s="20" t="n">
        <x:f>Inputs!E46</x:f>
        <x:v>300</x:v>
      </x:c>
      <x:c r="K20" s="20" t="n">
        <x:f>Inputs!F46</x:f>
        <x:v>600</x:v>
      </x:c>
      <x:c r="L20" s="20" t="n">
        <x:f>Inputs!G46</x:f>
        <x:v>200</x:v>
      </x:c>
      <x:c r="M20" s="15" t="str">
        <x:v>PROGRAMMED / UNBUILT</x:v>
      </x:c>
    </x:row>
    <x:row r="21">
      <x:c r="A21" s="15" t="str">
        <x:v>LF-B-A-TECH-3</x:v>
      </x:c>
      <x:c r="B21" s="15" t="str">
        <x:v>LF-B-A</x:v>
      </x:c>
      <x:c r="C21" s="15" t="n">
        <x:f>Inputs!$B$13</x:f>
        <x:v>2</x:v>
      </x:c>
      <x:c r="D21" s="15" t="n">
        <x:f>C21</x:f>
        <x:v>2</x:v>
      </x:c>
      <x:c r="E21" s="15" t="n">
        <x:f>C21</x:f>
        <x:v>2</x:v>
      </x:c>
      <x:c r="F21" s="15" t="n">
        <x:f>C21</x:f>
        <x:v>2</x:v>
      </x:c>
      <x:c r="G21" s="15" t="n">
        <x:f>SUM(D21:F21)</x:f>
        <x:v>6</x:v>
      </x:c>
      <x:c r="H21" s="15" t="n">
        <x:f>E21+F21</x:f>
        <x:v>4</x:v>
      </x:c>
      <x:c r="I21" s="20" t="n">
        <x:f>G21*Inputs!D47</x:f>
        <x:v>780</x:v>
      </x:c>
      <x:c r="J21" s="20" t="n">
        <x:f>Inputs!E47</x:f>
        <x:v>220</x:v>
      </x:c>
      <x:c r="K21" s="20" t="n">
        <x:f>Inputs!F47</x:f>
        <x:v>400</x:v>
      </x:c>
      <x:c r="L21" s="20" t="n">
        <x:f>Inputs!G47</x:f>
        <x:v>140</x:v>
      </x:c>
      <x:c r="M21" s="15" t="str">
        <x:v>PROGRAMMED / UNBUILT</x:v>
      </x:c>
    </x:row>
    <x:row r="22">
      <x:c r="A22" s="15" t="str">
        <x:v>LF-B-A-TECH-4</x:v>
      </x:c>
      <x:c r="B22" s="15" t="str">
        <x:v>LF-B-A</x:v>
      </x:c>
      <x:c r="C22" s="15" t="n">
        <x:f>Inputs!$B$13</x:f>
        <x:v>2</x:v>
      </x:c>
      <x:c r="D22" s="15" t="n">
        <x:f>C22</x:f>
        <x:v>2</x:v>
      </x:c>
      <x:c r="E22" s="15" t="n">
        <x:f>C22</x:f>
        <x:v>2</x:v>
      </x:c>
      <x:c r="F22" s="15" t="n">
        <x:f>C22</x:f>
        <x:v>2</x:v>
      </x:c>
      <x:c r="G22" s="15" t="n">
        <x:f>SUM(D22:F22)</x:f>
        <x:v>6</x:v>
      </x:c>
      <x:c r="H22" s="15" t="n">
        <x:f>E22+F22</x:f>
        <x:v>4</x:v>
      </x:c>
      <x:c r="I22" s="20" t="n">
        <x:f>G22*Inputs!D48</x:f>
        <x:v>540</x:v>
      </x:c>
      <x:c r="J22" s="20" t="n">
        <x:f>Inputs!E48</x:f>
        <x:v>140</x:v>
      </x:c>
      <x:c r="K22" s="20" t="n">
        <x:f>Inputs!F48</x:f>
        <x:v>250</x:v>
      </x:c>
      <x:c r="L22" s="20" t="n">
        <x:f>Inputs!G48</x:f>
        <x:v>90</x:v>
      </x:c>
      <x:c r="M22" s="15" t="str">
        <x:v>PROGRAMMED / UNBUILT</x:v>
      </x:c>
    </x:row>
    <x:row r="23">
      <x:c r="A23" s="15" t="str">
        <x:v>HU-A-B-TECH-1</x:v>
      </x:c>
      <x:c r="B23" s="15" t="str">
        <x:v>HU-A-B</x:v>
      </x:c>
      <x:c r="C23" s="15" t="n">
        <x:f>Inputs!$B$13</x:f>
        <x:v>2</x:v>
      </x:c>
      <x:c r="D23" s="15" t="n">
        <x:f>C23</x:f>
        <x:v>2</x:v>
      </x:c>
      <x:c r="E23" s="15" t="n">
        <x:f>C23</x:f>
        <x:v>2</x:v>
      </x:c>
      <x:c r="F23" s="15" t="n">
        <x:f>C23</x:f>
        <x:v>2</x:v>
      </x:c>
      <x:c r="G23" s="15" t="n">
        <x:f>SUM(D23:F23)</x:f>
        <x:v>6</x:v>
      </x:c>
      <x:c r="H23" s="15" t="n">
        <x:f>E23+F23</x:f>
        <x:v>4</x:v>
      </x:c>
      <x:c r="I23" s="20" t="n">
        <x:f>G23*Inputs!D49</x:f>
        <x:v>720</x:v>
      </x:c>
      <x:c r="J23" s="20" t="n">
        <x:f>Inputs!E49</x:f>
        <x:v>180</x:v>
      </x:c>
      <x:c r="K23" s="20" t="n">
        <x:f>Inputs!F49</x:f>
        <x:v>240</x:v>
      </x:c>
      <x:c r="L23" s="20" t="n">
        <x:f>Inputs!G49</x:f>
        <x:v>100</x:v>
      </x:c>
      <x:c r="M23" s="15" t="str">
        <x:v>PROGRAMMED / UNBUILT</x:v>
      </x:c>
    </x:row>
    <x:row r="24">
      <x:c r="A24" s="15" t="str">
        <x:v>HU-A-B-TECH-2</x:v>
      </x:c>
      <x:c r="B24" s="15" t="str">
        <x:v>HU-A-B</x:v>
      </x:c>
      <x:c r="C24" s="15" t="n">
        <x:f>Inputs!$B$13</x:f>
        <x:v>2</x:v>
      </x:c>
      <x:c r="D24" s="15" t="n">
        <x:f>C24</x:f>
        <x:v>2</x:v>
      </x:c>
      <x:c r="E24" s="15" t="n">
        <x:f>C24</x:f>
        <x:v>2</x:v>
      </x:c>
      <x:c r="F24" s="15" t="n">
        <x:f>C24</x:f>
        <x:v>2</x:v>
      </x:c>
      <x:c r="G24" s="15" t="n">
        <x:f>SUM(D24:F24)</x:f>
        <x:v>6</x:v>
      </x:c>
      <x:c r="H24" s="15" t="n">
        <x:f>E24+F24</x:f>
        <x:v>4</x:v>
      </x:c>
      <x:c r="I24" s="20" t="n">
        <x:f>G24*Inputs!D50</x:f>
        <x:v>600</x:v>
      </x:c>
      <x:c r="J24" s="20" t="n">
        <x:f>Inputs!E50</x:f>
        <x:v>150</x:v>
      </x:c>
      <x:c r="K24" s="20" t="n">
        <x:f>Inputs!F50</x:f>
        <x:v>200</x:v>
      </x:c>
      <x:c r="L24" s="20" t="n">
        <x:f>Inputs!G50</x:f>
        <x:v>90</x:v>
      </x:c>
      <x:c r="M24" s="15" t="str">
        <x:v>PROGRAMMED / UNBUILT</x:v>
      </x:c>
    </x:row>
    <x:row r="25">
      <x:c r="A25" s="15" t="str">
        <x:v>HU-A-B-TECH-3</x:v>
      </x:c>
      <x:c r="B25" s="15" t="str">
        <x:v>HU-A-B</x:v>
      </x:c>
      <x:c r="C25" s="15" t="n">
        <x:f>Inputs!$B$13</x:f>
        <x:v>2</x:v>
      </x:c>
      <x:c r="D25" s="15" t="n">
        <x:f>C25</x:f>
        <x:v>2</x:v>
      </x:c>
      <x:c r="E25" s="15" t="n">
        <x:f>C25</x:f>
        <x:v>2</x:v>
      </x:c>
      <x:c r="F25" s="15" t="n">
        <x:f>C25</x:f>
        <x:v>2</x:v>
      </x:c>
      <x:c r="G25" s="15" t="n">
        <x:f>SUM(D25:F25)</x:f>
        <x:v>6</x:v>
      </x:c>
      <x:c r="H25" s="15" t="n">
        <x:f>E25+F25</x:f>
        <x:v>4</x:v>
      </x:c>
      <x:c r="I25" s="20" t="n">
        <x:f>G25*Inputs!D51</x:f>
        <x:v>480</x:v>
      </x:c>
      <x:c r="J25" s="20" t="n">
        <x:f>Inputs!E51</x:f>
        <x:v>120</x:v>
      </x:c>
      <x:c r="K25" s="20" t="n">
        <x:f>Inputs!F51</x:f>
        <x:v>160</x:v>
      </x:c>
      <x:c r="L25" s="20" t="n">
        <x:f>Inputs!G51</x:f>
        <x:v>70</x:v>
      </x:c>
      <x:c r="M25" s="15" t="str">
        <x:v>PROGRAMMED / UNBUILT</x:v>
      </x:c>
    </x:row>
    <x:row r="26">
      <x:c r="A26" s="15" t="str">
        <x:v>HU-A-B-TECH-4</x:v>
      </x:c>
      <x:c r="B26" s="15" t="str">
        <x:v>HU-A-B</x:v>
      </x:c>
      <x:c r="C26" s="15" t="n">
        <x:f>Inputs!$B$13</x:f>
        <x:v>2</x:v>
      </x:c>
      <x:c r="D26" s="15" t="n">
        <x:f>C26</x:f>
        <x:v>2</x:v>
      </x:c>
      <x:c r="E26" s="15" t="n">
        <x:f>C26</x:f>
        <x:v>2</x:v>
      </x:c>
      <x:c r="F26" s="15" t="n">
        <x:f>C26</x:f>
        <x:v>2</x:v>
      </x:c>
      <x:c r="G26" s="15" t="n">
        <x:f>SUM(D26:F26)</x:f>
        <x:v>6</x:v>
      </x:c>
      <x:c r="H26" s="15" t="n">
        <x:f>E26+F26</x:f>
        <x:v>4</x:v>
      </x:c>
      <x:c r="I26" s="20" t="n">
        <x:f>G26*Inputs!D52</x:f>
        <x:v>180</x:v>
      </x:c>
      <x:c r="J26" s="20" t="n">
        <x:f>Inputs!E52</x:f>
        <x:v>50</x:v>
      </x:c>
      <x:c r="K26" s="20" t="n">
        <x:f>Inputs!F52</x:f>
        <x:v>60</x:v>
      </x:c>
      <x:c r="L26" s="20" t="n">
        <x:f>Inputs!G52</x:f>
        <x:v>40</x:v>
      </x:c>
      <x:c r="M26" s="15" t="str">
        <x:v>PROGRAMMED / UNBUILT</x:v>
      </x:c>
    </x:row>
    <x:row r="27">
      <x:c r="A27" s="15" t="str">
        <x:v>RT-B-C-TECH-1</x:v>
      </x:c>
      <x:c r="B27" s="15" t="str">
        <x:v>RT-B-C</x:v>
      </x:c>
      <x:c r="C27" s="15" t="n">
        <x:f>Inputs!$B$13</x:f>
        <x:v>2</x:v>
      </x:c>
      <x:c r="D27" s="15" t="n">
        <x:f>C27</x:f>
        <x:v>2</x:v>
      </x:c>
      <x:c r="E27" s="15" t="n">
        <x:f>C27</x:f>
        <x:v>2</x:v>
      </x:c>
      <x:c r="F27" s="15" t="n">
        <x:f>C27</x:f>
        <x:v>2</x:v>
      </x:c>
      <x:c r="G27" s="15" t="n">
        <x:f>SUM(D27:F27)</x:f>
        <x:v>6</x:v>
      </x:c>
      <x:c r="H27" s="15" t="n">
        <x:f>E27+F27</x:f>
        <x:v>4</x:v>
      </x:c>
      <x:c r="I27" s="20" t="n">
        <x:f>G27*Inputs!D53</x:f>
        <x:v>480</x:v>
      </x:c>
      <x:c r="J27" s="20" t="n">
        <x:f>Inputs!E53</x:f>
        <x:v>120</x:v>
      </x:c>
      <x:c r="K27" s="20" t="n">
        <x:f>Inputs!F53</x:f>
        <x:v>140</x:v>
      </x:c>
      <x:c r="L27" s="20" t="n">
        <x:f>Inputs!G53</x:f>
        <x:v>70</x:v>
      </x:c>
      <x:c r="M27" s="15" t="str">
        <x:v>PROGRAMMED / UNBUILT</x:v>
      </x:c>
    </x:row>
    <x:row r="28">
      <x:c r="A28" s="15" t="str">
        <x:v>RT-B-C-TECH-2</x:v>
      </x:c>
      <x:c r="B28" s="15" t="str">
        <x:v>RT-B-C</x:v>
      </x:c>
      <x:c r="C28" s="15" t="n">
        <x:f>Inputs!$B$13</x:f>
        <x:v>2</x:v>
      </x:c>
      <x:c r="D28" s="15" t="n">
        <x:f>C28</x:f>
        <x:v>2</x:v>
      </x:c>
      <x:c r="E28" s="15" t="n">
        <x:f>C28</x:f>
        <x:v>2</x:v>
      </x:c>
      <x:c r="F28" s="15" t="n">
        <x:f>C28</x:f>
        <x:v>2</x:v>
      </x:c>
      <x:c r="G28" s="15" t="n">
        <x:f>SUM(D28:F28)</x:f>
        <x:v>6</x:v>
      </x:c>
      <x:c r="H28" s="15" t="n">
        <x:f>E28+F28</x:f>
        <x:v>4</x:v>
      </x:c>
      <x:c r="I28" s="20" t="n">
        <x:f>G28*Inputs!D54</x:f>
        <x:v>330</x:v>
      </x:c>
      <x:c r="J28" s="20" t="n">
        <x:f>Inputs!E54</x:f>
        <x:v>90</x:v>
      </x:c>
      <x:c r="K28" s="20" t="n">
        <x:f>Inputs!F54</x:f>
        <x:v>110</x:v>
      </x:c>
      <x:c r="L28" s="20" t="n">
        <x:f>Inputs!G54</x:f>
        <x:v>50</x:v>
      </x:c>
      <x:c r="M28" s="15" t="str">
        <x:v>PROGRAMMED / UNBUILT</x:v>
      </x:c>
    </x:row>
    <x:row r="29">
      <x:c r="A29" s="15" t="str">
        <x:v>RT-B-C-TECH-3</x:v>
      </x:c>
      <x:c r="B29" s="15" t="str">
        <x:v>RT-B-C</x:v>
      </x:c>
      <x:c r="C29" s="15" t="n">
        <x:f>Inputs!$B$13</x:f>
        <x:v>2</x:v>
      </x:c>
      <x:c r="D29" s="15" t="n">
        <x:f>C29</x:f>
        <x:v>2</x:v>
      </x:c>
      <x:c r="E29" s="15" t="n">
        <x:f>C29</x:f>
        <x:v>2</x:v>
      </x:c>
      <x:c r="F29" s="15" t="n">
        <x:f>C29</x:f>
        <x:v>2</x:v>
      </x:c>
      <x:c r="G29" s="15" t="n">
        <x:f>SUM(D29:F29)</x:f>
        <x:v>6</x:v>
      </x:c>
      <x:c r="H29" s="15" t="n">
        <x:f>E29+F29</x:f>
        <x:v>4</x:v>
      </x:c>
      <x:c r="I29" s="20" t="n">
        <x:f>G29*Inputs!D55</x:f>
        <x:v>360</x:v>
      </x:c>
      <x:c r="J29" s="20" t="n">
        <x:f>Inputs!E55</x:f>
        <x:v>100</x:v>
      </x:c>
      <x:c r="K29" s="20" t="n">
        <x:f>Inputs!F55</x:f>
        <x:v>120</x:v>
      </x:c>
      <x:c r="L29" s="20" t="n">
        <x:f>Inputs!G55</x:f>
        <x:v>60</x:v>
      </x:c>
      <x:c r="M29" s="15" t="str">
        <x:v>PROGRAMMED / UNBUILT</x:v>
      </x:c>
    </x:row>
    <x:row r="30">
      <x:c r="A30" s="15" t="str">
        <x:v>RT-B-C-TECH-4</x:v>
      </x:c>
      <x:c r="B30" s="15" t="str">
        <x:v>RT-B-C</x:v>
      </x:c>
      <x:c r="C30" s="15" t="n">
        <x:f>Inputs!$B$13</x:f>
        <x:v>2</x:v>
      </x:c>
      <x:c r="D30" s="15" t="n">
        <x:f>C30</x:f>
        <x:v>2</x:v>
      </x:c>
      <x:c r="E30" s="15" t="n">
        <x:f>C30</x:f>
        <x:v>2</x:v>
      </x:c>
      <x:c r="F30" s="15" t="n">
        <x:f>C30</x:f>
        <x:v>2</x:v>
      </x:c>
      <x:c r="G30" s="15" t="n">
        <x:f>SUM(D30:F30)</x:f>
        <x:v>6</x:v>
      </x:c>
      <x:c r="H30" s="15" t="n">
        <x:f>E30+F30</x:f>
        <x:v>4</x:v>
      </x:c>
      <x:c r="I30" s="20" t="n">
        <x:f>G30*Inputs!D56</x:f>
        <x:v>270</x:v>
      </x:c>
      <x:c r="J30" s="20" t="n">
        <x:f>Inputs!E56</x:f>
        <x:v>80</x:v>
      </x:c>
      <x:c r="K30" s="20" t="n">
        <x:f>Inputs!F56</x:f>
        <x:v>100</x:v>
      </x:c>
      <x:c r="L30" s="20" t="n">
        <x:f>Inputs!G56</x:f>
        <x:v>50</x:v>
      </x:c>
      <x:c r="M30" s="15" t="str">
        <x:v>PROGRAMMED / UNBUILT</x:v>
      </x:c>
    </x:row>
  </x:sheetData>
  <x:conditionalFormatting sqref="M7:M30">
    <x:cfRule type="containsText" dxfId="15" priority="1" operator="containsText" text="HOLD"/>
    <x:cfRule type="containsText" dxfId="16" priority="2" operator="containsText" text="FAIL"/>
    <x:cfRule type="containsText" dxfId="17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fe6c81f4f1d847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64" hidden="0" customWidth="1"/>
    <x:col min="7" max="7" width="4" hidden="0" customWidth="1"/>
    <x:col min="8" max="8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Proof-wave exposure by controlling jurisdiction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Jurisdiction</x:v>
      </x:c>
      <x:c r="B6" s="18" t="str">
        <x:v>Reservation (USD M)</x:v>
      </x:c>
      <x:c r="C6" s="18" t="str">
        <x:v>Assigned exposure (USD M)</x:v>
      </x:c>
      <x:c r="D6" s="18" t="str">
        <x:v>Headroom (USD M)</x:v>
      </x:c>
      <x:c r="E6" s="18" t="str">
        <x:v>State</x:v>
      </x:c>
      <x:c r="F6" s="18" t="str">
        <x:v>Functional basis</x:v>
      </x:c>
      <x:c r="G6" s="15"/>
      <x:c r="H6" s="15"/>
    </x:row>
    <x:row r="7">
      <x:c r="A7" s="15" t="str">
        <x:v>Candidate articles and technical data</x:v>
      </x:c>
      <x:c r="B7" s="23" t="n">
        <x:f>Inputs!B18</x:f>
        <x:v>17200</x:v>
      </x:c>
      <x:c r="C7" s="23" t="n">
        <x:f>SUM('Article Program'!$I$7:$I$30)+SUM('Tooling Split'!$E$7:$E$30)</x:f>
        <x:v>16376.666666666668</x:v>
      </x:c>
      <x:c r="D7" s="23" t="n">
        <x:f>B7-C7</x:f>
        <x:v>823.3333333333321</x:v>
      </x:c>
      <x:c r="E7" s="15" t="str">
        <x:f>IF(D7&gt;=0,"WITHIN JURISDICTION","FAIL")</x:f>
        <x:v>WITHIN JURISDICTION</x:v>
      </x:c>
      <x:c r="F7" s="18" t="str">
        <x:v>All full-scale candidate articles plus INT/BRK tooling burden</x:v>
      </x:c>
      <x:c r="G7" s="15"/>
      <x:c r="H7" s="15"/>
    </x:row>
    <x:row r="8">
      <x:c r="A8" s="15" t="str">
        <x:v>Proving stations</x:v>
      </x:c>
      <x:c r="B8" s="23" t="n">
        <x:f>Inputs!B19</x:f>
        <x:v>12900</x:v>
      </x:c>
      <x:c r="C8" s="23" t="n">
        <x:f>SUM('Article Program'!$K$7:$K$30)</x:f>
        <x:v>5300</x:v>
      </x:c>
      <x:c r="D8" s="23" t="n">
        <x:f>B8-C8</x:f>
        <x:v>7600</x:v>
      </x:c>
      <x:c r="E8" s="15" t="str">
        <x:f>IF(D8&gt;=0,"WITHIN JURISDICTION","FAIL")</x:f>
        <x:v>WITHIN JURISDICTION</x:v>
      </x:c>
      <x:c r="F8" s="18" t="str">
        <x:v>Paired public challenge and matched-control fixtures</x:v>
      </x:c>
      <x:c r="G8" s="15"/>
      <x:c r="H8" s="15"/>
    </x:row>
    <x:row r="9">
      <x:c r="A9" s="15" t="str">
        <x:v>Metrology and public custody</x:v>
      </x:c>
      <x:c r="B9" s="23" t="n">
        <x:f>Inputs!B20</x:f>
        <x:v>8600</x:v>
      </x:c>
      <x:c r="C9" s="23" t="n">
        <x:f>SUM('Article Program'!$L$7:$L$30)</x:f>
        <x:v>2150</x:v>
      </x:c>
      <x:c r="D9" s="23" t="n">
        <x:f>B9-C9</x:f>
        <x:v>6450</x:v>
      </x:c>
      <x:c r="E9" s="15" t="str">
        <x:f>IF(D9&gt;=0,"WITHIN JURISDICTION","FAIL")</x:f>
        <x:v>WITHIN JURISDICTION</x:v>
      </x:c>
      <x:c r="F9" s="18" t="str">
        <x:v>Operations, instrumentation custody and evidence handling</x:v>
      </x:c>
      <x:c r="G9" s="15"/>
      <x:c r="H9" s="15"/>
    </x:row>
    <x:row r="10">
      <x:c r="A10" s="15" t="str">
        <x:v>Replacement and regeneration</x:v>
      </x:c>
      <x:c r="B10" s="23" t="n">
        <x:f>Inputs!B21</x:f>
        <x:v>4300</x:v>
      </x:c>
      <x:c r="C10" s="23" t="n">
        <x:f>SUM('Tooling Split'!$G$7:$G$30)</x:f>
        <x:v>1213.3333333333335</x:v>
      </x:c>
      <x:c r="D10" s="23" t="n">
        <x:f>B10-C10</x:f>
        <x:v>3086.6666666666665</x:v>
      </x:c>
      <x:c r="E10" s="15" t="str">
        <x:f>IF(D10&gt;=0,"WITHIN JURISDICTION","FAIL")</x:f>
        <x:v>WITHIN JURISDICTION</x:v>
      </x:c>
      <x:c r="F10" s="18" t="str">
        <x:v>RCN tooling burden under Reconstruction Command</x:v>
      </x:c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 t="str">
        <x:v>Reconciliation</x:v>
      </x:c>
      <x:c r="B14" s="15"/>
      <x:c r="C14" s="15"/>
      <x:c r="D14" s="15"/>
      <x:c r="E14" s="15"/>
      <x:c r="F14" s="15"/>
      <x:c r="G14" s="15"/>
      <x:c r="H14" s="15"/>
    </x:row>
    <x:row r="15">
      <x:c r="A15" s="15" t="str">
        <x:v>Pass 239 candidate/tooling exposure</x:v>
      </x:c>
      <x:c r="B15" s="23" t="n">
        <x:f>SUM('Article Program'!$I$7:$I$30)+SUM('Article Program'!$J$7:$J$30)</x:f>
        <x:v>17590</x:v>
      </x:c>
      <x:c r="C15" s="15"/>
      <x:c r="D15" s="15"/>
      <x:c r="E15" s="15"/>
      <x:c r="F15" s="15"/>
      <x:c r="G15" s="15"/>
      <x:c r="H15" s="15"/>
    </x:row>
    <x:row r="16">
      <x:c r="A16" s="15" t="str">
        <x:v>Pass 184 candidate reservation</x:v>
      </x:c>
      <x:c r="B16" s="23" t="n">
        <x:f>B7</x:f>
        <x:v>17200</x:v>
      </x:c>
      <x:c r="C16" s="15"/>
      <x:c r="D16" s="15"/>
      <x:c r="E16" s="15"/>
      <x:c r="F16" s="15"/>
      <x:c r="G16" s="15"/>
      <x:c r="H16" s="15"/>
    </x:row>
    <x:row r="17">
      <x:c r="A17" s="15" t="str">
        <x:v>Former mismatch</x:v>
      </x:c>
      <x:c r="B17" s="23" t="n">
        <x:f>B15-B16</x:f>
        <x:v>390</x:v>
      </x:c>
      <x:c r="C17" s="15"/>
      <x:c r="D17" s="15"/>
      <x:c r="E17" s="15"/>
      <x:c r="F17" s="15"/>
      <x:c r="G17" s="15"/>
      <x:c r="H17" s="15"/>
    </x:row>
    <x:row r="18">
      <x:c r="A18" s="15" t="str">
        <x:v>Functional tooling correction</x:v>
      </x:c>
      <x:c r="B18" s="23" t="n">
        <x:f>SUM('Tooling Split'!$G$7:$G$30)</x:f>
        <x:v>1213.3333333333335</x:v>
      </x:c>
      <x:c r="C18" s="15"/>
      <x:c r="D18" s="15"/>
      <x:c r="E18" s="15"/>
      <x:c r="F18" s="15"/>
      <x:c r="G18" s="15"/>
      <x:c r="H18" s="15"/>
    </x:row>
    <x:row r="19">
      <x:c r="A19" s="15" t="str">
        <x:v>Corrected candidate exposure</x:v>
      </x:c>
      <x:c r="B19" s="23" t="n">
        <x:f>C7</x:f>
        <x:v>16376.666666666668</x:v>
      </x:c>
      <x:c r="C19" s="15"/>
      <x:c r="D19" s="15"/>
      <x:c r="E19" s="15"/>
      <x:c r="F19" s="15"/>
      <x:c r="G19" s="15"/>
      <x:c r="H19" s="15"/>
    </x:row>
    <x:row r="20">
      <x:c r="A20" s="15" t="str">
        <x:v>Corrected candidate headroom</x:v>
      </x:c>
      <x:c r="B20" s="23" t="n">
        <x:f>D7</x:f>
        <x:v>823.3333333333321</x:v>
      </x:c>
      <x:c r="C20" s="15"/>
      <x:c r="D20" s="15"/>
      <x:c r="E20" s="15"/>
      <x:c r="F20" s="15"/>
      <x:c r="G20" s="15"/>
      <x:c r="H20" s="15"/>
    </x:row>
  </x:sheetData>
  <x:conditionalFormatting sqref="E7:E10">
    <x:cfRule type="containsText" dxfId="18" priority="1" operator="containsText" text="HOLD"/>
    <x:cfRule type="containsText" dxfId="19" priority="2" operator="containsText" text="FAIL"/>
    <x:cfRule type="containsText" dxfId="20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40c2993d435445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20" hidden="0" customWidth="1"/>
    <x:col min="4" max="4" width="22" hidden="0" customWidth="1"/>
    <x:col min="5" max="5" width="22" hidden="0" customWidth="1"/>
    <x:col min="6" max="6" width="26" hidden="0" customWidth="1"/>
    <x:col min="7" max="7" width="26" hidden="0" customWidth="1"/>
    <x:col min="8" max="8" width="6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Functional allocation of root-bound tooling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Order</x:v>
      </x:c>
      <x:c r="B6" s="18" t="str">
        <x:v>Form</x:v>
      </x:c>
      <x:c r="C6" s="18" t="str">
        <x:v>Total tooling (USD M)</x:v>
      </x:c>
      <x:c r="D6" s="18" t="str">
        <x:v>Candidate burden share</x:v>
      </x:c>
      <x:c r="E6" s="18" t="str">
        <x:v>Candidate tooling (USD M)</x:v>
      </x:c>
      <x:c r="F6" s="18" t="str">
        <x:v>Reconstruction burden share</x:v>
      </x:c>
      <x:c r="G6" s="18" t="str">
        <x:v>Reconstruction tooling (USD M)</x:v>
      </x:c>
      <x:c r="H6" s="18" t="str">
        <x:v>Allocation basis</x:v>
      </x:c>
    </x:row>
    <x:row r="7">
      <x:c r="A7" s="15" t="str">
        <x:v>ET-A-A-TECH-1</x:v>
      </x:c>
      <x:c r="B7" s="15" t="str">
        <x:v>ET-A-A</x:v>
      </x:c>
      <x:c r="C7" s="20" t="n">
        <x:f>Inputs!E33</x:f>
        <x:v>320</x:v>
      </x:c>
      <x:c r="D7" s="19" t="n">
        <x:f>Inputs!$B$16</x:f>
        <x:v>0.6666666666666666</x:v>
      </x:c>
      <x:c r="E7" s="23" t="n">
        <x:f>C7*D7</x:f>
        <x:v>213.33333333333331</x:v>
      </x:c>
      <x:c r="F7" s="19" t="n">
        <x:f>Inputs!$B$17</x:f>
        <x:v>0.3333333333333333</x:v>
      </x:c>
      <x:c r="G7" s="23" t="n">
        <x:f>C7*F7</x:f>
        <x:v>106.66666666666666</x:v>
      </x:c>
      <x:c r="H7" s="18" t="str">
        <x:v>Two equal serial-equivalent burdens support INT and BRK; one supports RCN</x:v>
      </x:c>
    </x:row>
    <x:row r="8">
      <x:c r="A8" s="15" t="str">
        <x:v>ET-A-A-TECH-2</x:v>
      </x:c>
      <x:c r="B8" s="15" t="str">
        <x:v>ET-A-A</x:v>
      </x:c>
      <x:c r="C8" s="20" t="n">
        <x:f>Inputs!E34</x:f>
        <x:v>300</x:v>
      </x:c>
      <x:c r="D8" s="19" t="n">
        <x:f>Inputs!$B$16</x:f>
        <x:v>0.6666666666666666</x:v>
      </x:c>
      <x:c r="E8" s="23" t="n">
        <x:f>C8*D8</x:f>
        <x:v>200</x:v>
      </x:c>
      <x:c r="F8" s="19" t="n">
        <x:f>Inputs!$B$17</x:f>
        <x:v>0.3333333333333333</x:v>
      </x:c>
      <x:c r="G8" s="23" t="n">
        <x:f>C8*F8</x:f>
        <x:v>100</x:v>
      </x:c>
      <x:c r="H8" s="18" t="str">
        <x:v>Two equal serial-equivalent burdens support INT and BRK; one supports RCN</x:v>
      </x:c>
    </x:row>
    <x:row r="9">
      <x:c r="A9" s="15" t="str">
        <x:v>ET-A-A-TECH-3</x:v>
      </x:c>
      <x:c r="B9" s="15" t="str">
        <x:v>ET-A-A</x:v>
      </x:c>
      <x:c r="C9" s="20" t="n">
        <x:f>Inputs!E35</x:f>
        <x:v>100</x:v>
      </x:c>
      <x:c r="D9" s="19" t="n">
        <x:f>Inputs!$B$16</x:f>
        <x:v>0.6666666666666666</x:v>
      </x:c>
      <x:c r="E9" s="23" t="n">
        <x:f>C9*D9</x:f>
        <x:v>66.66666666666666</x:v>
      </x:c>
      <x:c r="F9" s="19" t="n">
        <x:f>Inputs!$B$17</x:f>
        <x:v>0.3333333333333333</x:v>
      </x:c>
      <x:c r="G9" s="23" t="n">
        <x:f>C9*F9</x:f>
        <x:v>33.33333333333333</x:v>
      </x:c>
      <x:c r="H9" s="18" t="str">
        <x:v>Two equal serial-equivalent burdens support INT and BRK; one supports RCN</x:v>
      </x:c>
    </x:row>
    <x:row r="10">
      <x:c r="A10" s="15" t="str">
        <x:v>ET-A-A-TECH-4</x:v>
      </x:c>
      <x:c r="B10" s="15" t="str">
        <x:v>ET-A-A</x:v>
      </x:c>
      <x:c r="C10" s="20" t="n">
        <x:f>Inputs!E36</x:f>
        <x:v>220</x:v>
      </x:c>
      <x:c r="D10" s="19" t="n">
        <x:f>Inputs!$B$16</x:f>
        <x:v>0.6666666666666666</x:v>
      </x:c>
      <x:c r="E10" s="23" t="n">
        <x:f>C10*D10</x:f>
        <x:v>146.66666666666666</x:v>
      </x:c>
      <x:c r="F10" s="19" t="n">
        <x:f>Inputs!$B$17</x:f>
        <x:v>0.3333333333333333</x:v>
      </x:c>
      <x:c r="G10" s="23" t="n">
        <x:f>C10*F10</x:f>
        <x:v>73.33333333333333</x:v>
      </x:c>
      <x:c r="H10" s="18" t="str">
        <x:v>Two equal serial-equivalent burdens support INT and BRK; one supports RCN</x:v>
      </x:c>
    </x:row>
    <x:row r="11">
      <x:c r="A11" s="15" t="str">
        <x:v>CT-C-B-TECH-1</x:v>
      </x:c>
      <x:c r="B11" s="15" t="str">
        <x:v>CT-C-B</x:v>
      </x:c>
      <x:c r="C11" s="20" t="n">
        <x:f>Inputs!E37</x:f>
        <x:v>150</x:v>
      </x:c>
      <x:c r="D11" s="19" t="n">
        <x:f>Inputs!$B$16</x:f>
        <x:v>0.6666666666666666</x:v>
      </x:c>
      <x:c r="E11" s="23" t="n">
        <x:f>C11*D11</x:f>
        <x:v>100</x:v>
      </x:c>
      <x:c r="F11" s="19" t="n">
        <x:f>Inputs!$B$17</x:f>
        <x:v>0.3333333333333333</x:v>
      </x:c>
      <x:c r="G11" s="23" t="n">
        <x:f>C11*F11</x:f>
        <x:v>50</x:v>
      </x:c>
      <x:c r="H11" s="18" t="str">
        <x:v>Two equal serial-equivalent burdens support INT and BRK; one supports RCN</x:v>
      </x:c>
    </x:row>
    <x:row r="12">
      <x:c r="A12" s="15" t="str">
        <x:v>CT-C-B-TECH-2</x:v>
      </x:c>
      <x:c r="B12" s="15" t="str">
        <x:v>CT-C-B</x:v>
      </x:c>
      <x:c r="C12" s="20" t="n">
        <x:f>Inputs!E38</x:f>
        <x:v>120</x:v>
      </x:c>
      <x:c r="D12" s="19" t="n">
        <x:f>Inputs!$B$16</x:f>
        <x:v>0.6666666666666666</x:v>
      </x:c>
      <x:c r="E12" s="23" t="n">
        <x:f>C12*D12</x:f>
        <x:v>80</x:v>
      </x:c>
      <x:c r="F12" s="19" t="n">
        <x:f>Inputs!$B$17</x:f>
        <x:v>0.3333333333333333</x:v>
      </x:c>
      <x:c r="G12" s="23" t="n">
        <x:f>C12*F12</x:f>
        <x:v>40</x:v>
      </x:c>
      <x:c r="H12" s="18" t="str">
        <x:v>Two equal serial-equivalent burdens support INT and BRK; one supports RCN</x:v>
      </x:c>
    </x:row>
    <x:row r="13">
      <x:c r="A13" s="15" t="str">
        <x:v>CT-C-B-TECH-3</x:v>
      </x:c>
      <x:c r="B13" s="15" t="str">
        <x:v>CT-C-B</x:v>
      </x:c>
      <x:c r="C13" s="20" t="n">
        <x:f>Inputs!E39</x:f>
        <x:v>90</x:v>
      </x:c>
      <x:c r="D13" s="19" t="n">
        <x:f>Inputs!$B$16</x:f>
        <x:v>0.6666666666666666</x:v>
      </x:c>
      <x:c r="E13" s="23" t="n">
        <x:f>C13*D13</x:f>
        <x:v>60</x:v>
      </x:c>
      <x:c r="F13" s="19" t="n">
        <x:f>Inputs!$B$17</x:f>
        <x:v>0.3333333333333333</x:v>
      </x:c>
      <x:c r="G13" s="23" t="n">
        <x:f>C13*F13</x:f>
        <x:v>30</x:v>
      </x:c>
      <x:c r="H13" s="18" t="str">
        <x:v>Two equal serial-equivalent burdens support INT and BRK; one supports RCN</x:v>
      </x:c>
    </x:row>
    <x:row r="14">
      <x:c r="A14" s="15" t="str">
        <x:v>CT-C-B-TECH-4</x:v>
      </x:c>
      <x:c r="B14" s="15" t="str">
        <x:v>CT-C-B</x:v>
      </x:c>
      <x:c r="C14" s="20" t="n">
        <x:f>Inputs!E40</x:f>
        <x:v>110</x:v>
      </x:c>
      <x:c r="D14" s="19" t="n">
        <x:f>Inputs!$B$16</x:f>
        <x:v>0.6666666666666666</x:v>
      </x:c>
      <x:c r="E14" s="23" t="n">
        <x:f>C14*D14</x:f>
        <x:v>73.33333333333333</x:v>
      </x:c>
      <x:c r="F14" s="19" t="n">
        <x:f>Inputs!$B$17</x:f>
        <x:v>0.3333333333333333</x:v>
      </x:c>
      <x:c r="G14" s="23" t="n">
        <x:f>C14*F14</x:f>
        <x:v>36.666666666666664</x:v>
      </x:c>
      <x:c r="H14" s="18" t="str">
        <x:v>Two equal serial-equivalent burdens support INT and BRK; one supports RCN</x:v>
      </x:c>
    </x:row>
    <x:row r="15">
      <x:c r="A15" s="15" t="str">
        <x:v>HC-A-C-TECH-1</x:v>
      </x:c>
      <x:c r="B15" s="15" t="str">
        <x:v>HC-A-C</x:v>
      </x:c>
      <x:c r="C15" s="20" t="n">
        <x:f>Inputs!E41</x:f>
        <x:v>220</x:v>
      </x:c>
      <x:c r="D15" s="19" t="n">
        <x:f>Inputs!$B$16</x:f>
        <x:v>0.6666666666666666</x:v>
      </x:c>
      <x:c r="E15" s="23" t="n">
        <x:f>C15*D15</x:f>
        <x:v>146.66666666666666</x:v>
      </x:c>
      <x:c r="F15" s="19" t="n">
        <x:f>Inputs!$B$17</x:f>
        <x:v>0.3333333333333333</x:v>
      </x:c>
      <x:c r="G15" s="23" t="n">
        <x:f>C15*F15</x:f>
        <x:v>73.33333333333333</x:v>
      </x:c>
      <x:c r="H15" s="18" t="str">
        <x:v>Two equal serial-equivalent burdens support INT and BRK; one supports RCN</x:v>
      </x:c>
    </x:row>
    <x:row r="16">
      <x:c r="A16" s="15" t="str">
        <x:v>HC-A-C-TECH-2</x:v>
      </x:c>
      <x:c r="B16" s="15" t="str">
        <x:v>HC-A-C</x:v>
      </x:c>
      <x:c r="C16" s="20" t="n">
        <x:f>Inputs!E42</x:f>
        <x:v>120</x:v>
      </x:c>
      <x:c r="D16" s="19" t="n">
        <x:f>Inputs!$B$16</x:f>
        <x:v>0.6666666666666666</x:v>
      </x:c>
      <x:c r="E16" s="23" t="n">
        <x:f>C16*D16</x:f>
        <x:v>80</x:v>
      </x:c>
      <x:c r="F16" s="19" t="n">
        <x:f>Inputs!$B$17</x:f>
        <x:v>0.3333333333333333</x:v>
      </x:c>
      <x:c r="G16" s="23" t="n">
        <x:f>C16*F16</x:f>
        <x:v>40</x:v>
      </x:c>
      <x:c r="H16" s="18" t="str">
        <x:v>Two equal serial-equivalent burdens support INT and BRK; one supports RCN</x:v>
      </x:c>
    </x:row>
    <x:row r="17">
      <x:c r="A17" s="15" t="str">
        <x:v>HC-A-C-TECH-3</x:v>
      </x:c>
      <x:c r="B17" s="15" t="str">
        <x:v>HC-A-C</x:v>
      </x:c>
      <x:c r="C17" s="20" t="n">
        <x:f>Inputs!E43</x:f>
        <x:v>60</x:v>
      </x:c>
      <x:c r="D17" s="19" t="n">
        <x:f>Inputs!$B$16</x:f>
        <x:v>0.6666666666666666</x:v>
      </x:c>
      <x:c r="E17" s="23" t="n">
        <x:f>C17*D17</x:f>
        <x:v>40</x:v>
      </x:c>
      <x:c r="F17" s="19" t="n">
        <x:f>Inputs!$B$17</x:f>
        <x:v>0.3333333333333333</x:v>
      </x:c>
      <x:c r="G17" s="23" t="n">
        <x:f>C17*F17</x:f>
        <x:v>20</x:v>
      </x:c>
      <x:c r="H17" s="18" t="str">
        <x:v>Two equal serial-equivalent burdens support INT and BRK; one supports RCN</x:v>
      </x:c>
    </x:row>
    <x:row r="18">
      <x:c r="A18" s="15" t="str">
        <x:v>HC-A-C-TECH-4</x:v>
      </x:c>
      <x:c r="B18" s="15" t="str">
        <x:v>HC-A-C</x:v>
      </x:c>
      <x:c r="C18" s="20" t="n">
        <x:f>Inputs!E44</x:f>
        <x:v>100</x:v>
      </x:c>
      <x:c r="D18" s="19" t="n">
        <x:f>Inputs!$B$16</x:f>
        <x:v>0.6666666666666666</x:v>
      </x:c>
      <x:c r="E18" s="23" t="n">
        <x:f>C18*D18</x:f>
        <x:v>66.66666666666666</x:v>
      </x:c>
      <x:c r="F18" s="19" t="n">
        <x:f>Inputs!$B$17</x:f>
        <x:v>0.3333333333333333</x:v>
      </x:c>
      <x:c r="G18" s="23" t="n">
        <x:f>C18*F18</x:f>
        <x:v>33.33333333333333</x:v>
      </x:c>
      <x:c r="H18" s="18" t="str">
        <x:v>Two equal serial-equivalent burdens support INT and BRK; one supports RCN</x:v>
      </x:c>
    </x:row>
    <x:row r="19">
      <x:c r="A19" s="15" t="str">
        <x:v>LF-B-A-TECH-1</x:v>
      </x:c>
      <x:c r="B19" s="15" t="str">
        <x:v>LF-B-A</x:v>
      </x:c>
      <x:c r="C19" s="20" t="n">
        <x:f>Inputs!E45</x:f>
        <x:v>180</x:v>
      </x:c>
      <x:c r="D19" s="19" t="n">
        <x:f>Inputs!$B$16</x:f>
        <x:v>0.6666666666666666</x:v>
      </x:c>
      <x:c r="E19" s="23" t="n">
        <x:f>C19*D19</x:f>
        <x:v>120</x:v>
      </x:c>
      <x:c r="F19" s="19" t="n">
        <x:f>Inputs!$B$17</x:f>
        <x:v>0.3333333333333333</x:v>
      </x:c>
      <x:c r="G19" s="23" t="n">
        <x:f>C19*F19</x:f>
        <x:v>60</x:v>
      </x:c>
      <x:c r="H19" s="18" t="str">
        <x:v>Two equal serial-equivalent burdens support INT and BRK; one supports RCN</x:v>
      </x:c>
    </x:row>
    <x:row r="20">
      <x:c r="A20" s="15" t="str">
        <x:v>LF-B-A-TECH-2</x:v>
      </x:c>
      <x:c r="B20" s="15" t="str">
        <x:v>LF-B-A</x:v>
      </x:c>
      <x:c r="C20" s="20" t="n">
        <x:f>Inputs!E46</x:f>
        <x:v>300</x:v>
      </x:c>
      <x:c r="D20" s="19" t="n">
        <x:f>Inputs!$B$16</x:f>
        <x:v>0.6666666666666666</x:v>
      </x:c>
      <x:c r="E20" s="23" t="n">
        <x:f>C20*D20</x:f>
        <x:v>200</x:v>
      </x:c>
      <x:c r="F20" s="19" t="n">
        <x:f>Inputs!$B$17</x:f>
        <x:v>0.3333333333333333</x:v>
      </x:c>
      <x:c r="G20" s="23" t="n">
        <x:f>C20*F20</x:f>
        <x:v>100</x:v>
      </x:c>
      <x:c r="H20" s="18" t="str">
        <x:v>Two equal serial-equivalent burdens support INT and BRK; one supports RCN</x:v>
      </x:c>
    </x:row>
    <x:row r="21">
      <x:c r="A21" s="15" t="str">
        <x:v>LF-B-A-TECH-3</x:v>
      </x:c>
      <x:c r="B21" s="15" t="str">
        <x:v>LF-B-A</x:v>
      </x:c>
      <x:c r="C21" s="20" t="n">
        <x:f>Inputs!E47</x:f>
        <x:v>220</x:v>
      </x:c>
      <x:c r="D21" s="19" t="n">
        <x:f>Inputs!$B$16</x:f>
        <x:v>0.6666666666666666</x:v>
      </x:c>
      <x:c r="E21" s="23" t="n">
        <x:f>C21*D21</x:f>
        <x:v>146.66666666666666</x:v>
      </x:c>
      <x:c r="F21" s="19" t="n">
        <x:f>Inputs!$B$17</x:f>
        <x:v>0.3333333333333333</x:v>
      </x:c>
      <x:c r="G21" s="23" t="n">
        <x:f>C21*F21</x:f>
        <x:v>73.33333333333333</x:v>
      </x:c>
      <x:c r="H21" s="18" t="str">
        <x:v>Two equal serial-equivalent burdens support INT and BRK; one supports RCN</x:v>
      </x:c>
    </x:row>
    <x:row r="22">
      <x:c r="A22" s="15" t="str">
        <x:v>LF-B-A-TECH-4</x:v>
      </x:c>
      <x:c r="B22" s="15" t="str">
        <x:v>LF-B-A</x:v>
      </x:c>
      <x:c r="C22" s="20" t="n">
        <x:f>Inputs!E48</x:f>
        <x:v>140</x:v>
      </x:c>
      <x:c r="D22" s="19" t="n">
        <x:f>Inputs!$B$16</x:f>
        <x:v>0.6666666666666666</x:v>
      </x:c>
      <x:c r="E22" s="23" t="n">
        <x:f>C22*D22</x:f>
        <x:v>93.33333333333333</x:v>
      </x:c>
      <x:c r="F22" s="19" t="n">
        <x:f>Inputs!$B$17</x:f>
        <x:v>0.3333333333333333</x:v>
      </x:c>
      <x:c r="G22" s="23" t="n">
        <x:f>C22*F22</x:f>
        <x:v>46.666666666666664</x:v>
      </x:c>
      <x:c r="H22" s="18" t="str">
        <x:v>Two equal serial-equivalent burdens support INT and BRK; one supports RCN</x:v>
      </x:c>
    </x:row>
    <x:row r="23">
      <x:c r="A23" s="15" t="str">
        <x:v>HU-A-B-TECH-1</x:v>
      </x:c>
      <x:c r="B23" s="15" t="str">
        <x:v>HU-A-B</x:v>
      </x:c>
      <x:c r="C23" s="20" t="n">
        <x:f>Inputs!E49</x:f>
        <x:v>180</x:v>
      </x:c>
      <x:c r="D23" s="19" t="n">
        <x:f>Inputs!$B$16</x:f>
        <x:v>0.6666666666666666</x:v>
      </x:c>
      <x:c r="E23" s="23" t="n">
        <x:f>C23*D23</x:f>
        <x:v>120</x:v>
      </x:c>
      <x:c r="F23" s="19" t="n">
        <x:f>Inputs!$B$17</x:f>
        <x:v>0.3333333333333333</x:v>
      </x:c>
      <x:c r="G23" s="23" t="n">
        <x:f>C23*F23</x:f>
        <x:v>60</x:v>
      </x:c>
      <x:c r="H23" s="18" t="str">
        <x:v>Two equal serial-equivalent burdens support INT and BRK; one supports RCN</x:v>
      </x:c>
    </x:row>
    <x:row r="24">
      <x:c r="A24" s="15" t="str">
        <x:v>HU-A-B-TECH-2</x:v>
      </x:c>
      <x:c r="B24" s="15" t="str">
        <x:v>HU-A-B</x:v>
      </x:c>
      <x:c r="C24" s="20" t="n">
        <x:f>Inputs!E50</x:f>
        <x:v>150</x:v>
      </x:c>
      <x:c r="D24" s="19" t="n">
        <x:f>Inputs!$B$16</x:f>
        <x:v>0.6666666666666666</x:v>
      </x:c>
      <x:c r="E24" s="23" t="n">
        <x:f>C24*D24</x:f>
        <x:v>100</x:v>
      </x:c>
      <x:c r="F24" s="19" t="n">
        <x:f>Inputs!$B$17</x:f>
        <x:v>0.3333333333333333</x:v>
      </x:c>
      <x:c r="G24" s="23" t="n">
        <x:f>C24*F24</x:f>
        <x:v>50</x:v>
      </x:c>
      <x:c r="H24" s="18" t="str">
        <x:v>Two equal serial-equivalent burdens support INT and BRK; one supports RCN</x:v>
      </x:c>
    </x:row>
    <x:row r="25">
      <x:c r="A25" s="15" t="str">
        <x:v>HU-A-B-TECH-3</x:v>
      </x:c>
      <x:c r="B25" s="15" t="str">
        <x:v>HU-A-B</x:v>
      </x:c>
      <x:c r="C25" s="20" t="n">
        <x:f>Inputs!E51</x:f>
        <x:v>120</x:v>
      </x:c>
      <x:c r="D25" s="19" t="n">
        <x:f>Inputs!$B$16</x:f>
        <x:v>0.6666666666666666</x:v>
      </x:c>
      <x:c r="E25" s="23" t="n">
        <x:f>C25*D25</x:f>
        <x:v>80</x:v>
      </x:c>
      <x:c r="F25" s="19" t="n">
        <x:f>Inputs!$B$17</x:f>
        <x:v>0.3333333333333333</x:v>
      </x:c>
      <x:c r="G25" s="23" t="n">
        <x:f>C25*F25</x:f>
        <x:v>40</x:v>
      </x:c>
      <x:c r="H25" s="18" t="str">
        <x:v>Two equal serial-equivalent burdens support INT and BRK; one supports RCN</x:v>
      </x:c>
    </x:row>
    <x:row r="26">
      <x:c r="A26" s="15" t="str">
        <x:v>HU-A-B-TECH-4</x:v>
      </x:c>
      <x:c r="B26" s="15" t="str">
        <x:v>HU-A-B</x:v>
      </x:c>
      <x:c r="C26" s="20" t="n">
        <x:f>Inputs!E52</x:f>
        <x:v>50</x:v>
      </x:c>
      <x:c r="D26" s="19" t="n">
        <x:f>Inputs!$B$16</x:f>
        <x:v>0.6666666666666666</x:v>
      </x:c>
      <x:c r="E26" s="23" t="n">
        <x:f>C26*D26</x:f>
        <x:v>33.33333333333333</x:v>
      </x:c>
      <x:c r="F26" s="19" t="n">
        <x:f>Inputs!$B$17</x:f>
        <x:v>0.3333333333333333</x:v>
      </x:c>
      <x:c r="G26" s="23" t="n">
        <x:f>C26*F26</x:f>
        <x:v>16.666666666666664</x:v>
      </x:c>
      <x:c r="H26" s="18" t="str">
        <x:v>Two equal serial-equivalent burdens support INT and BRK; one supports RCN</x:v>
      </x:c>
    </x:row>
    <x:row r="27">
      <x:c r="A27" s="15" t="str">
        <x:v>RT-B-C-TECH-1</x:v>
      </x:c>
      <x:c r="B27" s="15" t="str">
        <x:v>RT-B-C</x:v>
      </x:c>
      <x:c r="C27" s="20" t="n">
        <x:f>Inputs!E53</x:f>
        <x:v>120</x:v>
      </x:c>
      <x:c r="D27" s="19" t="n">
        <x:f>Inputs!$B$16</x:f>
        <x:v>0.6666666666666666</x:v>
      </x:c>
      <x:c r="E27" s="23" t="n">
        <x:f>C27*D27</x:f>
        <x:v>80</x:v>
      </x:c>
      <x:c r="F27" s="19" t="n">
        <x:f>Inputs!$B$17</x:f>
        <x:v>0.3333333333333333</x:v>
      </x:c>
      <x:c r="G27" s="23" t="n">
        <x:f>C27*F27</x:f>
        <x:v>40</x:v>
      </x:c>
      <x:c r="H27" s="18" t="str">
        <x:v>Two equal serial-equivalent burdens support INT and BRK; one supports RCN</x:v>
      </x:c>
    </x:row>
    <x:row r="28">
      <x:c r="A28" s="15" t="str">
        <x:v>RT-B-C-TECH-2</x:v>
      </x:c>
      <x:c r="B28" s="15" t="str">
        <x:v>RT-B-C</x:v>
      </x:c>
      <x:c r="C28" s="20" t="n">
        <x:f>Inputs!E54</x:f>
        <x:v>90</x:v>
      </x:c>
      <x:c r="D28" s="19" t="n">
        <x:f>Inputs!$B$16</x:f>
        <x:v>0.6666666666666666</x:v>
      </x:c>
      <x:c r="E28" s="23" t="n">
        <x:f>C28*D28</x:f>
        <x:v>60</x:v>
      </x:c>
      <x:c r="F28" s="19" t="n">
        <x:f>Inputs!$B$17</x:f>
        <x:v>0.3333333333333333</x:v>
      </x:c>
      <x:c r="G28" s="23" t="n">
        <x:f>C28*F28</x:f>
        <x:v>30</x:v>
      </x:c>
      <x:c r="H28" s="18" t="str">
        <x:v>Two equal serial-equivalent burdens support INT and BRK; one supports RCN</x:v>
      </x:c>
    </x:row>
    <x:row r="29">
      <x:c r="A29" s="15" t="str">
        <x:v>RT-B-C-TECH-3</x:v>
      </x:c>
      <x:c r="B29" s="15" t="str">
        <x:v>RT-B-C</x:v>
      </x:c>
      <x:c r="C29" s="20" t="n">
        <x:f>Inputs!E55</x:f>
        <x:v>100</x:v>
      </x:c>
      <x:c r="D29" s="19" t="n">
        <x:f>Inputs!$B$16</x:f>
        <x:v>0.6666666666666666</x:v>
      </x:c>
      <x:c r="E29" s="23" t="n">
        <x:f>C29*D29</x:f>
        <x:v>66.66666666666666</x:v>
      </x:c>
      <x:c r="F29" s="19" t="n">
        <x:f>Inputs!$B$17</x:f>
        <x:v>0.3333333333333333</x:v>
      </x:c>
      <x:c r="G29" s="23" t="n">
        <x:f>C29*F29</x:f>
        <x:v>33.33333333333333</x:v>
      </x:c>
      <x:c r="H29" s="18" t="str">
        <x:v>Two equal serial-equivalent burdens support INT and BRK; one supports RCN</x:v>
      </x:c>
    </x:row>
    <x:row r="30">
      <x:c r="A30" s="15" t="str">
        <x:v>RT-B-C-TECH-4</x:v>
      </x:c>
      <x:c r="B30" s="15" t="str">
        <x:v>RT-B-C</x:v>
      </x:c>
      <x:c r="C30" s="20" t="n">
        <x:f>Inputs!E56</x:f>
        <x:v>80</x:v>
      </x:c>
      <x:c r="D30" s="19" t="n">
        <x:f>Inputs!$B$16</x:f>
        <x:v>0.6666666666666666</x:v>
      </x:c>
      <x:c r="E30" s="23" t="n">
        <x:f>C30*D30</x:f>
        <x:v>53.33333333333333</x:v>
      </x:c>
      <x:c r="F30" s="19" t="n">
        <x:f>Inputs!$B$17</x:f>
        <x:v>0.3333333333333333</x:v>
      </x:c>
      <x:c r="G30" s="23" t="n">
        <x:f>C30*F30</x:f>
        <x:v>26.666666666666664</x:v>
      </x:c>
      <x:c r="H30" s="18" t="str">
        <x:v>Two equal serial-equivalent burdens support INT and BRK; one supports RCN</x:v>
      </x:c>
    </x:row>
  </x:sheetData>
  <x:pageMargins left="0.7" right="0.7" top="0.75" bottom="0.75" header="0.3" footer="0.3"/>
  <x:tableParts count="1">
    <x:tablePart xmlns:r="http://schemas.openxmlformats.org/officeDocument/2006/relationships" r:id="R9e150f11495d48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38" hidden="0" customWidth="1"/>
    <x:col min="5" max="5" width="64" hidden="0" customWidth="1"/>
    <x:col min="6" max="6" width="46" hidden="0" customWidth="1"/>
    <x:col min="7" max="7" width="4" hidden="0" customWidth="1"/>
    <x:col min="8" max="8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Representation eligibility after EDB return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Class</x:v>
      </x:c>
      <x:c r="B6" s="18" t="str">
        <x:v>Artifact</x:v>
      </x:c>
      <x:c r="C6" s="18" t="str">
        <x:v>State</x:v>
      </x:c>
      <x:c r="D6" s="18" t="str">
        <x:v>Maximum claim</x:v>
      </x:c>
      <x:c r="E6" s="18" t="str">
        <x:v>Issue rule</x:v>
      </x:c>
      <x:c r="F6" s="18" t="str">
        <x:v>Nonconversion</x:v>
      </x:c>
      <x:c r="G6" s="15"/>
      <x:c r="H6" s="15"/>
    </x:row>
    <x:row r="7">
      <x:c r="A7" s="15" t="str">
        <x:v>REP-0</x:v>
      </x:c>
      <x:c r="B7" s="18" t="str">
        <x:v>Service-condition record</x:v>
      </x:c>
      <x:c r="C7" s="18" t="str">
        <x:v>AUTHORIZED</x:v>
      </x:c>
      <x:c r="D7" s="18" t="str">
        <x:v>Service need</x:v>
      </x:c>
      <x:c r="E7" s="18" t="str">
        <x:v>May issue</x:v>
      </x:c>
      <x:c r="F7" s="18" t="str">
        <x:v>No performance or form claim</x:v>
      </x:c>
      <x:c r="G7" s="15"/>
      <x:c r="H7" s="15"/>
    </x:row>
    <x:row r="8">
      <x:c r="A8" s="15" t="str">
        <x:v>REP-1</x:v>
      </x:c>
      <x:c r="B8" s="18" t="str">
        <x:v>Causal topology</x:v>
      </x:c>
      <x:c r="C8" s="18" t="str">
        <x:v>AUTHORIZED</x:v>
      </x:c>
      <x:c r="D8" s="18" t="str">
        <x:v>Relationships and flows</x:v>
      </x:c>
      <x:c r="E8" s="18" t="str">
        <x:v>May issue</x:v>
      </x:c>
      <x:c r="F8" s="18" t="str">
        <x:v>No exterior selection</x:v>
      </x:c>
      <x:c r="G8" s="15"/>
      <x:c r="H8" s="15"/>
    </x:row>
    <x:row r="9">
      <x:c r="A9" s="15" t="str">
        <x:v>REP-2</x:v>
      </x:c>
      <x:c r="B9" s="18" t="str">
        <x:v>Instrumented falsification section</x:v>
      </x:c>
      <x:c r="C9" s="18" t="str">
        <x:v>ELIGIBLE / UNISSUED</x:v>
      </x:c>
      <x:c r="D9" s="18" t="str">
        <x:v>Article, fixture and test geometry</x:v>
      </x:c>
      <x:c r="E9" s="18" t="str">
        <x:v>Twenty-four order plates and six integration sections may issue</x:v>
      </x:c>
      <x:c r="F9" s="18" t="str">
        <x:v>Unknowns remain visibly unresolved</x:v>
      </x:c>
      <x:c r="G9" s="15"/>
      <x:c r="H9" s="15"/>
    </x:row>
    <x:row r="10">
      <x:c r="A10" s="15" t="str">
        <x:v>REP-3</x:v>
      </x:c>
      <x:c r="B10" s="18" t="str">
        <x:v>Equal-salience rival form set</x:v>
      </x:c>
      <x:c r="C10" s="18" t="str">
        <x:v>AUTHORIZED UNDER EXISTING LAW</x:v>
      </x:c>
      <x:c r="D10" s="18" t="str">
        <x:v>Whole form as unselected hypothesis</x:v>
      </x:c>
      <x:c r="E10" s="18" t="str">
        <x:v>Only three mechanically divergent siblings per root together</x:v>
      </x:c>
      <x:c r="F10" s="18" t="str">
        <x:v>No isolated active-form hero view</x:v>
      </x:c>
      <x:c r="G10" s="15"/>
      <x:c r="H10" s="15"/>
    </x:row>
    <x:row r="11">
      <x:c r="A11" s="15" t="str">
        <x:v>REP-4</x:v>
      </x:c>
      <x:c r="B11" s="18" t="str">
        <x:v>As-built experimental record</x:v>
      </x:c>
      <x:c r="C11" s="18" t="str">
        <x:v>HOLD</x:v>
      </x:c>
      <x:c r="D11" s="18" t="str">
        <x:v>Actual serialized article geometry</x:v>
      </x:c>
      <x:c r="E11" s="18" t="str">
        <x:v>Requires built and measured serial</x:v>
      </x:c>
      <x:c r="F11" s="18" t="str">
        <x:v>Generated image can never qualify</x:v>
      </x:c>
      <x:c r="G11" s="15"/>
      <x:c r="H11" s="15"/>
    </x:row>
    <x:row r="12">
      <x:c r="A12" s="15" t="str">
        <x:v>REP-5</x:v>
      </x:c>
      <x:c r="B12" s="18" t="str">
        <x:v>Evidence-qualified candidate form</x:v>
      </x:c>
      <x:c r="C12" s="18" t="str">
        <x:v>HOLD</x:v>
      </x:c>
      <x:c r="D12" s="18" t="str">
        <x:v>Supported root configuration</x:v>
      </x:c>
      <x:c r="E12" s="18" t="str">
        <x:v>Requires accepted evidence and cold return</x:v>
      </x:c>
      <x:c r="F12" s="18" t="str">
        <x:v>No evidence exists</x:v>
      </x:c>
      <x:c r="G12" s="15"/>
      <x:c r="H12" s="15"/>
    </x:row>
    <x:row r="13">
      <x:c r="A13" s="15" t="str">
        <x:v>REP-6</x:v>
      </x:c>
      <x:c r="B13" s="18" t="str">
        <x:v>Complete mission configuration</x:v>
      </x:c>
      <x:c r="C13" s="18" t="str">
        <x:v>HOLD</x:v>
      </x:c>
      <x:c r="D13" s="18" t="str">
        <x:v>Supported mission chain</x:v>
      </x:c>
      <x:c r="E13" s="18" t="str">
        <x:v>Requires route-complete evidence</x:v>
      </x:c>
      <x:c r="F13" s="18" t="str">
        <x:v>No mission proof exists</x:v>
      </x:c>
      <x:c r="G13" s="15"/>
      <x:c r="H13" s="15"/>
    </x:row>
    <x:row r="14">
      <x:c r="A14" s="15" t="str">
        <x:v>REP-7</x:v>
      </x:c>
      <x:c r="B14" s="18" t="str">
        <x:v>Production and fleet exterior</x:v>
      </x:c>
      <x:c r="C14" s="18" t="str">
        <x:v>HOLD</x:v>
      </x:c>
      <x:c r="D14" s="18" t="str">
        <x:v>Produced ready configuration</x:v>
      </x:c>
      <x:c r="E14" s="18" t="str">
        <x:v>Requires production and readiness warrants</x:v>
      </x:c>
      <x:c r="F14" s="18" t="str">
        <x:v>No production authority</x:v>
      </x:c>
      <x:c r="G14" s="15"/>
      <x:c r="H14" s="15"/>
    </x:row>
  </x:sheetData>
  <x:conditionalFormatting sqref="C7:C14">
    <x:cfRule type="containsText" dxfId="21" priority="1" operator="containsText" text="HOLD"/>
    <x:cfRule type="containsText" dxfId="22" priority="2" operator="containsText" text="FAIL"/>
    <x:cfRule type="containsText" dxfId="23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211d61111c4448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72" hidden="0" customWidth="1"/>
    <x:col min="5" max="5" width="4" hidden="0" customWidth="1"/>
    <x:col min="6" max="6" width="4" hidden="0" customWidth="1"/>
    <x:col min="7" max="7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50" t="str">
        <x:v>Twenty-four terminal nonconversion rules</x:v>
      </x:c>
      <x:c r="B2" s="15"/>
      <x:c r="C2" s="15"/>
      <x:c r="D2" s="15"/>
      <x:c r="E2" s="15"/>
      <x:c r="F2" s="15"/>
      <x:c r="G2" s="15"/>
    </x:row>
    <x:row r="3">
      <x:c r="A3" s="17"/>
      <x:c r="B3" s="17"/>
      <x:c r="C3" s="17"/>
      <x:c r="D3" s="17"/>
      <x:c r="E3" s="17"/>
      <x:c r="F3" s="17"/>
      <x:c r="G3" s="17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</x:row>
    <x:row r="5">
      <x:c r="A5" s="15"/>
      <x:c r="B5" s="15"/>
      <x:c r="C5" s="15"/>
      <x:c r="D5" s="15"/>
      <x:c r="E5" s="15"/>
      <x:c r="F5" s="15"/>
      <x:c r="G5" s="15"/>
    </x:row>
    <x:row r="6" ht="34" customHeight="1">
      <x:c r="A6" s="18" t="str">
        <x:v>Rule</x:v>
      </x:c>
      <x:c r="B6" s="18" t="str">
        <x:v>Predecessor</x:v>
      </x:c>
      <x:c r="C6" s="18" t="str">
        <x:v>Prohibited successor</x:v>
      </x:c>
      <x:c r="D6" s="18" t="str">
        <x:v>Reason</x:v>
      </x:c>
      <x:c r="E6" s="15"/>
      <x:c r="F6" s="15"/>
      <x:c r="G6" s="15"/>
    </x:row>
    <x:row r="7">
      <x:c r="A7" s="15" t="str">
        <x:v>NC01</x:v>
      </x:c>
      <x:c r="B7" s="18" t="str">
        <x:v>Configuration identity</x:v>
      </x:c>
      <x:c r="C7" s="18" t="str">
        <x:v>Measured geometry</x:v>
      </x:c>
      <x:c r="D7" s="18" t="str">
        <x:v>A design record is not metrology</x:v>
      </x:c>
      <x:c r="E7" s="15"/>
      <x:c r="F7" s="15"/>
      <x:c r="G7" s="15"/>
    </x:row>
    <x:row r="8">
      <x:c r="A8" s="15" t="str">
        <x:v>NC02</x:v>
      </x:c>
      <x:c r="B8" s="18" t="str">
        <x:v>Bounded arithmetic</x:v>
      </x:c>
      <x:c r="C8" s="18" t="str">
        <x:v>Observed performance</x:v>
      </x:c>
      <x:c r="D8" s="18" t="str">
        <x:v>A calculation is not an event</x:v>
      </x:c>
      <x:c r="E8" s="15"/>
      <x:c r="F8" s="15"/>
      <x:c r="G8" s="15"/>
    </x:row>
    <x:row r="9">
      <x:c r="A9" s="15" t="str">
        <x:v>NC03</x:v>
      </x:c>
      <x:c r="B9" s="18" t="str">
        <x:v>Numerical uprate</x:v>
      </x:c>
      <x:c r="C9" s="18" t="str">
        <x:v>Safety reserve</x:v>
      </x:c>
      <x:c r="D9" s="18" t="str">
        <x:v>A minimum rating is not reliability</x:v>
      </x:c>
      <x:c r="E9" s="15"/>
      <x:c r="F9" s="15"/>
      <x:c r="G9" s="15"/>
    </x:row>
    <x:row r="10">
      <x:c r="A10" s="15" t="str">
        <x:v>NC04</x:v>
      </x:c>
      <x:c r="B10" s="18" t="str">
        <x:v>Topology revision</x:v>
      </x:c>
      <x:c r="C10" s="18" t="str">
        <x:v>Physical independence</x:v>
      </x:c>
      <x:c r="D10" s="18" t="str">
        <x:v>Architecture requires destructive observation</x:v>
      </x:c>
      <x:c r="E10" s="15"/>
      <x:c r="F10" s="15"/>
      <x:c r="G10" s="15"/>
    </x:row>
    <x:row r="11">
      <x:c r="A11" s="15" t="str">
        <x:v>NC05</x:v>
      </x:c>
      <x:c r="B11" s="18" t="str">
        <x:v>Specified cut</x:v>
      </x:c>
      <x:c r="C11" s="18" t="str">
        <x:v>Valid failure</x:v>
      </x:c>
      <x:c r="D11" s="18" t="str">
        <x:v>The event and custody chain must execute</x:v>
      </x:c>
      <x:c r="E11" s="15"/>
      <x:c r="F11" s="15"/>
      <x:c r="G11" s="15"/>
    </x:row>
    <x:row r="12">
      <x:c r="A12" s="15" t="str">
        <x:v>NC06</x:v>
      </x:c>
      <x:c r="B12" s="18" t="str">
        <x:v>Cold path</x:v>
      </x:c>
      <x:c r="C12" s="18" t="str">
        <x:v>Public reconstructability</x:v>
      </x:c>
      <x:c r="D12" s="18" t="str">
        <x:v>A recipe is not a clean rebuild</x:v>
      </x:c>
      <x:c r="E12" s="15"/>
      <x:c r="F12" s="15"/>
      <x:c r="G12" s="15"/>
    </x:row>
    <x:row r="13">
      <x:c r="A13" s="15" t="str">
        <x:v>NC07</x:v>
      </x:c>
      <x:c r="B13" s="18" t="str">
        <x:v>Technology order</x:v>
      </x:c>
      <x:c r="C13" s="18" t="str">
        <x:v>Invention success</x:v>
      </x:c>
      <x:c r="D13" s="18" t="str">
        <x:v>Ordered novelty may fail</x:v>
      </x:c>
      <x:c r="E13" s="15"/>
      <x:c r="F13" s="15"/>
      <x:c r="G13" s="15"/>
    </x:row>
    <x:row r="14">
      <x:c r="A14" s="15" t="str">
        <x:v>NC08</x:v>
      </x:c>
      <x:c r="B14" s="18" t="str">
        <x:v>Builder-root count</x:v>
      </x:c>
      <x:c r="C14" s="18" t="str">
        <x:v>Beneficial-control independence</x:v>
      </x:c>
      <x:c r="D14" s="18" t="str">
        <x:v>Real ownership must be adjudicated</x:v>
      </x:c>
      <x:c r="E14" s="15"/>
      <x:c r="F14" s="15"/>
      <x:c r="G14" s="15"/>
    </x:row>
    <x:row r="15">
      <x:c r="A15" s="15" t="str">
        <x:v>NC09</x:v>
      </x:c>
      <x:c r="B15" s="18" t="str">
        <x:v>Article program</x:v>
      </x:c>
      <x:c r="C15" s="18" t="str">
        <x:v>MAKE authority</x:v>
      </x:c>
      <x:c r="D15" s="18" t="str">
        <x:v>Programming does not authorize construction</x:v>
      </x:c>
      <x:c r="E15" s="15"/>
      <x:c r="F15" s="15"/>
      <x:c r="G15" s="15"/>
    </x:row>
    <x:row r="16">
      <x:c r="A16" s="15" t="str">
        <x:v>NC10</x:v>
      </x:c>
      <x:c r="B16" s="18" t="str">
        <x:v>Built INT article</x:v>
      </x:c>
      <x:c r="C16" s="18" t="str">
        <x:v>Acceptance evidence</x:v>
      </x:c>
      <x:c r="D16" s="18" t="str">
        <x:v>Development history is disqualifying</x:v>
      </x:c>
      <x:c r="E16" s="15"/>
      <x:c r="F16" s="15"/>
      <x:c r="G16" s="15"/>
    </x:row>
    <x:row r="17">
      <x:c r="A17" s="15" t="str">
        <x:v>NC11</x:v>
      </x:c>
      <x:c r="B17" s="18" t="str">
        <x:v>Built BRK article</x:v>
      </x:c>
      <x:c r="C17" s="18" t="str">
        <x:v>Accepted fatal result</x:v>
      </x:c>
      <x:c r="D17" s="18" t="str">
        <x:v>Freeze, event and custody must all pass</x:v>
      </x:c>
      <x:c r="E17" s="15"/>
      <x:c r="F17" s="15"/>
      <x:c r="G17" s="15"/>
    </x:row>
    <x:row r="18">
      <x:c r="A18" s="15" t="str">
        <x:v>NC12</x:v>
      </x:c>
      <x:c r="B18" s="18" t="str">
        <x:v>Built RCN article</x:v>
      </x:c>
      <x:c r="C18" s="18" t="str">
        <x:v>Accepted cold return</x:v>
      </x:c>
      <x:c r="D18" s="18" t="str">
        <x:v>Origin-builder denial must be proven</x:v>
      </x:c>
      <x:c r="E18" s="15"/>
      <x:c r="F18" s="15"/>
      <x:c r="G18" s="15"/>
    </x:row>
    <x:row r="19">
      <x:c r="A19" s="15" t="str">
        <x:v>NC13</x:v>
      </x:c>
      <x:c r="B19" s="18" t="str">
        <x:v>Fixture title</x:v>
      </x:c>
      <x:c r="C19" s="18" t="str">
        <x:v>Qualified proving world</x:v>
      </x:c>
      <x:c r="D19" s="18" t="str">
        <x:v>Title is not calibrated function</x:v>
      </x:c>
      <x:c r="E19" s="15"/>
      <x:c r="F19" s="15"/>
      <x:c r="G19" s="15"/>
    </x:row>
    <x:row r="20">
      <x:c r="A20" s="15" t="str">
        <x:v>NC14</x:v>
      </x:c>
      <x:c r="B20" s="18" t="str">
        <x:v>Instrument output</x:v>
      </x:c>
      <x:c r="C20" s="18" t="str">
        <x:v>Accepted interval</x:v>
      </x:c>
      <x:c r="D20" s="18" t="str">
        <x:v>Raw output requires independent custody and validity</x:v>
      </x:c>
      <x:c r="E20" s="15"/>
      <x:c r="F20" s="15"/>
      <x:c r="G20" s="15"/>
    </x:row>
    <x:row r="21">
      <x:c r="A21" s="15" t="str">
        <x:v>NC15</x:v>
      </x:c>
      <x:c r="B21" s="18" t="str">
        <x:v>Cost exposure</x:v>
      </x:c>
      <x:c r="C21" s="18" t="str">
        <x:v>Obligation</x:v>
      </x:c>
      <x:c r="D21" s="18" t="str">
        <x:v>A planning estimate releases no funds</x:v>
      </x:c>
      <x:c r="E21" s="15"/>
      <x:c r="F21" s="15"/>
      <x:c r="G21" s="15"/>
    </x:row>
    <x:row r="22">
      <x:c r="A22" s="15" t="str">
        <x:v>NC16</x:v>
      </x:c>
      <x:c r="B22" s="18" t="str">
        <x:v>Jurisdiction headroom</x:v>
      </x:c>
      <x:c r="C22" s="18" t="str">
        <x:v>Cross-account transfer</x:v>
      </x:c>
      <x:c r="D22" s="18" t="str">
        <x:v>Unused capacity remains purpose-bound</x:v>
      </x:c>
      <x:c r="E22" s="15"/>
      <x:c r="F22" s="15"/>
      <x:c r="G22" s="15"/>
    </x:row>
    <x:row r="23">
      <x:c r="A23" s="15" t="str">
        <x:v>NC17</x:v>
      </x:c>
      <x:c r="B23" s="18" t="str">
        <x:v>Functional allocation</x:v>
      </x:c>
      <x:c r="C23" s="18" t="str">
        <x:v>Budget fungibility</x:v>
      </x:c>
      <x:c r="D23" s="18" t="str">
        <x:v>Classification follows causal work, not convenience</x:v>
      </x:c>
      <x:c r="E23" s="15"/>
      <x:c r="F23" s="15"/>
      <x:c r="G23" s="15"/>
    </x:row>
    <x:row r="24">
      <x:c r="A24" s="15" t="str">
        <x:v>NC18</x:v>
      </x:c>
      <x:c r="B24" s="18" t="str">
        <x:v>REP-2 plate</x:v>
      </x:c>
      <x:c r="C24" s="18" t="str">
        <x:v>REP-4 record</x:v>
      </x:c>
      <x:c r="D24" s="18" t="str">
        <x:v>Generated geometry is never as-built metrology</x:v>
      </x:c>
      <x:c r="E24" s="15"/>
      <x:c r="F24" s="15"/>
      <x:c r="G24" s="15"/>
    </x:row>
    <x:row r="25">
      <x:c r="A25" s="15" t="str">
        <x:v>NC19</x:v>
      </x:c>
      <x:c r="B25" s="18" t="str">
        <x:v>REP-3 set</x:v>
      </x:c>
      <x:c r="C25" s="18" t="str">
        <x:v>Selected form</x:v>
      </x:c>
      <x:c r="D25" s="18" t="str">
        <x:v>Equal salience creates no preference</x:v>
      </x:c>
      <x:c r="E25" s="15"/>
      <x:c r="F25" s="15"/>
      <x:c r="G25" s="15"/>
    </x:row>
    <x:row r="26">
      <x:c r="A26" s="15" t="str">
        <x:v>NC20</x:v>
      </x:c>
      <x:c r="B26" s="18" t="str">
        <x:v>Accepted domain</x:v>
      </x:c>
      <x:c r="C26" s="18" t="str">
        <x:v>Root survivor</x:v>
      </x:c>
      <x:c r="D26" s="18" t="str">
        <x:v>All required domains remain conjunctive</x:v>
      </x:c>
      <x:c r="E26" s="15"/>
      <x:c r="F26" s="15"/>
      <x:c r="G26" s="15"/>
    </x:row>
    <x:row r="27">
      <x:c r="A27" s="15" t="str">
        <x:v>NC21</x:v>
      </x:c>
      <x:c r="B27" s="18" t="str">
        <x:v>Root survivor</x:v>
      </x:c>
      <x:c r="C27" s="18" t="str">
        <x:v>Selected root</x:v>
      </x:c>
      <x:c r="D27" s="18" t="str">
        <x:v>Selection needs a separate warrant</x:v>
      </x:c>
      <x:c r="E27" s="15"/>
      <x:c r="F27" s="15"/>
      <x:c r="G27" s="15"/>
    </x:row>
    <x:row r="28">
      <x:c r="A28" s="15" t="str">
        <x:v>NC22</x:v>
      </x:c>
      <x:c r="B28" s="18" t="str">
        <x:v>Selection</x:v>
      </x:c>
      <x:c r="C28" s="18" t="str">
        <x:v>Production authority</x:v>
      </x:c>
      <x:c r="D28" s="18" t="str">
        <x:v>Choice does not qualify manufacture</x:v>
      </x:c>
      <x:c r="E28" s="15"/>
      <x:c r="F28" s="15"/>
      <x:c r="G28" s="15"/>
    </x:row>
    <x:row r="29">
      <x:c r="A29" s="15" t="str">
        <x:v>NC23</x:v>
      </x:c>
      <x:c r="B29" s="18" t="str">
        <x:v>Production lot</x:v>
      </x:c>
      <x:c r="C29" s="18" t="str">
        <x:v>Force readiness</x:v>
      </x:c>
      <x:c r="D29" s="18" t="str">
        <x:v>Inventory is not an operational formation</x:v>
      </x:c>
      <x:c r="E29" s="15"/>
      <x:c r="F29" s="15"/>
      <x:c r="G29" s="15"/>
    </x:row>
    <x:row r="30">
      <x:c r="A30" s="15" t="str">
        <x:v>NC24</x:v>
      </x:c>
      <x:c r="B30" s="18" t="str">
        <x:v>Surplus account</x:v>
      </x:c>
      <x:c r="C30" s="18" t="str">
        <x:v>Missing closure</x:v>
      </x:c>
      <x:c r="D30" s="18" t="str">
        <x:v>No conserved account compensates another</x:v>
      </x:c>
      <x:c r="E30" s="15"/>
      <x:c r="F30" s="15"/>
      <x:c r="G30" s="15"/>
    </x:row>
  </x:sheetData>
  <x:pageMargins left="0.7" right="0.7" top="0.75" bottom="0.75" header="0.3" footer="0.3"/>
  <x:tableParts count="1">
    <x:tablePart xmlns:r="http://schemas.openxmlformats.org/officeDocument/2006/relationships" r:id="R672884a6fad143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2" hidden="0" customWidth="1"/>
    <x:col min="3" max="3" width="18" hidden="0" customWidth="1"/>
    <x:col min="4" max="4" width="18" hidden="0" customWidth="1"/>
    <x:col min="5" max="5" width="14" hidden="0" customWidth="1"/>
    <x:col min="6" max="6" width="4" hidden="0" customWidth="1"/>
    <x:col min="7" max="7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50" t="str">
        <x:v>EDB terminal answer and return</x:v>
      </x:c>
      <x:c r="B2" s="15"/>
      <x:c r="C2" s="15"/>
      <x:c r="D2" s="15"/>
      <x:c r="E2" s="15"/>
      <x:c r="F2" s="15"/>
      <x:c r="G2" s="15"/>
    </x:row>
    <x:row r="3">
      <x:c r="A3" s="17"/>
      <x:c r="B3" s="17"/>
      <x:c r="C3" s="17"/>
      <x:c r="D3" s="17"/>
      <x:c r="E3" s="17"/>
      <x:c r="F3" s="17"/>
      <x:c r="G3" s="17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</x:row>
    <x:row r="5">
      <x:c r="A5" s="15"/>
      <x:c r="B5" s="15"/>
      <x:c r="C5" s="15"/>
      <x:c r="D5" s="15"/>
      <x:c r="E5" s="15"/>
      <x:c r="F5" s="15"/>
      <x:c r="G5" s="15"/>
    </x:row>
    <x:row r="6" ht="34" customHeight="1">
      <x:c r="A6" s="18" t="str">
        <x:v>Record</x:v>
      </x:c>
      <x:c r="B6" s="18" t="str">
        <x:v>Test</x:v>
      </x:c>
      <x:c r="C6" s="18" t="str">
        <x:v>Calculated</x:v>
      </x:c>
      <x:c r="D6" s="18" t="str">
        <x:v>Expected</x:v>
      </x:c>
      <x:c r="E6" s="18" t="str">
        <x:v>State</x:v>
      </x:c>
      <x:c r="F6" s="15"/>
      <x:c r="G6" s="15"/>
    </x:row>
    <x:row r="7">
      <x:c r="A7" s="15" t="str">
        <x:v>R01</x:v>
      </x:c>
      <x:c r="B7" s="15" t="str">
        <x:v>Six configuration identities remain sovereign</x:v>
      </x:c>
      <x:c r="C7" s="15" t="n">
        <x:v>6</x:v>
      </x:c>
      <x:c r="D7" s="15" t="n">
        <x:v>6</x:v>
      </x:c>
      <x:c r="E7" s="15" t="str">
        <x:v>PASS</x:v>
      </x:c>
      <x:c r="F7" s="15"/>
      <x:c r="G7" s="15"/>
    </x:row>
    <x:row r="8">
      <x:c r="A8" s="15" t="str">
        <x:v>R02</x:v>
      </x:c>
      <x:c r="B8" s="15" t="str">
        <x:v>Four worlds bind every form</x:v>
      </x:c>
      <x:c r="C8" s="15" t="n">
        <x:v>24</x:v>
      </x:c>
      <x:c r="D8" s="15" t="n">
        <x:v>24</x:v>
      </x:c>
      <x:c r="E8" s="15" t="str">
        <x:v>PASS</x:v>
      </x:c>
      <x:c r="F8" s="15"/>
      <x:c r="G8" s="15"/>
    </x:row>
    <x:row r="9">
      <x:c r="A9" s="15" t="str">
        <x:v>R03</x:v>
      </x:c>
      <x:c r="B9" s="15" t="str">
        <x:v>Nine accounts bind every form</x:v>
      </x:c>
      <x:c r="C9" s="15" t="n">
        <x:v>54</x:v>
      </x:c>
      <x:c r="D9" s="15" t="n">
        <x:v>54</x:v>
      </x:c>
      <x:c r="E9" s="15" t="str">
        <x:v>PASS</x:v>
      </x:c>
      <x:c r="F9" s="15"/>
      <x:c r="G9" s="15"/>
    </x:row>
    <x:row r="10">
      <x:c r="A10" s="15" t="str">
        <x:v>R04</x:v>
      </x:c>
      <x:c r="B10" s="15" t="str">
        <x:v>Numerical uprates remain explicit</x:v>
      </x:c>
      <x:c r="C10" s="15" t="n">
        <x:v>21</x:v>
      </x:c>
      <x:c r="D10" s="15" t="n">
        <x:v>21</x:v>
      </x:c>
      <x:c r="E10" s="15" t="str">
        <x:v>PASS</x:v>
      </x:c>
      <x:c r="F10" s="15"/>
      <x:c r="G10" s="15"/>
    </x:row>
    <x:row r="11">
      <x:c r="A11" s="15" t="str">
        <x:v>R05</x:v>
      </x:c>
      <x:c r="B11" s="15" t="str">
        <x:v>Source-specific coefficients remain open</x:v>
      </x:c>
      <x:c r="C11" s="15" t="n">
        <x:v>36</x:v>
      </x:c>
      <x:c r="D11" s="15" t="n">
        <x:v>36</x:v>
      </x:c>
      <x:c r="E11" s="15" t="str">
        <x:v>PASS</x:v>
      </x:c>
      <x:c r="F11" s="15"/>
      <x:c r="G11" s="15"/>
    </x:row>
    <x:row r="12">
      <x:c r="A12" s="15" t="str">
        <x:v>R06</x:v>
      </x:c>
      <x:c r="B12" s="15" t="str">
        <x:v>Physical topology dispositions retained</x:v>
      </x:c>
      <x:c r="C12" s="15" t="n">
        <x:v>6</x:v>
      </x:c>
      <x:c r="D12" s="15" t="n">
        <x:v>6</x:v>
      </x:c>
      <x:c r="E12" s="15" t="str">
        <x:v>PASS</x:v>
      </x:c>
      <x:c r="F12" s="15"/>
      <x:c r="G12" s="15"/>
    </x:row>
    <x:row r="13">
      <x:c r="A13" s="15" t="str">
        <x:v>R07</x:v>
      </x:c>
      <x:c r="B13" s="15" t="str">
        <x:v>Technology orders transfer to article program</x:v>
      </x:c>
      <x:c r="C13" s="15" t="n">
        <x:v>24</x:v>
      </x:c>
      <x:c r="D13" s="15" t="n">
        <x:v>24</x:v>
      </x:c>
      <x:c r="E13" s="15" t="str">
        <x:v>PASS</x:v>
      </x:c>
      <x:c r="F13" s="15"/>
      <x:c r="G13" s="15"/>
    </x:row>
    <x:row r="14">
      <x:c r="A14" s="15" t="str">
        <x:v>R08</x:v>
      </x:c>
      <x:c r="B14" s="15" t="str">
        <x:v>Full-scale articles remain programmed</x:v>
      </x:c>
      <x:c r="C14" s="15" t="n">
        <x:v>144</x:v>
      </x:c>
      <x:c r="D14" s="15" t="n">
        <x:v>144</x:v>
      </x:c>
      <x:c r="E14" s="15" t="str">
        <x:v>PASS</x:v>
      </x:c>
      <x:c r="F14" s="15"/>
      <x:c r="G14" s="15"/>
    </x:row>
    <x:row r="15">
      <x:c r="A15" s="15" t="str">
        <x:v>R09</x:v>
      </x:c>
      <x:c r="B15" s="15" t="str">
        <x:v>Every cost jurisdiction remains within reservation</x:v>
      </x:c>
      <x:c r="C15" s="15" t="n">
        <x:v>4</x:v>
      </x:c>
      <x:c r="D15" s="15" t="n">
        <x:v>4</x:v>
      </x:c>
      <x:c r="E15" s="15" t="str">
        <x:v>PASS</x:v>
      </x:c>
      <x:c r="F15" s="15"/>
      <x:c r="G15" s="15"/>
    </x:row>
    <x:row r="16">
      <x:c r="A16" s="15" t="str">
        <x:v>R10</x:v>
      </x:c>
      <x:c r="B16" s="15" t="str">
        <x:v>REP-2 technical work is eligible but unissued</x:v>
      </x:c>
      <x:c r="C16" s="15" t="n">
        <x:v>0</x:v>
      </x:c>
      <x:c r="D16" s="15" t="n">
        <x:v>0</x:v>
      </x:c>
      <x:c r="E16" s="15" t="str">
        <x:v>PASS</x:v>
      </x:c>
      <x:c r="F16" s="15"/>
      <x:c r="G16" s="15"/>
    </x:row>
    <x:row r="17">
      <x:c r="A17" s="15" t="str">
        <x:v>R11</x:v>
      </x:c>
      <x:c r="B17" s="15" t="str">
        <x:v>Evidence, MAKE, REP-4, production and selection remain zero</x:v>
      </x:c>
      <x:c r="C17" s="15" t="n">
        <x:v>0</x:v>
      </x:c>
      <x:c r="D17" s="15" t="n">
        <x:v>0</x:v>
      </x:c>
      <x:c r="E17" s="15" t="str">
        <x:v>PASS</x:v>
      </x:c>
      <x:c r="F17" s="15"/>
      <x:c r="G17" s="15"/>
    </x:row>
    <x:row r="18">
      <x:c r="A18" s="15" t="str">
        <x:v>R12</x:v>
      </x:c>
      <x:c r="B18" s="15" t="str">
        <x:v>EDB returns to registered FR-03 parent</x:v>
      </x:c>
      <x:c r="C18" s="15" t="n">
        <x:v>1</x:v>
      </x:c>
      <x:c r="D18" s="15" t="n">
        <x:v>1</x:v>
      </x:c>
      <x:c r="E18" s="15" t="str">
        <x:v>PASS</x:v>
      </x:c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8" t="str">
        <x:v>Parent question</x:v>
      </x:c>
      <x:c r="B22" s="18"/>
      <x:c r="C22" s="15"/>
      <x:c r="D22" s="15"/>
      <x:c r="E22" s="15"/>
      <x:c r="F22" s="15"/>
      <x:c r="G22" s="15"/>
    </x:row>
    <x:row r="23">
      <x:c r="A23" s="18" t="str">
        <x:v>Question</x:v>
      </x:c>
      <x:c r="B23" s="18" t="str">
        <x:v>Can six cohort-one forms become source-specific, reconstructable Engineering Definition Baselines across all registered accounts and worlds without converting design closure into evidence, MAKE, REP-4 or selection?</x:v>
      </x:c>
      <x:c r="C23" s="15"/>
      <x:c r="D23" s="15"/>
      <x:c r="E23" s="15"/>
      <x:c r="F23" s="15"/>
      <x:c r="G23" s="15"/>
    </x:row>
    <x:row r="24">
      <x:c r="A24" s="18" t="str">
        <x:v>Answer</x:v>
      </x:c>
      <x:c r="B24" s="18" t="str">
        <x:v>Yes, as BUILD-TO-TEST / UNMEASURED baselines governed by EDB-TC. No physical capability or winner is established.</x:v>
      </x:c>
      <x:c r="C24" s="15"/>
      <x:c r="D24" s="15"/>
      <x:c r="E24" s="15"/>
      <x:c r="F24" s="15"/>
      <x:c r="G24" s="15"/>
    </x:row>
    <x:row r="25">
      <x:c r="A25" s="18" t="str">
        <x:v>Disposition</x:v>
      </x:c>
      <x:c r="B25" s="18" t="str">
        <x:v>RETURN to FR-03; EDB consumes its fifth pass and opens no successor.</x:v>
      </x:c>
      <x:c r="C25" s="15"/>
      <x:c r="D25" s="15"/>
      <x:c r="E25" s="15"/>
      <x:c r="F25" s="15"/>
      <x:c r="G25" s="15"/>
    </x:row>
  </x:sheetData>
  <x:pageMargins left="0.7" right="0.7" top="0.75" bottom="0.75" header="0.3" footer="0.3"/>
  <x:tableParts count="1">
    <x:tablePart xmlns:r="http://schemas.openxmlformats.org/officeDocument/2006/relationships" r:id="Rf59dc5fb61e6487e"/>
  </x:tableParts>
</x:worksheet>
</file>

<file path=xl/worksheets/sheet1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50" t="str">
        <x:v>Inherited controls and source-specific cost inputs</x:v>
      </x:c>
      <x:c r="B2" s="15"/>
      <x:c r="C2" s="15"/>
      <x:c r="D2" s="15"/>
      <x:c r="E2" s="15"/>
      <x:c r="F2" s="15"/>
      <x:c r="G2" s="15"/>
      <x:c r="H2" s="15"/>
    </x:row>
    <x:row r="3">
      <x:c r="A3" s="17"/>
      <x:c r="B3" s="17"/>
      <x:c r="C3" s="17"/>
      <x:c r="D3" s="17"/>
      <x:c r="E3" s="17"/>
      <x:c r="F3" s="17"/>
      <x:c r="G3" s="17"/>
      <x:c r="H3" s="17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18" t="str">
        <x:v>Control</x:v>
      </x:c>
      <x:c r="B6" s="18" t="str">
        <x:v>Value</x:v>
      </x:c>
      <x:c r="C6" s="18" t="str">
        <x:v>Unit</x:v>
      </x:c>
      <x:c r="D6" s="18" t="str">
        <x:v>Basis</x:v>
      </x:c>
      <x:c r="E6" s="15"/>
      <x:c r="F6" s="15"/>
      <x:c r="G6" s="15"/>
      <x:c r="H6" s="15"/>
    </x:row>
    <x:row r="7">
      <x:c r="A7" s="15" t="str">
        <x:v>Configuration baselines</x:v>
      </x:c>
      <x:c r="B7" s="15" t="n">
        <x:v>6</x:v>
      </x:c>
      <x:c r="C7" s="15" t="str">
        <x:v>count</x:v>
      </x:c>
      <x:c r="D7" s="15" t="str">
        <x:v>EDB-1</x:v>
      </x:c>
      <x:c r="E7" s="15"/>
      <x:c r="F7" s="15"/>
      <x:c r="G7" s="15"/>
      <x:c r="H7" s="15"/>
    </x:row>
    <x:row r="8">
      <x:c r="A8" s="15" t="str">
        <x:v>Physical worlds per form</x:v>
      </x:c>
      <x:c r="B8" s="15" t="n">
        <x:v>4</x:v>
      </x:c>
      <x:c r="C8" s="15" t="str">
        <x:v>count</x:v>
      </x:c>
      <x:c r="D8" s="15" t="str">
        <x:v>EDB-1</x:v>
      </x:c>
      <x:c r="E8" s="15"/>
      <x:c r="F8" s="15"/>
      <x:c r="G8" s="15"/>
      <x:c r="H8" s="15"/>
    </x:row>
    <x:row r="9">
      <x:c r="A9" s="15" t="str">
        <x:v>Account laws</x:v>
      </x:c>
      <x:c r="B9" s="15" t="n">
        <x:v>54</x:v>
      </x:c>
      <x:c r="C9" s="15" t="str">
        <x:v>count</x:v>
      </x:c>
      <x:c r="D9" s="15" t="str">
        <x:v>EDB-1</x:v>
      </x:c>
      <x:c r="E9" s="15"/>
      <x:c r="F9" s="15"/>
      <x:c r="G9" s="15"/>
      <x:c r="H9" s="15"/>
    </x:row>
    <x:row r="10">
      <x:c r="A10" s="15" t="str">
        <x:v>Numerical uprating orders</x:v>
      </x:c>
      <x:c r="B10" s="15" t="n">
        <x:v>21</x:v>
      </x:c>
      <x:c r="C10" s="15" t="str">
        <x:v>count</x:v>
      </x:c>
      <x:c r="D10" s="15" t="str">
        <x:v>NIS-1</x:v>
      </x:c>
      <x:c r="E10" s="15"/>
      <x:c r="F10" s="15"/>
      <x:c r="G10" s="15"/>
      <x:c r="H10" s="15"/>
    </x:row>
    <x:row r="11">
      <x:c r="A11" s="15" t="str">
        <x:v>Open measured coefficients</x:v>
      </x:c>
      <x:c r="B11" s="15" t="n">
        <x:v>36</x:v>
      </x:c>
      <x:c r="C11" s="15" t="str">
        <x:v>count</x:v>
      </x:c>
      <x:c r="D11" s="15" t="str">
        <x:v>NIS-1</x:v>
      </x:c>
      <x:c r="E11" s="15"/>
      <x:c r="F11" s="15"/>
      <x:c r="G11" s="15"/>
      <x:c r="H11" s="15"/>
    </x:row>
    <x:row r="12">
      <x:c r="A12" s="15" t="str">
        <x:v>Technology orders</x:v>
      </x:c>
      <x:c r="B12" s="15" t="n">
        <x:v>24</x:v>
      </x:c>
      <x:c r="C12" s="15" t="str">
        <x:v>count</x:v>
      </x:c>
      <x:c r="D12" s="15" t="str">
        <x:v>PIL-1</x:v>
      </x:c>
      <x:c r="E12" s="15"/>
      <x:c r="F12" s="15"/>
      <x:c r="G12" s="15"/>
      <x:c r="H12" s="15"/>
    </x:row>
    <x:row r="13">
      <x:c r="A13" s="15" t="str">
        <x:v>Builder roots per technology order</x:v>
      </x:c>
      <x:c r="B13" s="15" t="n">
        <x:v>2</x:v>
      </x:c>
      <x:c r="C13" s="15" t="str">
        <x:v>count</x:v>
      </x:c>
      <x:c r="D13" s="15" t="str">
        <x:v>AIP-1</x:v>
      </x:c>
      <x:c r="E13" s="15"/>
      <x:c r="F13" s="15"/>
      <x:c r="G13" s="15"/>
      <x:c r="H13" s="15"/>
    </x:row>
    <x:row r="14">
      <x:c r="A14" s="15" t="str">
        <x:v>Serial roles per builder root</x:v>
      </x:c>
      <x:c r="B14" s="15" t="n">
        <x:v>3</x:v>
      </x:c>
      <x:c r="C14" s="15" t="str">
        <x:v>count</x:v>
      </x:c>
      <x:c r="D14" s="15" t="str">
        <x:v>AIP-1</x:v>
      </x:c>
      <x:c r="E14" s="15"/>
      <x:c r="F14" s="15"/>
      <x:c r="G14" s="15"/>
      <x:c r="H14" s="15"/>
    </x:row>
    <x:row r="15">
      <x:c r="A15" s="15" t="str">
        <x:v>Acceptance-bearing serials per root</x:v>
      </x:c>
      <x:c r="B15" s="15" t="n">
        <x:v>2</x:v>
      </x:c>
      <x:c r="C15" s="15" t="str">
        <x:v>count</x:v>
      </x:c>
      <x:c r="D15" s="15" t="str">
        <x:v>AIP-1</x:v>
      </x:c>
      <x:c r="E15" s="15"/>
      <x:c r="F15" s="15"/>
      <x:c r="G15" s="15"/>
      <x:c r="H15" s="15"/>
    </x:row>
    <x:row r="16">
      <x:c r="A16" s="15" t="str">
        <x:v>Candidate tooling burden share</x:v>
      </x:c>
      <x:c r="B16" s="19" t="n">
        <x:v>0.6666666666666666</x:v>
      </x:c>
      <x:c r="C16" s="15" t="str">
        <x:v>share</x:v>
      </x:c>
      <x:c r="D16" s="15" t="str">
        <x:v>INT and BRK serial-equivalent tooling burden</x:v>
      </x:c>
      <x:c r="E16" s="15"/>
      <x:c r="F16" s="15"/>
      <x:c r="G16" s="15"/>
      <x:c r="H16" s="15"/>
    </x:row>
    <x:row r="17">
      <x:c r="A17" s="15" t="str">
        <x:v>Reconstruction tooling burden share</x:v>
      </x:c>
      <x:c r="B17" s="19" t="n">
        <x:v>0.3333333333333333</x:v>
      </x:c>
      <x:c r="C17" s="15" t="str">
        <x:v>share</x:v>
      </x:c>
      <x:c r="D17" s="15" t="str">
        <x:v>RCN serial-equivalent tooling burden</x:v>
      </x:c>
      <x:c r="E17" s="15"/>
      <x:c r="F17" s="15"/>
      <x:c r="G17" s="15"/>
      <x:c r="H17" s="15"/>
    </x:row>
    <x:row r="18">
      <x:c r="A18" s="15" t="str">
        <x:v>Candidate articles and technical data reservation</x:v>
      </x:c>
      <x:c r="B18" s="20" t="n">
        <x:v>17200</x:v>
      </x:c>
      <x:c r="C18" s="15" t="str">
        <x:v>USD M</x:v>
      </x:c>
      <x:c r="D18" s="15" t="str">
        <x:v>Pass 184</x:v>
      </x:c>
      <x:c r="E18" s="15"/>
      <x:c r="F18" s="15"/>
      <x:c r="G18" s="15"/>
      <x:c r="H18" s="15"/>
    </x:row>
    <x:row r="19">
      <x:c r="A19" s="15" t="str">
        <x:v>Proving stations reservation</x:v>
      </x:c>
      <x:c r="B19" s="20" t="n">
        <x:v>12900</x:v>
      </x:c>
      <x:c r="C19" s="15" t="str">
        <x:v>USD M</x:v>
      </x:c>
      <x:c r="D19" s="15" t="str">
        <x:v>Pass 184</x:v>
      </x:c>
      <x:c r="E19" s="15"/>
      <x:c r="F19" s="15"/>
      <x:c r="G19" s="15"/>
      <x:c r="H19" s="15"/>
    </x:row>
    <x:row r="20">
      <x:c r="A20" s="15" t="str">
        <x:v>Metrology and public custody reservation</x:v>
      </x:c>
      <x:c r="B20" s="20" t="n">
        <x:v>8600</x:v>
      </x:c>
      <x:c r="C20" s="15" t="str">
        <x:v>USD M</x:v>
      </x:c>
      <x:c r="D20" s="15" t="str">
        <x:v>Pass 184</x:v>
      </x:c>
      <x:c r="E20" s="15"/>
      <x:c r="F20" s="15"/>
      <x:c r="G20" s="15"/>
      <x:c r="H20" s="15"/>
    </x:row>
    <x:row r="21">
      <x:c r="A21" s="15" t="str">
        <x:v>Replacement and regeneration reservation</x:v>
      </x:c>
      <x:c r="B21" s="20" t="n">
        <x:v>4300</x:v>
      </x:c>
      <x:c r="C21" s="15" t="str">
        <x:v>USD M</x:v>
      </x:c>
      <x:c r="D21" s="15" t="str">
        <x:v>Pass 184</x:v>
      </x:c>
      <x:c r="E21" s="15"/>
      <x:c r="F21" s="15"/>
      <x:c r="G21" s="15"/>
      <x:c r="H21" s="15"/>
    </x:row>
    <x:row r="22">
      <x:c r="A22" s="15" t="str">
        <x:v>Accepted observations</x:v>
      </x:c>
      <x:c r="B22" s="15" t="n">
        <x:v>0</x:v>
      </x:c>
      <x:c r="C22" s="15" t="str">
        <x:v>count</x:v>
      </x:c>
      <x:c r="D22" s="15" t="str">
        <x:v>authority hold</x:v>
      </x:c>
      <x:c r="E22" s="15"/>
      <x:c r="F22" s="15"/>
      <x:c r="G22" s="15"/>
      <x:c r="H22" s="15"/>
    </x:row>
    <x:row r="23">
      <x:c r="A23" s="15" t="str">
        <x:v>MAKE authority</x:v>
      </x:c>
      <x:c r="B23" s="15" t="n">
        <x:v>0</x:v>
      </x:c>
      <x:c r="C23" s="15" t="str">
        <x:v>binary</x:v>
      </x:c>
      <x:c r="D23" s="15" t="str">
        <x:v>authority hold</x:v>
      </x:c>
      <x:c r="E23" s="15"/>
      <x:c r="F23" s="15"/>
      <x:c r="G23" s="15"/>
      <x:c r="H23" s="15"/>
    </x:row>
    <x:row r="24">
      <x:c r="A24" s="15" t="str">
        <x:v>REP-4 authority</x:v>
      </x:c>
      <x:c r="B24" s="15" t="n">
        <x:v>0</x:v>
      </x:c>
      <x:c r="C24" s="15" t="str">
        <x:v>binary</x:v>
      </x:c>
      <x:c r="D24" s="15" t="str">
        <x:v>as-built authority hold</x:v>
      </x:c>
      <x:c r="E24" s="15"/>
      <x:c r="F24" s="15"/>
      <x:c r="G24" s="15"/>
      <x:c r="H24" s="15"/>
    </x:row>
    <x:row r="25">
      <x:c r="A25" s="15" t="str">
        <x:v>Production authority</x:v>
      </x:c>
      <x:c r="B25" s="15" t="n">
        <x:v>0</x:v>
      </x:c>
      <x:c r="C25" s="15" t="str">
        <x:v>binary</x:v>
      </x:c>
      <x:c r="D25" s="15" t="str">
        <x:v>authority hold</x:v>
      </x:c>
      <x:c r="E25" s="15"/>
      <x:c r="F25" s="15"/>
      <x:c r="G25" s="15"/>
      <x:c r="H25" s="15"/>
    </x:row>
    <x:row r="26">
      <x:c r="A26" s="15" t="str">
        <x:v>Rendering issues</x:v>
      </x:c>
      <x:c r="B26" s="15" t="n">
        <x:v>0</x:v>
      </x:c>
      <x:c r="C26" s="15" t="str">
        <x:v>count</x:v>
      </x:c>
      <x:c r="D26" s="15" t="str">
        <x:v>eligibility does not equal issue</x:v>
      </x:c>
      <x:c r="E26" s="15"/>
      <x:c r="F26" s="15"/>
      <x:c r="G26" s="15"/>
      <x:c r="H26" s="15"/>
    </x:row>
    <x:row r="27">
      <x:c r="A27" s="15" t="str">
        <x:v>Selected forms</x:v>
      </x:c>
      <x:c r="B27" s="15" t="n">
        <x:v>0</x:v>
      </x:c>
      <x:c r="C27" s="15" t="str">
        <x:v>count</x:v>
      </x:c>
      <x:c r="D27" s="15" t="str">
        <x:v>selection hold</x:v>
      </x:c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6" t="str">
        <x:v>Technology-order cost inputs (USD M)</x:v>
      </x:c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 ht="34" customHeight="1">
      <x:c r="A32" s="18" t="str">
        <x:v>Order</x:v>
      </x:c>
      <x:c r="B32" s="18" t="str">
        <x:v>Form</x:v>
      </x:c>
      <x:c r="C32" s="18" t="str">
        <x:v>Technology</x:v>
      </x:c>
      <x:c r="D32" s="18" t="str">
        <x:v>Unit article</x:v>
      </x:c>
      <x:c r="E32" s="18" t="str">
        <x:v>Two tooling cells</x:v>
      </x:c>
      <x:c r="F32" s="18" t="str">
        <x:v>Two public fixtures</x:v>
      </x:c>
      <x:c r="G32" s="18" t="str">
        <x:v>Operations and evidence</x:v>
      </x:c>
      <x:c r="H32" s="15"/>
    </x:row>
    <x:row r="33">
      <x:c r="A33" s="15" t="str">
        <x:v>ET-A-A-TECH-1</x:v>
      </x:c>
      <x:c r="B33" s="15" t="str">
        <x:v>ET-A-A</x:v>
      </x:c>
      <x:c r="C33" s="18" t="str">
        <x:v>Independent six-axis transfer saddle</x:v>
      </x:c>
      <x:c r="D33" s="20" t="n">
        <x:v>220</x:v>
      </x:c>
      <x:c r="E33" s="20" t="n">
        <x:v>320</x:v>
      </x:c>
      <x:c r="F33" s="20" t="n">
        <x:v>500</x:v>
      </x:c>
      <x:c r="G33" s="20" t="n">
        <x:v>180</x:v>
      </x:c>
      <x:c r="H33" s="15"/>
    </x:row>
    <x:row r="34">
      <x:c r="A34" s="15" t="str">
        <x:v>ET-A-A-TECH-2</x:v>
      </x:c>
      <x:c r="B34" s="15" t="str">
        <x:v>ET-A-A</x:v>
      </x:c>
      <x:c r="C34" s="18" t="str">
        <x:v>Self-forming shore path</x:v>
      </x:c>
      <x:c r="D34" s="20" t="n">
        <x:v>180</x:v>
      </x:c>
      <x:c r="E34" s="20" t="n">
        <x:v>300</x:v>
      </x:c>
      <x:c r="F34" s="20" t="n">
        <x:v>450</x:v>
      </x:c>
      <x:c r="G34" s="20" t="n">
        <x:v>160</x:v>
      </x:c>
      <x:c r="H34" s="15"/>
    </x:row>
    <x:row r="35">
      <x:c r="A35" s="15" t="str">
        <x:v>ET-A-A-TECH-3</x:v>
      </x:c>
      <x:c r="B35" s="15" t="str">
        <x:v>ET-A-A</x:v>
      </x:c>
      <x:c r="C35" s="18" t="str">
        <x:v>Distributed custody metrology</x:v>
      </x:c>
      <x:c r="D35" s="20" t="n">
        <x:v>70</x:v>
      </x:c>
      <x:c r="E35" s="20" t="n">
        <x:v>100</x:v>
      </x:c>
      <x:c r="F35" s="20" t="n">
        <x:v>120</x:v>
      </x:c>
      <x:c r="G35" s="20" t="n">
        <x:v>70</x:v>
      </x:c>
      <x:c r="H35" s="15"/>
    </x:row>
    <x:row r="36">
      <x:c r="A36" s="15" t="str">
        <x:v>ET-A-A-TECH-4</x:v>
      </x:c>
      <x:c r="B36" s="15" t="str">
        <x:v>ET-A-A</x:v>
      </x:c>
      <x:c r="C36" s="18" t="str">
        <x:v>Hull-local thermal metabolism</x:v>
      </x:c>
      <x:c r="D36" s="20" t="n">
        <x:v>130</x:v>
      </x:c>
      <x:c r="E36" s="20" t="n">
        <x:v>220</x:v>
      </x:c>
      <x:c r="F36" s="20" t="n">
        <x:v>250</x:v>
      </x:c>
      <x:c r="G36" s="20" t="n">
        <x:v>110</x:v>
      </x:c>
      <x:c r="H36" s="15"/>
    </x:row>
    <x:row r="37">
      <x:c r="A37" s="15" t="str">
        <x:v>CT-C-B-TECH-1</x:v>
      </x:c>
      <x:c r="B37" s="15" t="str">
        <x:v>CT-C-B</x:v>
      </x:c>
      <x:c r="C37" s="18" t="str">
        <x:v>Proof-loaded reversible attachment</x:v>
      </x:c>
      <x:c r="D37" s="20" t="n">
        <x:v>90</x:v>
      </x:c>
      <x:c r="E37" s="20" t="n">
        <x:v>150</x:v>
      </x:c>
      <x:c r="F37" s="20" t="n">
        <x:v>180</x:v>
      </x:c>
      <x:c r="G37" s="20" t="n">
        <x:v>80</x:v>
      </x:c>
      <x:c r="H37" s="15"/>
    </x:row>
    <x:row r="38">
      <x:c r="A38" s="15" t="str">
        <x:v>CT-C-B-TECH-2</x:v>
      </x:c>
      <x:c r="B38" s="15" t="str">
        <x:v>CT-C-B</x:v>
      </x:c>
      <x:c r="C38" s="18" t="str">
        <x:v>Passive progressive-peel arrest</x:v>
      </x:c>
      <x:c r="D38" s="20" t="n">
        <x:v>70</x:v>
      </x:c>
      <x:c r="E38" s="20" t="n">
        <x:v>120</x:v>
      </x:c>
      <x:c r="F38" s="20" t="n">
        <x:v>150</x:v>
      </x:c>
      <x:c r="G38" s="20" t="n">
        <x:v>70</x:v>
      </x:c>
      <x:c r="H38" s="15"/>
    </x:row>
    <x:row r="39">
      <x:c r="A39" s="15" t="str">
        <x:v>CT-C-B-TECH-3</x:v>
      </x:c>
      <x:c r="B39" s="15" t="str">
        <x:v>CT-C-B</x:v>
      </x:c>
      <x:c r="C39" s="18" t="str">
        <x:v>Mixed-utility guillotine</x:v>
      </x:c>
      <x:c r="D39" s="20" t="n">
        <x:v>50</x:v>
      </x:c>
      <x:c r="E39" s="20" t="n">
        <x:v>90</x:v>
      </x:c>
      <x:c r="F39" s="20" t="n">
        <x:v>120</x:v>
      </x:c>
      <x:c r="G39" s="20" t="n">
        <x:v>50</x:v>
      </x:c>
      <x:c r="H39" s="15"/>
    </x:row>
    <x:row r="40">
      <x:c r="A40" s="15" t="str">
        <x:v>CT-C-B-TECH-4</x:v>
      </x:c>
      <x:c r="B40" s="15" t="str">
        <x:v>CT-C-B</x:v>
      </x:c>
      <x:c r="C40" s="18" t="str">
        <x:v>Occupied-zone installation robotics</x:v>
      </x:c>
      <x:c r="D40" s="20" t="n">
        <x:v>60</x:v>
      </x:c>
      <x:c r="E40" s="20" t="n">
        <x:v>110</x:v>
      </x:c>
      <x:c r="F40" s="20" t="n">
        <x:v>140</x:v>
      </x:c>
      <x:c r="G40" s="20" t="n">
        <x:v>60</x:v>
      </x:c>
      <x:c r="H40" s="15"/>
    </x:row>
    <x:row r="41">
      <x:c r="A41" s="15" t="str">
        <x:v>HC-A-C-TECH-1</x:v>
      </x:c>
      <x:c r="B41" s="15" t="str">
        <x:v>HC-A-C</x:v>
      </x:c>
      <x:c r="C41" s="18" t="str">
        <x:v>Mesh-independent heavy rotor cell</x:v>
      </x:c>
      <x:c r="D41" s="20" t="n">
        <x:v>150</x:v>
      </x:c>
      <x:c r="E41" s="20" t="n">
        <x:v>220</x:v>
      </x:c>
      <x:c r="F41" s="20" t="n">
        <x:v>300</x:v>
      </x:c>
      <x:c r="G41" s="20" t="n">
        <x:v>120</x:v>
      </x:c>
      <x:c r="H41" s="15"/>
    </x:row>
    <x:row r="42">
      <x:c r="A42" s="15" t="str">
        <x:v>HC-A-C-TECH-2</x:v>
      </x:c>
      <x:c r="B42" s="15" t="str">
        <x:v>HC-A-C</x:v>
      </x:c>
      <x:c r="C42" s="18" t="str">
        <x:v>Hot-zone exchange lane</x:v>
      </x:c>
      <x:c r="D42" s="20" t="n">
        <x:v>80</x:v>
      </x:c>
      <x:c r="E42" s="20" t="n">
        <x:v>120</x:v>
      </x:c>
      <x:c r="F42" s="20" t="n">
        <x:v>160</x:v>
      </x:c>
      <x:c r="G42" s="20" t="n">
        <x:v>70</x:v>
      </x:c>
      <x:c r="H42" s="15"/>
    </x:row>
    <x:row r="43">
      <x:c r="A43" s="15" t="str">
        <x:v>HC-A-C-TECH-3</x:v>
      </x:c>
      <x:c r="B43" s="15" t="str">
        <x:v>HC-A-C</x:v>
      </x:c>
      <x:c r="C43" s="18" t="str">
        <x:v>Self-calibrating plume tomography</x:v>
      </x:c>
      <x:c r="D43" s="20" t="n">
        <x:v>35</x:v>
      </x:c>
      <x:c r="E43" s="20" t="n">
        <x:v>60</x:v>
      </x:c>
      <x:c r="F43" s="20" t="n">
        <x:v>80</x:v>
      </x:c>
      <x:c r="G43" s="20" t="n">
        <x:v>40</x:v>
      </x:c>
      <x:c r="H43" s="15"/>
    </x:row>
    <x:row r="44">
      <x:c r="A44" s="15" t="str">
        <x:v>HC-A-C-TECH-4</x:v>
      </x:c>
      <x:c r="B44" s="15" t="str">
        <x:v>HC-A-C</x:v>
      </x:c>
      <x:c r="C44" s="18" t="str">
        <x:v>Cell-local aero-thermal system</x:v>
      </x:c>
      <x:c r="D44" s="20" t="n">
        <x:v>70</x:v>
      </x:c>
      <x:c r="E44" s="20" t="n">
        <x:v>100</x:v>
      </x:c>
      <x:c r="F44" s="20" t="n">
        <x:v>120</x:v>
      </x:c>
      <x:c r="G44" s="20" t="n">
        <x:v>60</x:v>
      </x:c>
      <x:c r="H44" s="15"/>
    </x:row>
    <x:row r="45">
      <x:c r="A45" s="15" t="str">
        <x:v>LF-B-A-TECH-1</x:v>
      </x:c>
      <x:c r="B45" s="15" t="str">
        <x:v>LF-B-A</x:v>
      </x:c>
      <x:c r="C45" s="18" t="str">
        <x:v>Rapid multi-bore inference</x:v>
      </x:c>
      <x:c r="D45" s="20" t="n">
        <x:v>120</x:v>
      </x:c>
      <x:c r="E45" s="20" t="n">
        <x:v>180</x:v>
      </x:c>
      <x:c r="F45" s="20" t="n">
        <x:v>350</x:v>
      </x:c>
      <x:c r="G45" s="20" t="n">
        <x:v>120</x:v>
      </x:c>
      <x:c r="H45" s="15"/>
    </x:row>
    <x:row r="46">
      <x:c r="A46" s="15" t="str">
        <x:v>LF-B-A-TECH-2</x:v>
      </x:c>
      <x:c r="B46" s="15" t="str">
        <x:v>LF-B-A</x:v>
      </x:c>
      <x:c r="C46" s="18" t="str">
        <x:v>Headerless high-temperature switching</x:v>
      </x:c>
      <x:c r="D46" s="20" t="n">
        <x:v>210</x:v>
      </x:c>
      <x:c r="E46" s="20" t="n">
        <x:v>300</x:v>
      </x:c>
      <x:c r="F46" s="20" t="n">
        <x:v>600</x:v>
      </x:c>
      <x:c r="G46" s="20" t="n">
        <x:v>200</x:v>
      </x:c>
      <x:c r="H46" s="15"/>
    </x:row>
    <x:row r="47">
      <x:c r="A47" s="15" t="str">
        <x:v>LF-B-A-TECH-3</x:v>
      </x:c>
      <x:c r="B47" s="15" t="str">
        <x:v>LF-B-A</x:v>
      </x:c>
      <x:c r="C47" s="18" t="str">
        <x:v>Closed brine-mineral metabolism</x:v>
      </x:c>
      <x:c r="D47" s="20" t="n">
        <x:v>130</x:v>
      </x:c>
      <x:c r="E47" s="20" t="n">
        <x:v>220</x:v>
      </x:c>
      <x:c r="F47" s="20" t="n">
        <x:v>400</x:v>
      </x:c>
      <x:c r="G47" s="20" t="n">
        <x:v>140</x:v>
      </x:c>
      <x:c r="H47" s="15"/>
    </x:row>
    <x:row r="48">
      <x:c r="A48" s="15" t="str">
        <x:v>LF-B-A-TECH-4</x:v>
      </x:c>
      <x:c r="B48" s="15" t="str">
        <x:v>LF-B-A</x:v>
      </x:c>
      <x:c r="C48" s="18" t="str">
        <x:v>Autonomous trenchless lifeline corridor</x:v>
      </x:c>
      <x:c r="D48" s="20" t="n">
        <x:v>90</x:v>
      </x:c>
      <x:c r="E48" s="20" t="n">
        <x:v>140</x:v>
      </x:c>
      <x:c r="F48" s="20" t="n">
        <x:v>250</x:v>
      </x:c>
      <x:c r="G48" s="20" t="n">
        <x:v>90</x:v>
      </x:c>
      <x:c r="H48" s="15"/>
    </x:row>
    <x:row r="49">
      <x:c r="A49" s="15" t="str">
        <x:v>HU-A-B-TECH-1</x:v>
      </x:c>
      <x:c r="B49" s="15" t="str">
        <x:v>HU-A-B</x:v>
      </x:c>
      <x:c r="C49" s="18" t="str">
        <x:v>Counter-rotating clinical loops</x:v>
      </x:c>
      <x:c r="D49" s="20" t="n">
        <x:v>120</x:v>
      </x:c>
      <x:c r="E49" s="20" t="n">
        <x:v>180</x:v>
      </x:c>
      <x:c r="F49" s="20" t="n">
        <x:v>240</x:v>
      </x:c>
      <x:c r="G49" s="20" t="n">
        <x:v>100</x:v>
      </x:c>
      <x:c r="H49" s="15"/>
    </x:row>
    <x:row r="50">
      <x:c r="A50" s="15" t="str">
        <x:v>HU-A-B-TECH-2</x:v>
      </x:c>
      <x:c r="B50" s="15" t="str">
        <x:v>HU-A-B</x:v>
      </x:c>
      <x:c r="C50" s="18" t="str">
        <x:v>Acuity-reconfigurable care district</x:v>
      </x:c>
      <x:c r="D50" s="20" t="n">
        <x:v>100</x:v>
      </x:c>
      <x:c r="E50" s="20" t="n">
        <x:v>150</x:v>
      </x:c>
      <x:c r="F50" s="20" t="n">
        <x:v>200</x:v>
      </x:c>
      <x:c r="G50" s="20" t="n">
        <x:v>90</x:v>
      </x:c>
      <x:c r="H50" s="15"/>
    </x:row>
    <x:row r="51">
      <x:c r="A51" s="15" t="str">
        <x:v>HU-A-B-TECH-3</x:v>
      </x:c>
      <x:c r="B51" s="15" t="str">
        <x:v>HU-A-B</x:v>
      </x:c>
      <x:c r="C51" s="18" t="str">
        <x:v>Distributed sterile ancestry</x:v>
      </x:c>
      <x:c r="D51" s="20" t="n">
        <x:v>80</x:v>
      </x:c>
      <x:c r="E51" s="20" t="n">
        <x:v>120</x:v>
      </x:c>
      <x:c r="F51" s="20" t="n">
        <x:v>160</x:v>
      </x:c>
      <x:c r="G51" s="20" t="n">
        <x:v>70</x:v>
      </x:c>
      <x:c r="H51" s="15"/>
    </x:row>
    <x:row r="52">
      <x:c r="A52" s="15" t="str">
        <x:v>HU-A-B-TECH-4</x:v>
      </x:c>
      <x:c r="B52" s="15" t="str">
        <x:v>HU-A-B</x:v>
      </x:c>
      <x:c r="C52" s="18" t="str">
        <x:v>Offline relationship continuity</x:v>
      </x:c>
      <x:c r="D52" s="20" t="n">
        <x:v>30</x:v>
      </x:c>
      <x:c r="E52" s="20" t="n">
        <x:v>50</x:v>
      </x:c>
      <x:c r="F52" s="20" t="n">
        <x:v>60</x:v>
      </x:c>
      <x:c r="G52" s="20" t="n">
        <x:v>40</x:v>
      </x:c>
      <x:c r="H52" s="15"/>
    </x:row>
    <x:row r="53">
      <x:c r="A53" s="15" t="str">
        <x:v>RT-B-C-TECH-1</x:v>
      </x:c>
      <x:c r="B53" s="15" t="str">
        <x:v>RT-B-C</x:v>
      </x:c>
      <x:c r="C53" s="18" t="str">
        <x:v>Ancestry-complete mobile trainlet</x:v>
      </x:c>
      <x:c r="D53" s="20" t="n">
        <x:v>80</x:v>
      </x:c>
      <x:c r="E53" s="20" t="n">
        <x:v>120</x:v>
      </x:c>
      <x:c r="F53" s="20" t="n">
        <x:v>140</x:v>
      </x:c>
      <x:c r="G53" s="20" t="n">
        <x:v>70</x:v>
      </x:c>
      <x:c r="H53" s="15"/>
    </x:row>
    <x:row r="54">
      <x:c r="A54" s="15" t="str">
        <x:v>RT-B-C-TECH-2</x:v>
      </x:c>
      <x:c r="B54" s="15" t="str">
        <x:v>RT-B-C</x:v>
      </x:c>
      <x:c r="C54" s="18" t="str">
        <x:v>Pulsed process microgrid</x:v>
      </x:c>
      <x:c r="D54" s="20" t="n">
        <x:v>55</x:v>
      </x:c>
      <x:c r="E54" s="20" t="n">
        <x:v>90</x:v>
      </x:c>
      <x:c r="F54" s="20" t="n">
        <x:v>110</x:v>
      </x:c>
      <x:c r="G54" s="20" t="n">
        <x:v>50</x:v>
      </x:c>
      <x:c r="H54" s="15"/>
    </x:row>
    <x:row r="55">
      <x:c r="A55" s="15" t="str">
        <x:v>RT-B-C-TECH-3</x:v>
      </x:c>
      <x:c r="B55" s="15" t="str">
        <x:v>RT-B-C</x:v>
      </x:c>
      <x:c r="C55" s="18" t="str">
        <x:v>Self-describing machines and fixtures</x:v>
      </x:c>
      <x:c r="D55" s="20" t="n">
        <x:v>60</x:v>
      </x:c>
      <x:c r="E55" s="20" t="n">
        <x:v>100</x:v>
      </x:c>
      <x:c r="F55" s="20" t="n">
        <x:v>120</x:v>
      </x:c>
      <x:c r="G55" s="20" t="n">
        <x:v>60</x:v>
      </x:c>
      <x:c r="H55" s="15"/>
    </x:row>
    <x:row r="56">
      <x:c r="A56" s="15" t="str">
        <x:v>RT-B-C-TECH-4</x:v>
      </x:c>
      <x:c r="B56" s="15" t="str">
        <x:v>RT-B-C</x:v>
      </x:c>
      <x:c r="C56" s="18" t="str">
        <x:v>Portable primary metrology</x:v>
      </x:c>
      <x:c r="D56" s="20" t="n">
        <x:v>45</x:v>
      </x:c>
      <x:c r="E56" s="20" t="n">
        <x:v>80</x:v>
      </x:c>
      <x:c r="F56" s="20" t="n">
        <x:v>100</x:v>
      </x:c>
      <x:c r="G56" s="20" t="n">
        <x:v>50</x:v>
      </x:c>
      <x:c r="H56" s="15"/>
    </x:row>
  </x:sheetData>
  <x:pageMargins left="0.7" right="0.7" top="0.75" bottom="0.75" header="0.3" footer="0.3"/>
  <x:tableParts count="2">
    <x:tablePart xmlns:r="http://schemas.openxmlformats.org/officeDocument/2006/relationships" r:id="Re40af9bba7c1433c"/>
    <x:tablePart xmlns:r="http://schemas.openxmlformats.org/officeDocument/2006/relationships" r:id="R8d5853b281f04df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42" hidden="0" customWidth="1"/>
    <x:col min="5" max="5" width="48" hidden="0" customWidth="1"/>
    <x:col min="6" max="6" width="4" hidden="0" customWidth="1"/>
    <x:col min="7" max="7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50" t="str">
        <x:v>Disposable mutation protocol</x:v>
      </x:c>
      <x:c r="B2" s="15"/>
      <x:c r="C2" s="15"/>
      <x:c r="D2" s="15"/>
      <x:c r="E2" s="15"/>
      <x:c r="F2" s="15"/>
      <x:c r="G2" s="15"/>
    </x:row>
    <x:row r="3">
      <x:c r="A3" s="17"/>
      <x:c r="B3" s="17"/>
      <x:c r="C3" s="17"/>
      <x:c r="D3" s="17"/>
      <x:c r="E3" s="17"/>
      <x:c r="F3" s="17"/>
      <x:c r="G3" s="17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  <x:c r="G4" s="15"/>
    </x:row>
    <x:row r="5">
      <x:c r="A5" s="15"/>
      <x:c r="B5" s="15"/>
      <x:c r="C5" s="15"/>
      <x:c r="D5" s="15"/>
      <x:c r="E5" s="15"/>
      <x:c r="F5" s="15"/>
      <x:c r="G5" s="15"/>
    </x:row>
    <x:row r="6" ht="34" customHeight="1">
      <x:c r="A6" s="18" t="str">
        <x:v>Mutation</x:v>
      </x:c>
      <x:c r="B6" s="18" t="str">
        <x:v>Sheet</x:v>
      </x:c>
      <x:c r="C6" s="18" t="str">
        <x:v>Cell</x:v>
      </x:c>
      <x:c r="D6" s="18" t="str">
        <x:v>Disposable change</x:v>
      </x:c>
      <x:c r="E6" s="18" t="str">
        <x:v>Expected result</x:v>
      </x:c>
      <x:c r="F6" s="15"/>
      <x:c r="G6" s="15"/>
    </x:row>
    <x:row r="7">
      <x:c r="A7" s="15" t="str">
        <x:v>M01</x:v>
      </x:c>
      <x:c r="B7" s="15" t="str">
        <x:v>Form Baselines</x:v>
      </x:c>
      <x:c r="C7" s="15" t="str">
        <x:v>A7</x:v>
      </x:c>
      <x:c r="D7" s="15" t="str">
        <x:v>erase one baseline</x:v>
      </x:c>
      <x:c r="E7" s="15" t="str">
        <x:v>baseline-count audit fails</x:v>
      </x:c>
      <x:c r="F7" s="15"/>
      <x:c r="G7" s="15"/>
    </x:row>
    <x:row r="8">
      <x:c r="A8" s="15" t="str">
        <x:v>M02</x:v>
      </x:c>
      <x:c r="B8" s="15" t="str">
        <x:v>Account Register</x:v>
      </x:c>
      <x:c r="C8" s="15" t="str">
        <x:v>E7</x:v>
      </x:c>
      <x:c r="D8" s="15" t="str">
        <x:v>erase one uprate state</x:v>
      </x:c>
      <x:c r="E8" s="15" t="str">
        <x:v>uprate-count audit fails</x:v>
      </x:c>
      <x:c r="F8" s="15"/>
      <x:c r="G8" s="15"/>
    </x:row>
    <x:row r="9">
      <x:c r="A9" s="15" t="str">
        <x:v>M03</x:v>
      </x:c>
      <x:c r="B9" s="15" t="str">
        <x:v>Coefficient Register</x:v>
      </x:c>
      <x:c r="C9" s="15" t="str">
        <x:v>A7</x:v>
      </x:c>
      <x:c r="D9" s="15" t="str">
        <x:v>erase one coefficient record</x:v>
      </x:c>
      <x:c r="E9" s="15" t="str">
        <x:v>coefficient-count audit fails</x:v>
      </x:c>
      <x:c r="F9" s="15"/>
      <x:c r="G9" s="15"/>
    </x:row>
    <x:row r="10">
      <x:c r="A10" s="15" t="str">
        <x:v>M04</x:v>
      </x:c>
      <x:c r="B10" s="15" t="str">
        <x:v>Technology Orders</x:v>
      </x:c>
      <x:c r="C10" s="15" t="str">
        <x:v>A7</x:v>
      </x:c>
      <x:c r="D10" s="15" t="str">
        <x:v>erase one technology order</x:v>
      </x:c>
      <x:c r="E10" s="15" t="str">
        <x:v>order-count audit fails</x:v>
      </x:c>
      <x:c r="F10" s="15"/>
      <x:c r="G10" s="15"/>
    </x:row>
    <x:row r="11">
      <x:c r="A11" s="15" t="str">
        <x:v>M05</x:v>
      </x:c>
      <x:c r="B11" s="15" t="str">
        <x:v>Inputs</x:v>
      </x:c>
      <x:c r="C11" s="15" t="str">
        <x:v>B16</x:v>
      </x:c>
      <x:c r="D11" s="15" t="str">
        <x:v>change candidate tooling share</x:v>
      </x:c>
      <x:c r="E11" s="15" t="str">
        <x:v>share and cost audits fail</x:v>
      </x:c>
      <x:c r="F11" s="15"/>
      <x:c r="G11" s="15"/>
    </x:row>
    <x:row r="12">
      <x:c r="A12" s="15" t="str">
        <x:v>M06</x:v>
      </x:c>
      <x:c r="B12" s="15" t="str">
        <x:v>Inputs</x:v>
      </x:c>
      <x:c r="C12" s="15" t="str">
        <x:v>B17</x:v>
      </x:c>
      <x:c r="D12" s="15" t="str">
        <x:v>change reconstruction share</x:v>
      </x:c>
      <x:c r="E12" s="15" t="str">
        <x:v>share audit fails</x:v>
      </x:c>
      <x:c r="F12" s="15"/>
      <x:c r="G12" s="15"/>
    </x:row>
    <x:row r="13">
      <x:c r="A13" s="15" t="str">
        <x:v>M07</x:v>
      </x:c>
      <x:c r="B13" s="15" t="str">
        <x:v>Inputs</x:v>
      </x:c>
      <x:c r="C13" s="15" t="str">
        <x:v>B18</x:v>
      </x:c>
      <x:c r="D13" s="15" t="str">
        <x:v>lower candidate reservation</x:v>
      </x:c>
      <x:c r="E13" s="15" t="str">
        <x:v>jurisdiction audit fails</x:v>
      </x:c>
      <x:c r="F13" s="15"/>
      <x:c r="G13" s="15"/>
    </x:row>
    <x:row r="14">
      <x:c r="A14" s="15" t="str">
        <x:v>M08</x:v>
      </x:c>
      <x:c r="B14" s="15" t="str">
        <x:v>Inputs</x:v>
      </x:c>
      <x:c r="C14" s="15" t="str">
        <x:v>B21</x:v>
      </x:c>
      <x:c r="D14" s="15" t="str">
        <x:v>lower regeneration reservation</x:v>
      </x:c>
      <x:c r="E14" s="15" t="str">
        <x:v>jurisdiction audit fails</x:v>
      </x:c>
      <x:c r="F14" s="15"/>
      <x:c r="G14" s="15"/>
    </x:row>
    <x:row r="15">
      <x:c r="A15" s="15" t="str">
        <x:v>M09</x:v>
      </x:c>
      <x:c r="B15" s="15" t="str">
        <x:v>Form Baselines</x:v>
      </x:c>
      <x:c r="C15" s="15" t="str">
        <x:v>C7</x:v>
      </x:c>
      <x:c r="D15" s="15" t="str">
        <x:v>erase topology action</x:v>
      </x:c>
      <x:c r="E15" s="15" t="str">
        <x:v>topology audit fails</x:v>
      </x:c>
      <x:c r="F15" s="15"/>
      <x:c r="G15" s="15"/>
    </x:row>
    <x:row r="16">
      <x:c r="A16" s="15" t="str">
        <x:v>M10</x:v>
      </x:c>
      <x:c r="B16" s="15" t="str">
        <x:v>World Matrix</x:v>
      </x:c>
      <x:c r="C16" s="15" t="str">
        <x:v>G7</x:v>
      </x:c>
      <x:c r="D16" s="15" t="str">
        <x:v>grant observation</x:v>
      </x:c>
      <x:c r="E16" s="15" t="str">
        <x:v>observation audit fails</x:v>
      </x:c>
      <x:c r="F16" s="15"/>
      <x:c r="G16" s="15"/>
    </x:row>
    <x:row r="17">
      <x:c r="A17" s="15" t="str">
        <x:v>M11</x:v>
      </x:c>
      <x:c r="B17" s="15" t="str">
        <x:v>Account Register</x:v>
      </x:c>
      <x:c r="C17" s="15" t="str">
        <x:v>G7</x:v>
      </x:c>
      <x:c r="D17" s="15" t="str">
        <x:v>allow substitution</x:v>
      </x:c>
      <x:c r="E17" s="15" t="str">
        <x:v>noncompensation audit fails</x:v>
      </x:c>
      <x:c r="F17" s="15"/>
      <x:c r="G17" s="15"/>
    </x:row>
    <x:row r="18">
      <x:c r="A18" s="15" t="str">
        <x:v>M12</x:v>
      </x:c>
      <x:c r="B18" s="15" t="str">
        <x:v>Coefficient Register</x:v>
      </x:c>
      <x:c r="C18" s="15" t="str">
        <x:v>G7</x:v>
      </x:c>
      <x:c r="D18" s="15" t="str">
        <x:v>mark measured</x:v>
      </x:c>
      <x:c r="E18" s="15" t="str">
        <x:v>coefficient hold audit fails</x:v>
      </x:c>
      <x:c r="F18" s="15"/>
      <x:c r="G18" s="15"/>
    </x:row>
    <x:row r="19">
      <x:c r="A19" s="15" t="str">
        <x:v>M13</x:v>
      </x:c>
      <x:c r="B19" s="15" t="str">
        <x:v>Technology Orders</x:v>
      </x:c>
      <x:c r="C19" s="15" t="str">
        <x:v>H7</x:v>
      </x:c>
      <x:c r="D19" s="15" t="str">
        <x:v>mark built</x:v>
      </x:c>
      <x:c r="E19" s="15" t="str">
        <x:v>unbuilt-state audit fails</x:v>
      </x:c>
      <x:c r="F19" s="15"/>
      <x:c r="G19" s="15"/>
    </x:row>
    <x:row r="20">
      <x:c r="A20" s="15" t="str">
        <x:v>M14</x:v>
      </x:c>
      <x:c r="B20" s="15" t="str">
        <x:v>Article Program</x:v>
      </x:c>
      <x:c r="C20" s="15" t="str">
        <x:v>D7</x:v>
      </x:c>
      <x:c r="D20" s="15" t="str">
        <x:v>delete INT article</x:v>
      </x:c>
      <x:c r="E20" s="15" t="str">
        <x:v>article-count audit fails</x:v>
      </x:c>
      <x:c r="F20" s="15"/>
      <x:c r="G20" s="15"/>
    </x:row>
    <x:row r="21">
      <x:c r="A21" s="15" t="str">
        <x:v>M15</x:v>
      </x:c>
      <x:c r="B21" s="15" t="str">
        <x:v>Article Program</x:v>
      </x:c>
      <x:c r="C21" s="15" t="str">
        <x:v>H7</x:v>
      </x:c>
      <x:c r="D21" s="15" t="str">
        <x:v>change acceptance-bearing count</x:v>
      </x:c>
      <x:c r="E21" s="15" t="str">
        <x:v>acceptance program audit fails</x:v>
      </x:c>
      <x:c r="F21" s="15"/>
      <x:c r="G21" s="15"/>
    </x:row>
    <x:row r="22">
      <x:c r="A22" s="15" t="str">
        <x:v>M16</x:v>
      </x:c>
      <x:c r="B22" s="15" t="str">
        <x:v>Tooling Split</x:v>
      </x:c>
      <x:c r="C22" s="15" t="str">
        <x:v>G7</x:v>
      </x:c>
      <x:c r="D22" s="15" t="str">
        <x:v>erase RCN allocation</x:v>
      </x:c>
      <x:c r="E22" s="15" t="str">
        <x:v>tooling reconciliation audit fails</x:v>
      </x:c>
      <x:c r="F22" s="15"/>
      <x:c r="G22" s="15"/>
    </x:row>
    <x:row r="23">
      <x:c r="A23" s="15" t="str">
        <x:v>M17</x:v>
      </x:c>
      <x:c r="B23" s="15" t="str">
        <x:v>Cost Jurisdiction</x:v>
      </x:c>
      <x:c r="C23" s="15" t="str">
        <x:v>C7</x:v>
      </x:c>
      <x:c r="D23" s="15" t="str">
        <x:v>overwrite assigned cost</x:v>
      </x:c>
      <x:c r="E23" s="15" t="str">
        <x:v>total and jurisdiction audits fail</x:v>
      </x:c>
      <x:c r="F23" s="15"/>
      <x:c r="G23" s="15"/>
    </x:row>
    <x:row r="24">
      <x:c r="A24" s="15" t="str">
        <x:v>M18</x:v>
      </x:c>
      <x:c r="B24" s="15" t="str">
        <x:v>Rendering</x:v>
      </x:c>
      <x:c r="C24" s="15" t="str">
        <x:v>C9</x:v>
      </x:c>
      <x:c r="D24" s="15" t="str">
        <x:v>mark REP-2 issued</x:v>
      </x:c>
      <x:c r="E24" s="15" t="str">
        <x:v>REP-2 eligibility audit fails</x:v>
      </x:c>
      <x:c r="F24" s="15"/>
      <x:c r="G24" s="15"/>
    </x:row>
    <x:row r="25">
      <x:c r="A25" s="15" t="str">
        <x:v>M19</x:v>
      </x:c>
      <x:c r="B25" s="15" t="str">
        <x:v>Rendering</x:v>
      </x:c>
      <x:c r="C25" s="15" t="str">
        <x:v>C11</x:v>
      </x:c>
      <x:c r="D25" s="15" t="str">
        <x:v>grant REP-4</x:v>
      </x:c>
      <x:c r="E25" s="15" t="str">
        <x:v>REP-4 audit fails</x:v>
      </x:c>
      <x:c r="F25" s="15"/>
      <x:c r="G25" s="15"/>
    </x:row>
    <x:row r="26">
      <x:c r="A26" s="15" t="str">
        <x:v>M20</x:v>
      </x:c>
      <x:c r="B26" s="15" t="str">
        <x:v>Inputs</x:v>
      </x:c>
      <x:c r="C26" s="15" t="str">
        <x:v>B22</x:v>
      </x:c>
      <x:c r="D26" s="15" t="str">
        <x:v>grant observation</x:v>
      </x:c>
      <x:c r="E26" s="15" t="str">
        <x:v>authority audit fails</x:v>
      </x:c>
      <x:c r="F26" s="15"/>
      <x:c r="G26" s="15"/>
    </x:row>
    <x:row r="27">
      <x:c r="A27" s="15" t="str">
        <x:v>M21</x:v>
      </x:c>
      <x:c r="B27" s="15" t="str">
        <x:v>Inputs</x:v>
      </x:c>
      <x:c r="C27" s="15" t="str">
        <x:v>B23</x:v>
      </x:c>
      <x:c r="D27" s="15" t="str">
        <x:v>grant MAKE</x:v>
      </x:c>
      <x:c r="E27" s="15" t="str">
        <x:v>authority audit fails</x:v>
      </x:c>
      <x:c r="F27" s="15"/>
      <x:c r="G27" s="15"/>
    </x:row>
    <x:row r="28">
      <x:c r="A28" s="15" t="str">
        <x:v>M22</x:v>
      </x:c>
      <x:c r="B28" s="15" t="str">
        <x:v>Inputs</x:v>
      </x:c>
      <x:c r="C28" s="15" t="str">
        <x:v>B25</x:v>
      </x:c>
      <x:c r="D28" s="15" t="str">
        <x:v>grant production</x:v>
      </x:c>
      <x:c r="E28" s="15" t="str">
        <x:v>authority audit fails</x:v>
      </x:c>
      <x:c r="F28" s="15"/>
      <x:c r="G28" s="15"/>
    </x:row>
    <x:row r="29">
      <x:c r="A29" s="15" t="str">
        <x:v>M23</x:v>
      </x:c>
      <x:c r="B29" s="15" t="str">
        <x:v>Inputs</x:v>
      </x:c>
      <x:c r="C29" s="15" t="str">
        <x:v>B27</x:v>
      </x:c>
      <x:c r="D29" s="15" t="str">
        <x:v>select form</x:v>
      </x:c>
      <x:c r="E29" s="15" t="str">
        <x:v>selection audit fails</x:v>
      </x:c>
      <x:c r="F29" s="15"/>
      <x:c r="G29" s="15"/>
    </x:row>
    <x:row r="30">
      <x:c r="A30" s="15" t="str">
        <x:v>M24</x:v>
      </x:c>
      <x:c r="B30" s="15" t="str">
        <x:v>Nonconversions</x:v>
      </x:c>
      <x:c r="C30" s="15" t="str">
        <x:v>A7</x:v>
      </x:c>
      <x:c r="D30" s="15" t="str">
        <x:v>erase rule</x:v>
      </x:c>
      <x:c r="E30" s="15" t="str">
        <x:v>nonconversion count audit fails</x:v>
      </x:c>
      <x:c r="F30" s="15"/>
      <x:c r="G30" s="15"/>
    </x:row>
  </x:sheetData>
  <x:pageMargins left="0.7" right="0.7" top="0.75" bottom="0.75" header="0.3" footer="0.3"/>
  <x:tableParts count="1">
    <x:tablePart xmlns:r="http://schemas.openxmlformats.org/officeDocument/2006/relationships" r:id="Rbd4b57c3a2de4e5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22" hidden="0" customWidth="1"/>
    <x:col min="4" max="4" width="22" hidden="0" customWidth="1"/>
    <x:col min="5" max="5" width="14" hidden="0" customWidth="1"/>
    <x:col min="6" max="6" width="4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50" t="str">
        <x:v>Terminal workbook audits</x:v>
      </x:c>
      <x:c r="B2" s="15"/>
      <x:c r="C2" s="15"/>
      <x:c r="D2" s="15"/>
      <x:c r="E2" s="15"/>
      <x:c r="F2" s="15"/>
    </x:row>
    <x:row r="3">
      <x:c r="A3" s="17"/>
      <x:c r="B3" s="17"/>
      <x:c r="C3" s="17"/>
      <x:c r="D3" s="17"/>
      <x:c r="E3" s="17"/>
      <x:c r="F3" s="17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 t="str">
        <x:v>Audit</x:v>
      </x:c>
      <x:c r="B6" s="15" t="str">
        <x:v>Test</x:v>
      </x:c>
      <x:c r="C6" s="15" t="str">
        <x:v>Calculated</x:v>
      </x:c>
      <x:c r="D6" s="15" t="str">
        <x:v>Expected</x:v>
      </x:c>
      <x:c r="E6" s="15" t="str">
        <x:v>State</x:v>
      </x:c>
      <x:c r="F6" s="15"/>
    </x:row>
    <x:row r="7">
      <x:c r="A7" s="15" t="str">
        <x:v>A01</x:v>
      </x:c>
      <x:c r="B7" s="15" t="str">
        <x:v>Six configuration baselines</x:v>
      </x:c>
      <x:c r="C7" s="15" t="n">
        <x:f>COUNTA('Form Baselines'!$A$7:$A$12)</x:f>
        <x:v>6</x:v>
      </x:c>
      <x:c r="D7" s="15" t="n">
        <x:v>6</x:v>
      </x:c>
      <x:c r="E7" s="15" t="str">
        <x:f>IF(ABS(C7-D7)&lt;0.000001,"PASS","FAIL")</x:f>
        <x:v>PASS</x:v>
      </x:c>
      <x:c r="F7" s="15"/>
    </x:row>
    <x:row r="8">
      <x:c r="A8" s="15" t="str">
        <x:v>A02</x:v>
      </x:c>
      <x:c r="B8" s="15" t="str">
        <x:v>Twenty-four worlds</x:v>
      </x:c>
      <x:c r="C8" s="15" t="n">
        <x:f>COUNTA('World Matrix'!$A$7:$A$30)</x:f>
        <x:v>24</x:v>
      </x:c>
      <x:c r="D8" s="15" t="n">
        <x:v>24</x:v>
      </x:c>
      <x:c r="E8" s="15" t="str">
        <x:f>IF(ABS(C8-D8)&lt;0.000001,"PASS","FAIL")</x:f>
        <x:v>PASS</x:v>
      </x:c>
      <x:c r="F8" s="15"/>
    </x:row>
    <x:row r="9">
      <x:c r="A9" s="15" t="str">
        <x:v>A03</x:v>
      </x:c>
      <x:c r="B9" s="15" t="str">
        <x:v>Fifty-four account records</x:v>
      </x:c>
      <x:c r="C9" s="15" t="n">
        <x:f>COUNTA('Account Register'!$A$7:$A$60)</x:f>
        <x:v>54</x:v>
      </x:c>
      <x:c r="D9" s="15" t="n">
        <x:v>54</x:v>
      </x:c>
      <x:c r="E9" s="15" t="str">
        <x:f>IF(ABS(C9-D9)&lt;0.000001,"PASS","FAIL")</x:f>
        <x:v>PASS</x:v>
      </x:c>
      <x:c r="F9" s="15"/>
    </x:row>
    <x:row r="10">
      <x:c r="A10" s="15" t="str">
        <x:v>A04</x:v>
      </x:c>
      <x:c r="B10" s="15" t="str">
        <x:v>Thirty-six coefficient records</x:v>
      </x:c>
      <x:c r="C10" s="15" t="n">
        <x:f>COUNTA('Coefficient Register'!$A$7:$A$42)</x:f>
        <x:v>36</x:v>
      </x:c>
      <x:c r="D10" s="15" t="n">
        <x:v>36</x:v>
      </x:c>
      <x:c r="E10" s="15" t="str">
        <x:f>IF(ABS(C10-D10)&lt;0.000001,"PASS","FAIL")</x:f>
        <x:v>PASS</x:v>
      </x:c>
      <x:c r="F10" s="15"/>
    </x:row>
    <x:row r="11">
      <x:c r="A11" s="15" t="str">
        <x:v>A05</x:v>
      </x:c>
      <x:c r="B11" s="15" t="str">
        <x:v>Twenty-four technology orders</x:v>
      </x:c>
      <x:c r="C11" s="15" t="n">
        <x:f>COUNTA('Technology Orders'!$A$7:$A$30)</x:f>
        <x:v>24</x:v>
      </x:c>
      <x:c r="D11" s="15" t="n">
        <x:v>24</x:v>
      </x:c>
      <x:c r="E11" s="15" t="str">
        <x:f>IF(ABS(C11-D11)&lt;0.000001,"PASS","FAIL")</x:f>
        <x:v>PASS</x:v>
      </x:c>
      <x:c r="F11" s="15"/>
    </x:row>
    <x:row r="12">
      <x:c r="A12" s="15" t="str">
        <x:v>A06</x:v>
      </x:c>
      <x:c r="B12" s="15" t="str">
        <x:v>One hundred forty-four articles</x:v>
      </x:c>
      <x:c r="C12" s="15" t="n">
        <x:f>SUM('Article Program'!$G$7:$G$30)</x:f>
        <x:v>144</x:v>
      </x:c>
      <x:c r="D12" s="15" t="n">
        <x:v>144</x:v>
      </x:c>
      <x:c r="E12" s="15" t="str">
        <x:f>IF(ABS(C12-D12)&lt;0.000001,"PASS","FAIL")</x:f>
        <x:v>PASS</x:v>
      </x:c>
      <x:c r="F12" s="15"/>
    </x:row>
    <x:row r="13">
      <x:c r="A13" s="15" t="str">
        <x:v>A07</x:v>
      </x:c>
      <x:c r="B13" s="15" t="str">
        <x:v>Forty-eight INT articles</x:v>
      </x:c>
      <x:c r="C13" s="15" t="n">
        <x:f>SUM('Article Program'!$D$7:$D$30)</x:f>
        <x:v>48</x:v>
      </x:c>
      <x:c r="D13" s="15" t="n">
        <x:v>48</x:v>
      </x:c>
      <x:c r="E13" s="15" t="str">
        <x:f>IF(ABS(C13-D13)&lt;0.000001,"PASS","FAIL")</x:f>
        <x:v>PASS</x:v>
      </x:c>
      <x:c r="F13" s="15"/>
    </x:row>
    <x:row r="14">
      <x:c r="A14" s="15" t="str">
        <x:v>A08</x:v>
      </x:c>
      <x:c r="B14" s="15" t="str">
        <x:v>Forty-eight BRK articles</x:v>
      </x:c>
      <x:c r="C14" s="15" t="n">
        <x:f>SUM('Article Program'!$E$7:$E$30)</x:f>
        <x:v>48</x:v>
      </x:c>
      <x:c r="D14" s="15" t="n">
        <x:v>48</x:v>
      </x:c>
      <x:c r="E14" s="15" t="str">
        <x:f>IF(ABS(C14-D14)&lt;0.000001,"PASS","FAIL")</x:f>
        <x:v>PASS</x:v>
      </x:c>
      <x:c r="F14" s="15"/>
    </x:row>
    <x:row r="15">
      <x:c r="A15" s="15" t="str">
        <x:v>A09</x:v>
      </x:c>
      <x:c r="B15" s="15" t="str">
        <x:v>Forty-eight RCN articles</x:v>
      </x:c>
      <x:c r="C15" s="15" t="n">
        <x:f>SUM('Article Program'!$F$7:$F$30)</x:f>
        <x:v>48</x:v>
      </x:c>
      <x:c r="D15" s="15" t="n">
        <x:v>48</x:v>
      </x:c>
      <x:c r="E15" s="15" t="str">
        <x:f>IF(ABS(C15-D15)&lt;0.000001,"PASS","FAIL")</x:f>
        <x:v>PASS</x:v>
      </x:c>
      <x:c r="F15" s="15"/>
    </x:row>
    <x:row r="16">
      <x:c r="A16" s="15" t="str">
        <x:v>A10</x:v>
      </x:c>
      <x:c r="B16" s="15" t="str">
        <x:v>Ninety-six acceptance-bearing serials</x:v>
      </x:c>
      <x:c r="C16" s="15" t="n">
        <x:f>SUM('Article Program'!$H$7:$H$30)</x:f>
        <x:v>96</x:v>
      </x:c>
      <x:c r="D16" s="15" t="n">
        <x:v>96</x:v>
      </x:c>
      <x:c r="E16" s="15" t="str">
        <x:f>IF(ABS(C16-D16)&lt;0.000001,"PASS","FAIL")</x:f>
        <x:v>PASS</x:v>
      </x:c>
      <x:c r="F16" s="15"/>
    </x:row>
    <x:row r="17">
      <x:c r="A17" s="15" t="str">
        <x:v>A11</x:v>
      </x:c>
      <x:c r="B17" s="15" t="str">
        <x:v>Twenty-one uprating orders</x:v>
      </x:c>
      <x:c r="C17" s="15" t="n">
        <x:f>COUNTIFS('Account Register'!$E$7:$E$60,"UPRATE / COEFFICIENT OPEN")</x:f>
        <x:v>21</x:v>
      </x:c>
      <x:c r="D17" s="15" t="n">
        <x:v>21</x:v>
      </x:c>
      <x:c r="E17" s="15" t="str">
        <x:f>IF(ABS(C17-D17)&lt;0.000001,"PASS","FAIL")</x:f>
        <x:v>PASS</x:v>
      </x:c>
      <x:c r="F17" s="15"/>
    </x:row>
    <x:row r="18">
      <x:c r="A18" s="15" t="str">
        <x:v>A12</x:v>
      </x:c>
      <x:c r="B18" s="15" t="str">
        <x:v>Three retained numerical ratings</x:v>
      </x:c>
      <x:c r="C18" s="15" t="n">
        <x:f>COUNTIFS('Account Register'!$E$7:$E$60,"RETAIN / COEFFICIENT OPEN")</x:f>
        <x:v>3</x:v>
      </x:c>
      <x:c r="D18" s="15" t="n">
        <x:v>3</x:v>
      </x:c>
      <x:c r="E18" s="15" t="str">
        <x:f>IF(ABS(C18-D18)&lt;0.000001,"PASS","FAIL")</x:f>
        <x:v>PASS</x:v>
      </x:c>
      <x:c r="F18" s="15"/>
    </x:row>
    <x:row r="19">
      <x:c r="A19" s="15" t="str">
        <x:v>A13</x:v>
      </x:c>
      <x:c r="B19" s="15" t="str">
        <x:v>Three topology revisions</x:v>
      </x:c>
      <x:c r="C19" s="15" t="n">
        <x:f>COUNTIFS('Form Baselines'!$C$7:$C$12,"REVISE")</x:f>
        <x:v>3</x:v>
      </x:c>
      <x:c r="D19" s="15" t="n">
        <x:v>3</x:v>
      </x:c>
      <x:c r="E19" s="15" t="str">
        <x:f>IF(ABS(C19-D19)&lt;0.000001,"PASS","FAIL")</x:f>
        <x:v>PASS</x:v>
      </x:c>
      <x:c r="F19" s="15"/>
    </x:row>
    <x:row r="20">
      <x:c r="A20" s="15" t="str">
        <x:v>A14</x:v>
      </x:c>
      <x:c r="B20" s="15" t="str">
        <x:v>Three topology retentions</x:v>
      </x:c>
      <x:c r="C20" s="15" t="n">
        <x:f>COUNTIFS('Form Baselines'!$C$7:$C$12,"RETAIN")</x:f>
        <x:v>3</x:v>
      </x:c>
      <x:c r="D20" s="15" t="n">
        <x:v>3</x:v>
      </x:c>
      <x:c r="E20" s="15" t="str">
        <x:f>IF(ABS(C20-D20)&lt;0.000001,"PASS","FAIL")</x:f>
        <x:v>PASS</x:v>
      </x:c>
      <x:c r="F20" s="15"/>
    </x:row>
    <x:row r="21">
      <x:c r="A21" s="15" t="str">
        <x:v>A15</x:v>
      </x:c>
      <x:c r="B21" s="15" t="str">
        <x:v>Thirty-six coefficients open</x:v>
      </x:c>
      <x:c r="C21" s="15" t="n">
        <x:f>COUNTIFS('Coefficient Register'!$G$7:$G$42,"OPEN / UNMEASURED")</x:f>
        <x:v>36</x:v>
      </x:c>
      <x:c r="D21" s="15" t="n">
        <x:v>36</x:v>
      </x:c>
      <x:c r="E21" s="15" t="str">
        <x:f>IF(ABS(C21-D21)&lt;0.000001,"PASS","FAIL")</x:f>
        <x:v>PASS</x:v>
      </x:c>
      <x:c r="F21" s="15"/>
    </x:row>
    <x:row r="22">
      <x:c r="A22" s="15" t="str">
        <x:v>A16</x:v>
      </x:c>
      <x:c r="B22" s="15" t="str">
        <x:v>No coefficient measured</x:v>
      </x:c>
      <x:c r="C22" s="15" t="n">
        <x:f>SUM('Coefficient Register'!$F$7:$F$42)</x:f>
        <x:v>0</x:v>
      </x:c>
      <x:c r="D22" s="15" t="n">
        <x:v>0</x:v>
      </x:c>
      <x:c r="E22" s="15" t="str">
        <x:f>IF(ABS(C22-D22)&lt;0.000001,"PASS","FAIL")</x:f>
        <x:v>PASS</x:v>
      </x:c>
      <x:c r="F22" s="15"/>
    </x:row>
    <x:row r="23">
      <x:c r="A23" s="15" t="str">
        <x:v>A17</x:v>
      </x:c>
      <x:c r="B23" s="15" t="str">
        <x:v>No accepted coefficient interval</x:v>
      </x:c>
      <x:c r="C23" s="15" t="n">
        <x:f>SUM('Coefficient Register'!$I$7:$I$42)</x:f>
        <x:v>0</x:v>
      </x:c>
      <x:c r="D23" s="15" t="n">
        <x:v>0</x:v>
      </x:c>
      <x:c r="E23" s="15" t="str">
        <x:f>IF(ABS(C23-D23)&lt;0.000001,"PASS","FAIL")</x:f>
        <x:v>PASS</x:v>
      </x:c>
      <x:c r="F23" s="15"/>
    </x:row>
    <x:row r="24">
      <x:c r="A24" s="15" t="str">
        <x:v>A18</x:v>
      </x:c>
      <x:c r="B24" s="15" t="str">
        <x:v>No world observation</x:v>
      </x:c>
      <x:c r="C24" s="15" t="n">
        <x:f>SUM('World Matrix'!$G$7:$G$30)</x:f>
        <x:v>0</x:v>
      </x:c>
      <x:c r="D24" s="15" t="n">
        <x:v>0</x:v>
      </x:c>
      <x:c r="E24" s="15" t="str">
        <x:f>IF(ABS(C24-D24)&lt;0.000001,"PASS","FAIL")</x:f>
        <x:v>PASS</x:v>
      </x:c>
      <x:c r="F24" s="15"/>
    </x:row>
    <x:row r="25">
      <x:c r="A25" s="15" t="str">
        <x:v>A19</x:v>
      </x:c>
      <x:c r="B25" s="15" t="str">
        <x:v>No account observation</x:v>
      </x:c>
      <x:c r="C25" s="15" t="n">
        <x:f>SUM('Account Register'!$H$7:$H$60)</x:f>
        <x:v>0</x:v>
      </x:c>
      <x:c r="D25" s="15" t="n">
        <x:v>0</x:v>
      </x:c>
      <x:c r="E25" s="15" t="str">
        <x:f>IF(ABS(C25-D25)&lt;0.000001,"PASS","FAIL")</x:f>
        <x:v>PASS</x:v>
      </x:c>
      <x:c r="F25" s="15"/>
    </x:row>
    <x:row r="26">
      <x:c r="A26" s="15" t="str">
        <x:v>A20</x:v>
      </x:c>
      <x:c r="B26" s="15" t="str">
        <x:v>No cross-account substitution</x:v>
      </x:c>
      <x:c r="C26" s="15" t="n">
        <x:f>COUNTIFS('Account Register'!$G$7:$G$60,"NO")</x:f>
        <x:v>54</x:v>
      </x:c>
      <x:c r="D26" s="15" t="n">
        <x:v>54</x:v>
      </x:c>
      <x:c r="E26" s="15" t="str">
        <x:f>IF(ABS(C26-D26)&lt;0.000001,"PASS","FAIL")</x:f>
        <x:v>PASS</x:v>
      </x:c>
      <x:c r="F26" s="15"/>
    </x:row>
    <x:row r="27">
      <x:c r="A27" s="15" t="str">
        <x:v>A21</x:v>
      </x:c>
      <x:c r="B27" s="15" t="str">
        <x:v>Twenty-four technology orders unbuilt</x:v>
      </x:c>
      <x:c r="C27" s="15" t="n">
        <x:f>COUNTIFS('Technology Orders'!$H$7:$H$30,"ORDERED / UNBUILT")</x:f>
        <x:v>24</x:v>
      </x:c>
      <x:c r="D27" s="15" t="n">
        <x:v>24</x:v>
      </x:c>
      <x:c r="E27" s="15" t="str">
        <x:f>IF(ABS(C27-D27)&lt;0.000001,"PASS","FAIL")</x:f>
        <x:v>PASS</x:v>
      </x:c>
      <x:c r="F27" s="15"/>
    </x:row>
    <x:row r="28">
      <x:c r="A28" s="15" t="str">
        <x:v>A22</x:v>
      </x:c>
      <x:c r="B28" s="15" t="str">
        <x:v>Twenty-four article programs unbuilt</x:v>
      </x:c>
      <x:c r="C28" s="15" t="n">
        <x:f>COUNTIFS('Article Program'!$M$7:$M$30,"PROGRAMMED / UNBUILT")</x:f>
        <x:v>24</x:v>
      </x:c>
      <x:c r="D28" s="15" t="n">
        <x:v>24</x:v>
      </x:c>
      <x:c r="E28" s="15" t="str">
        <x:f>IF(ABS(C28-D28)&lt;0.000001,"PASS","FAIL")</x:f>
        <x:v>PASS</x:v>
      </x:c>
      <x:c r="F28" s="15"/>
    </x:row>
    <x:row r="29">
      <x:c r="A29" s="15" t="str">
        <x:v>A23</x:v>
      </x:c>
      <x:c r="B29" s="15" t="str">
        <x:v>Tooling shares sum to one</x:v>
      </x:c>
      <x:c r="C29" s="15" t="n">
        <x:f>IF(ABS(Inputs!$B$16+Inputs!$B$17-1)&lt;0.000001,1,0)</x:f>
        <x:v>1</x:v>
      </x:c>
      <x:c r="D29" s="15" t="n">
        <x:v>1</x:v>
      </x:c>
      <x:c r="E29" s="15" t="str">
        <x:f>IF(ABS(C29-D29)&lt;0.000001,"PASS","FAIL")</x:f>
        <x:v>PASS</x:v>
      </x:c>
      <x:c r="F29" s="15"/>
    </x:row>
    <x:row r="30">
      <x:c r="A30" s="15" t="str">
        <x:v>A24</x:v>
      </x:c>
      <x:c r="B30" s="15" t="str">
        <x:v>Tooling split reconciles</x:v>
      </x:c>
      <x:c r="C30" s="15" t="n">
        <x:f>ROUND(SUM('Tooling Split'!$E$7:$E$30)+SUM('Tooling Split'!$G$7:$G$30)-SUM('Tooling Split'!$C$7:$C$30),6)</x:f>
        <x:v>0</x:v>
      </x:c>
      <x:c r="D30" s="15" t="n">
        <x:v>0</x:v>
      </x:c>
      <x:c r="E30" s="15" t="str">
        <x:f>IF(ABS(C30-D30)&lt;0.000001,"PASS","FAIL")</x:f>
        <x:v>PASS</x:v>
      </x:c>
      <x:c r="F30" s="15"/>
    </x:row>
    <x:row r="31">
      <x:c r="A31" s="15" t="str">
        <x:v>A25</x:v>
      </x:c>
      <x:c r="B31" s="15" t="str">
        <x:v>Article spend USD13.95B</x:v>
      </x:c>
      <x:c r="C31" s="15" t="n">
        <x:f>SUM('Article Program'!$I$7:$I$30)</x:f>
        <x:v>13950</x:v>
      </x:c>
      <x:c r="D31" s="15" t="n">
        <x:v>13950</x:v>
      </x:c>
      <x:c r="E31" s="15" t="str">
        <x:f>IF(ABS(C31-D31)&lt;0.000001,"PASS","FAIL")</x:f>
        <x:v>PASS</x:v>
      </x:c>
      <x:c r="F31" s="15"/>
    </x:row>
    <x:row r="32">
      <x:c r="A32" s="15" t="str">
        <x:v>A26</x:v>
      </x:c>
      <x:c r="B32" s="15" t="str">
        <x:v>Tooling spend USD3.64B</x:v>
      </x:c>
      <x:c r="C32" s="15" t="n">
        <x:f>SUM('Article Program'!$J$7:$J$30)</x:f>
        <x:v>3640</x:v>
      </x:c>
      <x:c r="D32" s="15" t="n">
        <x:v>3640</x:v>
      </x:c>
      <x:c r="E32" s="15" t="str">
        <x:f>IF(ABS(C32-D32)&lt;0.000001,"PASS","FAIL")</x:f>
        <x:v>PASS</x:v>
      </x:c>
      <x:c r="F32" s="15"/>
    </x:row>
    <x:row r="33">
      <x:c r="A33" s="15" t="str">
        <x:v>A27</x:v>
      </x:c>
      <x:c r="B33" s="15" t="str">
        <x:v>Fixture spend USD5.30B</x:v>
      </x:c>
      <x:c r="C33" s="15" t="n">
        <x:f>SUM('Article Program'!$K$7:$K$30)</x:f>
        <x:v>5300</x:v>
      </x:c>
      <x:c r="D33" s="15" t="n">
        <x:v>5300</x:v>
      </x:c>
      <x:c r="E33" s="15" t="str">
        <x:f>IF(ABS(C33-D33)&lt;0.000001,"PASS","FAIL")</x:f>
        <x:v>PASS</x:v>
      </x:c>
      <x:c r="F33" s="15"/>
    </x:row>
    <x:row r="34">
      <x:c r="A34" s="15" t="str">
        <x:v>A28</x:v>
      </x:c>
      <x:c r="B34" s="15" t="str">
        <x:v>Operations and evidence USD2.15B</x:v>
      </x:c>
      <x:c r="C34" s="15" t="n">
        <x:f>SUM('Article Program'!$L$7:$L$30)</x:f>
        <x:v>2150</x:v>
      </x:c>
      <x:c r="D34" s="15" t="n">
        <x:v>2150</x:v>
      </x:c>
      <x:c r="E34" s="15" t="str">
        <x:f>IF(ABS(C34-D34)&lt;0.000001,"PASS","FAIL")</x:f>
        <x:v>PASS</x:v>
      </x:c>
      <x:c r="F34" s="15"/>
    </x:row>
    <x:row r="35">
      <x:c r="A35" s="15" t="str">
        <x:v>A29</x:v>
      </x:c>
      <x:c r="B35" s="15" t="str">
        <x:v>Base exposure USD25.04B</x:v>
      </x:c>
      <x:c r="C35" s="15" t="n">
        <x:f>SUM('Cost Jurisdiction'!$C$7:$C$10)</x:f>
        <x:v>25040</x:v>
      </x:c>
      <x:c r="D35" s="15" t="n">
        <x:v>25040</x:v>
      </x:c>
      <x:c r="E35" s="15" t="str">
        <x:f>IF(ABS(C35-D35)&lt;0.000001,"PASS","FAIL")</x:f>
        <x:v>PASS</x:v>
      </x:c>
      <x:c r="F35" s="15"/>
    </x:row>
    <x:row r="36">
      <x:c r="A36" s="15" t="str">
        <x:v>A30</x:v>
      </x:c>
      <x:c r="B36" s="15" t="str">
        <x:v>Former mismatch USD390M</x:v>
      </x:c>
      <x:c r="C36" s="15" t="n">
        <x:f>'Cost Jurisdiction'!$B$17</x:f>
        <x:v>390</x:v>
      </x:c>
      <x:c r="D36" s="15" t="n">
        <x:v>390</x:v>
      </x:c>
      <x:c r="E36" s="15" t="str">
        <x:f>IF(ABS(C36-D36)&lt;0.000001,"PASS","FAIL")</x:f>
        <x:v>PASS</x:v>
      </x:c>
      <x:c r="F36" s="15"/>
    </x:row>
    <x:row r="37">
      <x:c r="A37" s="15" t="str">
        <x:v>A31</x:v>
      </x:c>
      <x:c r="B37" s="15" t="str">
        <x:v>Functional tooling correction USD1213.333M</x:v>
      </x:c>
      <x:c r="C37" s="15" t="n">
        <x:f>ROUND('Cost Jurisdiction'!$B$18,6)</x:f>
        <x:v>1213.333333</x:v>
      </x:c>
      <x:c r="D37" s="15" t="n">
        <x:v>1213.333333</x:v>
      </x:c>
      <x:c r="E37" s="15" t="str">
        <x:f>IF(ABS(C37-D37)&lt;0.000001,"PASS","FAIL")</x:f>
        <x:v>PASS</x:v>
      </x:c>
      <x:c r="F37" s="15"/>
    </x:row>
    <x:row r="38">
      <x:c r="A38" s="15" t="str">
        <x:v>A32</x:v>
      </x:c>
      <x:c r="B38" s="15" t="str">
        <x:v>Corrected candidate exposure USD16376.667M</x:v>
      </x:c>
      <x:c r="C38" s="15" t="n">
        <x:f>ROUND('Cost Jurisdiction'!$B$19,6)</x:f>
        <x:v>16376.666667</x:v>
      </x:c>
      <x:c r="D38" s="15" t="n">
        <x:v>16376.666667</x:v>
      </x:c>
      <x:c r="E38" s="15" t="str">
        <x:f>IF(ABS(C38-D38)&lt;0.000001,"PASS","FAIL")</x:f>
        <x:v>PASS</x:v>
      </x:c>
      <x:c r="F38" s="15"/>
    </x:row>
    <x:row r="39">
      <x:c r="A39" s="15" t="str">
        <x:v>A33</x:v>
      </x:c>
      <x:c r="B39" s="15" t="str">
        <x:v>Corrected candidate headroom USD823.333M</x:v>
      </x:c>
      <x:c r="C39" s="15" t="n">
        <x:f>ROUND('Cost Jurisdiction'!$B$20,6)</x:f>
        <x:v>823.333333</x:v>
      </x:c>
      <x:c r="D39" s="15" t="n">
        <x:v>823.333333</x:v>
      </x:c>
      <x:c r="E39" s="15" t="str">
        <x:f>IF(ABS(C39-D39)&lt;0.000001,"PASS","FAIL")</x:f>
        <x:v>PASS</x:v>
      </x:c>
      <x:c r="F39" s="15"/>
    </x:row>
    <x:row r="40">
      <x:c r="A40" s="15" t="str">
        <x:v>A34</x:v>
      </x:c>
      <x:c r="B40" s="15" t="str">
        <x:v>Four jurisdictions within reservation</x:v>
      </x:c>
      <x:c r="C40" s="15" t="n">
        <x:f>COUNTIFS('Cost Jurisdiction'!$E$7:$E$10,"WITHIN JURISDICTION")</x:f>
        <x:v>4</x:v>
      </x:c>
      <x:c r="D40" s="15" t="n">
        <x:v>4</x:v>
      </x:c>
      <x:c r="E40" s="15" t="str">
        <x:f>IF(ABS(C40-D40)&lt;0.000001,"PASS","FAIL")</x:f>
        <x:v>PASS</x:v>
      </x:c>
      <x:c r="F40" s="15"/>
    </x:row>
    <x:row r="41">
      <x:c r="A41" s="15" t="str">
        <x:v>A35</x:v>
      </x:c>
      <x:c r="B41" s="15" t="str">
        <x:v>Total reservation USD43.0B</x:v>
      </x:c>
      <x:c r="C41" s="15" t="n">
        <x:f>SUM('Cost Jurisdiction'!$B$7:$B$10)</x:f>
        <x:v>43000</x:v>
      </x:c>
      <x:c r="D41" s="15" t="n">
        <x:v>43000</x:v>
      </x:c>
      <x:c r="E41" s="15" t="str">
        <x:f>IF(ABS(C41-D41)&lt;0.000001,"PASS","FAIL")</x:f>
        <x:v>PASS</x:v>
      </x:c>
      <x:c r="F41" s="15"/>
    </x:row>
    <x:row r="42">
      <x:c r="A42" s="15" t="str">
        <x:v>A36</x:v>
      </x:c>
      <x:c r="B42" s="15" t="str">
        <x:v>Total headroom USD17.96B</x:v>
      </x:c>
      <x:c r="C42" s="15" t="n">
        <x:f>SUM('Cost Jurisdiction'!$D$7:$D$10)</x:f>
        <x:v>17960</x:v>
      </x:c>
      <x:c r="D42" s="15" t="n">
        <x:v>17960</x:v>
      </x:c>
      <x:c r="E42" s="15" t="str">
        <x:f>IF(ABS(C42-D42)&lt;0.000001,"PASS","FAIL")</x:f>
        <x:v>PASS</x:v>
      </x:c>
      <x:c r="F42" s="15"/>
    </x:row>
    <x:row r="43">
      <x:c r="A43" s="15" t="str">
        <x:v>A37</x:v>
      </x:c>
      <x:c r="B43" s="15" t="str">
        <x:v>Eight representation classes</x:v>
      </x:c>
      <x:c r="C43" s="15" t="n">
        <x:f>COUNTA(Rendering!$A$7:$A$14)</x:f>
        <x:v>8</x:v>
      </x:c>
      <x:c r="D43" s="15" t="n">
        <x:v>8</x:v>
      </x:c>
      <x:c r="E43" s="15" t="str">
        <x:f>IF(ABS(C43-D43)&lt;0.000001,"PASS","FAIL")</x:f>
        <x:v>PASS</x:v>
      </x:c>
      <x:c r="F43" s="15"/>
    </x:row>
    <x:row r="44">
      <x:c r="A44" s="15" t="str">
        <x:v>A38</x:v>
      </x:c>
      <x:c r="B44" s="15" t="str">
        <x:v>REP-2 eligible and unissued</x:v>
      </x:c>
      <x:c r="C44" s="15" t="n">
        <x:f>COUNTIFS(Rendering!$A$7:$A$14,"REP-2",Rendering!$C$7:$C$14,"ELIGIBLE / UNISSUED")</x:f>
        <x:v>1</x:v>
      </x:c>
      <x:c r="D44" s="15" t="n">
        <x:v>1</x:v>
      </x:c>
      <x:c r="E44" s="15" t="str">
        <x:f>IF(ABS(C44-D44)&lt;0.000001,"PASS","FAIL")</x:f>
        <x:v>PASS</x:v>
      </x:c>
      <x:c r="F44" s="15"/>
    </x:row>
    <x:row r="45">
      <x:c r="A45" s="15" t="str">
        <x:v>A39</x:v>
      </x:c>
      <x:c r="B45" s="15" t="str">
        <x:v>REP-4 held</x:v>
      </x:c>
      <x:c r="C45" s="15" t="n">
        <x:f>COUNTIFS(Rendering!$A$7:$A$14,"REP-4",Rendering!$C$7:$C$14,"HOLD")</x:f>
        <x:v>1</x:v>
      </x:c>
      <x:c r="D45" s="15" t="n">
        <x:v>1</x:v>
      </x:c>
      <x:c r="E45" s="15" t="str">
        <x:f>IF(ABS(C45-D45)&lt;0.000001,"PASS","FAIL")</x:f>
        <x:v>PASS</x:v>
      </x:c>
      <x:c r="F45" s="15"/>
    </x:row>
    <x:row r="46">
      <x:c r="A46" s="15" t="str">
        <x:v>A40</x:v>
      </x:c>
      <x:c r="B46" s="15" t="str">
        <x:v>No rendering issue</x:v>
      </x:c>
      <x:c r="C46" s="15" t="n">
        <x:f>Inputs!$B$26</x:f>
        <x:v>0</x:v>
      </x:c>
      <x:c r="D46" s="15" t="n">
        <x:v>0</x:v>
      </x:c>
      <x:c r="E46" s="15" t="str">
        <x:f>IF(ABS(C46-D46)&lt;0.000001,"PASS","FAIL")</x:f>
        <x:v>PASS</x:v>
      </x:c>
      <x:c r="F46" s="15"/>
    </x:row>
    <x:row r="47">
      <x:c r="A47" s="15" t="str">
        <x:v>A41</x:v>
      </x:c>
      <x:c r="B47" s="15" t="str">
        <x:v>No accepted observation</x:v>
      </x:c>
      <x:c r="C47" s="15" t="n">
        <x:f>Inputs!$B$22</x:f>
        <x:v>0</x:v>
      </x:c>
      <x:c r="D47" s="15" t="n">
        <x:v>0</x:v>
      </x:c>
      <x:c r="E47" s="15" t="str">
        <x:f>IF(ABS(C47-D47)&lt;0.000001,"PASS","FAIL")</x:f>
        <x:v>PASS</x:v>
      </x:c>
      <x:c r="F47" s="15"/>
    </x:row>
    <x:row r="48">
      <x:c r="A48" s="15" t="str">
        <x:v>A42</x:v>
      </x:c>
      <x:c r="B48" s="15" t="str">
        <x:v>No MAKE authority</x:v>
      </x:c>
      <x:c r="C48" s="15" t="n">
        <x:f>Inputs!$B$23</x:f>
        <x:v>0</x:v>
      </x:c>
      <x:c r="D48" s="15" t="n">
        <x:v>0</x:v>
      </x:c>
      <x:c r="E48" s="15" t="str">
        <x:f>IF(ABS(C48-D48)&lt;0.000001,"PASS","FAIL")</x:f>
        <x:v>PASS</x:v>
      </x:c>
      <x:c r="F48" s="15"/>
    </x:row>
    <x:row r="49">
      <x:c r="A49" s="15" t="str">
        <x:v>A43</x:v>
      </x:c>
      <x:c r="B49" s="15" t="str">
        <x:v>No REP-4 authority</x:v>
      </x:c>
      <x:c r="C49" s="15" t="n">
        <x:f>Inputs!$B$24</x:f>
        <x:v>0</x:v>
      </x:c>
      <x:c r="D49" s="15" t="n">
        <x:v>0</x:v>
      </x:c>
      <x:c r="E49" s="15" t="str">
        <x:f>IF(ABS(C49-D49)&lt;0.000001,"PASS","FAIL")</x:f>
        <x:v>PASS</x:v>
      </x:c>
      <x:c r="F49" s="15"/>
    </x:row>
    <x:row r="50">
      <x:c r="A50" s="15" t="str">
        <x:v>A44</x:v>
      </x:c>
      <x:c r="B50" s="15" t="str">
        <x:v>No production authority</x:v>
      </x:c>
      <x:c r="C50" s="15" t="n">
        <x:f>Inputs!$B$25</x:f>
        <x:v>0</x:v>
      </x:c>
      <x:c r="D50" s="15" t="n">
        <x:v>0</x:v>
      </x:c>
      <x:c r="E50" s="15" t="str">
        <x:f>IF(ABS(C50-D50)&lt;0.000001,"PASS","FAIL")</x:f>
        <x:v>PASS</x:v>
      </x:c>
      <x:c r="F50" s="15"/>
    </x:row>
    <x:row r="51">
      <x:c r="A51" s="15" t="str">
        <x:v>A45</x:v>
      </x:c>
      <x:c r="B51" s="15" t="str">
        <x:v>No selected form</x:v>
      </x:c>
      <x:c r="C51" s="15" t="n">
        <x:f>Inputs!$B$27</x:f>
        <x:v>0</x:v>
      </x:c>
      <x:c r="D51" s="15" t="n">
        <x:v>0</x:v>
      </x:c>
      <x:c r="E51" s="15" t="str">
        <x:f>IF(ABS(C51-D51)&lt;0.000001,"PASS","FAIL")</x:f>
        <x:v>PASS</x:v>
      </x:c>
      <x:c r="F51" s="15"/>
    </x:row>
    <x:row r="52">
      <x:c r="A52" s="15" t="str">
        <x:v>A46</x:v>
      </x:c>
      <x:c r="B52" s="15" t="str">
        <x:v>Twenty-four nonconversions</x:v>
      </x:c>
      <x:c r="C52" s="15" t="n">
        <x:f>COUNTA(Nonconversions!$A$7:$A$30)</x:f>
        <x:v>24</x:v>
      </x:c>
      <x:c r="D52" s="15" t="n">
        <x:v>24</x:v>
      </x:c>
      <x:c r="E52" s="15" t="str">
        <x:f>IF(ABS(C52-D52)&lt;0.000001,"PASS","FAIL")</x:f>
        <x:v>PASS</x:v>
      </x:c>
      <x:c r="F52" s="15"/>
    </x:row>
    <x:row r="53">
      <x:c r="A53" s="15" t="str">
        <x:v>A47</x:v>
      </x:c>
      <x:c r="B53" s="15" t="str">
        <x:v>Four reconciled decisions</x:v>
      </x:c>
      <x:c r="C53" s="15" t="n">
        <x:f>COUNTA(Reconciliation!$B$7:$B$10)</x:f>
        <x:v>4</x:v>
      </x:c>
      <x:c r="D53" s="15" t="n">
        <x:v>4</x:v>
      </x:c>
      <x:c r="E53" s="15" t="str">
        <x:f>IF(ABS(C53-D53)&lt;0.000001,"PASS","FAIL")</x:f>
        <x:v>PASS</x:v>
      </x:c>
      <x:c r="F53" s="15"/>
    </x:row>
    <x:row r="54">
      <x:c r="A54" s="15" t="str">
        <x:v>A48</x:v>
      </x:c>
      <x:c r="B54" s="15" t="str">
        <x:v>Twelve return records</x:v>
      </x:c>
      <x:c r="C54" s="15" t="n">
        <x:f>COUNTA('Return Record'!$A$7:$A$18)</x:f>
        <x:v>12</x:v>
      </x:c>
      <x:c r="D54" s="15" t="n">
        <x:v>12</x:v>
      </x:c>
      <x:c r="E54" s="15" t="str">
        <x:f>IF(ABS(C54-D54)&lt;0.000001,"PASS","FAIL")</x:f>
        <x:v>PASS</x:v>
      </x:c>
      <x:c r="F54" s="15"/>
    </x:row>
    <x:row r="55">
      <x:c r="A55" s="15" t="str">
        <x:v>A49</x:v>
      </x:c>
      <x:c r="B55" s="15" t="str">
        <x:v>Return records pass</x:v>
      </x:c>
      <x:c r="C55" s="15" t="n">
        <x:f>COUNTIFS('Return Record'!$E$7:$E$18,"PASS")</x:f>
        <x:v>12</x:v>
      </x:c>
      <x:c r="D55" s="15" t="n">
        <x:v>12</x:v>
      </x:c>
      <x:c r="E55" s="15" t="str">
        <x:f>IF(ABS(C55-D55)&lt;0.000001,"PASS","FAIL")</x:f>
        <x:v>PASS</x:v>
      </x:c>
      <x:c r="F55" s="15"/>
    </x:row>
    <x:row r="56">
      <x:c r="A56" s="15" t="str">
        <x:v>A50</x:v>
      </x:c>
      <x:c r="B56" s="15" t="str">
        <x:v>No downstream authority sum</x:v>
      </x:c>
      <x:c r="C56" s="15" t="n">
        <x:f>SUM(Inputs!$B$22:$B$25)+Inputs!$B$27</x:f>
        <x:v>0</x:v>
      </x:c>
      <x:c r="D56" s="15" t="n">
        <x:v>0</x:v>
      </x:c>
      <x:c r="E56" s="15" t="str">
        <x:f>IF(ABS(C56-D56)&lt;0.000001,"PASS","FAIL")</x:f>
        <x:v>PASS</x:v>
      </x:c>
      <x:c r="F56" s="15"/>
    </x:row>
  </x:sheetData>
  <x:conditionalFormatting sqref="E7:E56">
    <x:cfRule type="containsText" dxfId="24" priority="1" operator="containsText" text="HOLD"/>
    <x:cfRule type="containsText" dxfId="25" priority="2" operator="containsText" text="FAIL"/>
    <x:cfRule type="containsText" dxfId="26" priority="3" operator="containsText" text="UNOBSERVED"/>
  </x:conditionalFormatting>
  <x:pageMargins left="0.7" right="0.7" top="0.75" bottom="0.75" header="0.3" footer="0.3"/>
  <x:tableParts count="1">
    <x:tablePart xmlns:r="http://schemas.openxmlformats.org/officeDocument/2006/relationships" r:id="Rea34d16434b0474e"/>
  </x:tableParts>
</x:worksheet>
</file>

<file path=xl/worksheets/sheet1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50" t="str">
        <x:v>Method, interpretation and limits</x:v>
      </x:c>
      <x:c r="B2" s="15"/>
      <x:c r="C2" s="15"/>
      <x:c r="D2" s="15"/>
      <x:c r="E2" s="15"/>
      <x:c r="F2" s="15"/>
    </x:row>
    <x:row r="3">
      <x:c r="A3" s="17"/>
      <x:c r="B3" s="17"/>
      <x:c r="C3" s="17"/>
      <x:c r="D3" s="17"/>
      <x:c r="E3" s="17"/>
      <x:c r="F3" s="17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5"/>
      <x:c r="B4" s="15"/>
      <x:c r="C4" s="15"/>
      <x:c r="D4" s="15"/>
      <x:c r="E4" s="15"/>
      <x:c r="F4" s="15"/>
    </x:row>
    <x:row r="5">
      <x:c r="A5" s="18" t="str">
        <x:v>Question</x:v>
      </x:c>
      <x:c r="B5" s="18" t="str">
        <x:v>Can EDB-1, NIS-1, PIL-1 and AIP-1 be reconciled, can the USD390M jurisdictional mismatch close without cross-account compensation, and what rendering is now eligible?</x:v>
      </x:c>
      <x:c r="C5" s="15"/>
      <x:c r="D5" s="15"/>
      <x:c r="E5" s="15"/>
      <x:c r="F5" s="15"/>
    </x:row>
    <x:row r="6">
      <x:c r="A6" s="18" t="str">
        <x:v>Decision</x:v>
      </x:c>
      <x:c r="B6" s="18" t="str">
        <x:v>EDB-TC returns six BUILD-TO-TEST / UNMEASURED baselines to FR-03.</x:v>
      </x:c>
      <x:c r="C6" s="15"/>
      <x:c r="D6" s="15"/>
      <x:c r="E6" s="15"/>
      <x:c r="F6" s="15"/>
    </x:row>
    <x:row r="7">
      <x:c r="A7" s="18" t="str">
        <x:v>Precedence</x:v>
      </x:c>
      <x:c r="B7" s="18" t="str">
        <x:v>Identity precedes bounded arithmetic; physical topology overrides a shared keystone; experimental separation controls claims.</x:v>
      </x:c>
      <x:c r="C7" s="15"/>
      <x:c r="D7" s="15"/>
      <x:c r="E7" s="15"/>
      <x:c r="F7" s="15"/>
    </x:row>
    <x:row r="8">
      <x:c r="A8" s="18" t="str">
        <x:v>Cost correction</x:v>
      </x:c>
      <x:c r="B8" s="18" t="str">
        <x:v>One-third of each tooling cost follows the RCN serial-equivalent burden into replacement and regeneration. This is functional classification, not a transfer.</x:v>
      </x:c>
      <x:c r="C8" s="15"/>
      <x:c r="D8" s="15"/>
      <x:c r="E8" s="15"/>
      <x:c r="F8" s="15"/>
    </x:row>
    <x:row r="9">
      <x:c r="A9" s="18" t="str">
        <x:v>Candidate account</x:v>
      </x:c>
      <x:c r="B9" s="18" t="str">
        <x:v>All candidate articles plus two-thirds of tooling equal USD16.4B against USD17.2B.</x:v>
      </x:c>
      <x:c r="C9" s="15"/>
      <x:c r="D9" s="15"/>
      <x:c r="E9" s="15"/>
      <x:c r="F9" s="15"/>
    </x:row>
    <x:row r="10">
      <x:c r="A10" s="18" t="str">
        <x:v>Other accounts</x:v>
      </x:c>
      <x:c r="B10" s="18" t="str">
        <x:v>Fixtures use proving-station jurisdiction; operations and evidence use metrology/custody; RCN tooling uses regeneration.</x:v>
      </x:c>
      <x:c r="C10" s="15"/>
      <x:c r="D10" s="15"/>
      <x:c r="E10" s="15"/>
      <x:c r="F10" s="15"/>
    </x:row>
    <x:row r="11">
      <x:c r="A11" s="18" t="str">
        <x:v>Sensitivity</x:v>
      </x:c>
      <x:c r="B11" s="18" t="str">
        <x:v>If real tooling burdens are not equal across INT, BRK and RCN roles, the allocation holds and must be reissued from measured burden data.</x:v>
      </x:c>
      <x:c r="C11" s="15"/>
      <x:c r="D11" s="15"/>
      <x:c r="E11" s="15"/>
      <x:c r="F11" s="15"/>
    </x:row>
    <x:row r="12">
      <x:c r="A12" s="18" t="str">
        <x:v>Rendering</x:v>
      </x:c>
      <x:c r="B12" s="18" t="str">
        <x:v>REP-2 article, fixture and integration-section plates are eligible but unissued. REP-3 retains the three-hypothesis law. REP-4 through REP-7 remain held.</x:v>
      </x:c>
      <x:c r="C12" s="15"/>
      <x:c r="D12" s="15"/>
      <x:c r="E12" s="15"/>
      <x:c r="F12" s="15"/>
    </x:row>
    <x:row r="13">
      <x:c r="A13" s="18" t="str">
        <x:v>Evidence</x:v>
      </x:c>
      <x:c r="B13" s="18" t="str">
        <x:v>All thirty-six coefficients are unmeasured. No world, account, event or serial has an accepted observation.</x:v>
      </x:c>
      <x:c r="C13" s="15"/>
      <x:c r="D13" s="15"/>
      <x:c r="E13" s="15"/>
      <x:c r="F13" s="15"/>
    </x:row>
    <x:row r="14">
      <x:c r="A14" s="18" t="str">
        <x:v>Authority</x:v>
      </x:c>
      <x:c r="B14" s="18" t="str">
        <x:v>Cost and design closure create no obligation, MAKE, REP-4, production, selection or readiness authority.</x:v>
      </x:c>
      <x:c r="C14" s="15"/>
      <x:c r="D14" s="15"/>
      <x:c r="E14" s="15"/>
      <x:c r="F14" s="15"/>
    </x:row>
    <x:row r="15">
      <x:c r="A15" s="18" t="str">
        <x:v>Source 1</x:v>
      </x:c>
      <x:c r="B15" s="18" t="str">
        <x:v>Pass 236 EDB-1 configuration constitution.</x:v>
      </x:c>
      <x:c r="C15" s="15"/>
      <x:c r="D15" s="15"/>
      <x:c r="E15" s="15"/>
      <x:c r="F15" s="15"/>
    </x:row>
    <x:row r="16">
      <x:c r="A16" s="18" t="str">
        <x:v>Source 2</x:v>
      </x:c>
      <x:c r="B16" s="18" t="str">
        <x:v>Pass 237 NIS-1 interval solvency and uprating orders.</x:v>
      </x:c>
      <x:c r="C16" s="15"/>
      <x:c r="D16" s="15"/>
      <x:c r="E16" s="15"/>
      <x:c r="F16" s="15"/>
    </x:row>
    <x:row r="17">
      <x:c r="A17" s="18" t="str">
        <x:v>Source 3</x:v>
      </x:c>
      <x:c r="B17" s="18" t="str">
        <x:v>Pass 238 PIL-1 physical independence lattice.</x:v>
      </x:c>
      <x:c r="C17" s="15"/>
      <x:c r="D17" s="15"/>
      <x:c r="E17" s="15"/>
      <x:c r="F17" s="15"/>
    </x:row>
    <x:row r="18">
      <x:c r="A18" s="18" t="str">
        <x:v>Source 4</x:v>
      </x:c>
      <x:c r="B18" s="18" t="str">
        <x:v>Pass 239 AIP-1 article industrialization and cost exposure.</x:v>
      </x:c>
      <x:c r="C18" s="15"/>
      <x:c r="D18" s="15"/>
      <x:c r="E18" s="15"/>
      <x:c r="F18" s="15"/>
    </x:row>
    <x:row r="19">
      <x:c r="A19" s="18" t="str">
        <x:v>Source 5</x:v>
      </x:c>
      <x:c r="B19" s="18" t="str">
        <x:v>Pass 184 Resilience Proving Service jurisdictional reservations.</x:v>
      </x:c>
      <x:c r="C19" s="15"/>
      <x:c r="D19" s="15"/>
      <x:c r="E19" s="15"/>
      <x:c r="F19" s="15"/>
    </x:row>
    <x:row r="20">
      <x:c r="A20" s="18" t="str">
        <x:v>Source 6</x:v>
      </x:c>
      <x:c r="B20" s="18" t="str">
        <x:v>Pass 220 representation ladder and three-hypothesis law.</x:v>
      </x:c>
      <x:c r="C20" s="15"/>
      <x:c r="D20" s="15"/>
      <x:c r="E20" s="15"/>
      <x:c r="F20" s="15"/>
    </x:row>
    <x:row r="21">
      <x:c r="A21" s="18" t="str">
        <x:v>Recalculation</x:v>
      </x:c>
      <x:c r="B21" s="18" t="str">
        <x:v>Audit is terminal and feeds no baseline, account, cost, rendering or return result.</x:v>
      </x:c>
      <x:c r="C21" s="15"/>
      <x:c r="D21" s="15"/>
      <x:c r="E21" s="15"/>
      <x:c r="F21" s="15"/>
    </x:row>
    <x:row r="22">
      <x:c r="A22" s="18" t="str">
        <x:v>Range</x:v>
      </x:c>
      <x:c r="B22" s="18" t="str">
        <x:v>USD values are planning exposure, not obligations, appropriations, probabilities or confidence intervals.</x:v>
      </x:c>
      <x:c r="C22" s="15"/>
      <x:c r="D22" s="15"/>
      <x:c r="E22" s="15"/>
      <x:c r="F22" s="15"/>
    </x:row>
    <x:row r="23">
      <x:c r="A23" s="18" t="str">
        <x:v>Return</x:v>
      </x:c>
      <x:c r="B23" s="18" t="str">
        <x:v>EDB consumes its fifth pass, closes its only item, opens none and returns to FR-03.</x:v>
      </x:c>
      <x:c r="C23" s="15"/>
      <x:c r="D23" s="15"/>
      <x:c r="E23" s="15"/>
      <x:c r="F23" s="15"/>
    </x:row>
  </x:sheetData>
  <x:pageMargins left="0.7" right="0.7" top="0.75" bottom="0.75" header="0.3" footer="0.3"/>
</x:worksheet>
</file>