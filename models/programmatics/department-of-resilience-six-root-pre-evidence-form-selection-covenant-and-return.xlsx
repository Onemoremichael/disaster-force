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a7323c47141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3a87b6bc3948b1"/>
    <x:sheet xmlns:r="http://schemas.openxmlformats.org/officeDocument/2006/relationships" name="Controls" sheetId="2" r:id="R3510c1de880f40ea"/>
    <x:sheet xmlns:r="http://schemas.openxmlformats.org/officeDocument/2006/relationships" name="Form Covenant" sheetId="3" r:id="R7bda5143e4ff4c88"/>
    <x:sheet xmlns:r="http://schemas.openxmlformats.org/officeDocument/2006/relationships" name="Evidence Domains" sheetId="4" r:id="R6955ed3877134b59"/>
    <x:sheet xmlns:r="http://schemas.openxmlformats.org/officeDocument/2006/relationships" name="Event Packets" sheetId="5" r:id="Rf10ac80ea7be4cbf"/>
    <x:sheet xmlns:r="http://schemas.openxmlformats.org/officeDocument/2006/relationships" name="Campaign Stress" sheetId="6" r:id="R63272d4b5dd24685"/>
    <x:sheet xmlns:r="http://schemas.openxmlformats.org/officeDocument/2006/relationships" name="Root Tournament" sheetId="7" r:id="Re5edbdb551d548a3"/>
    <x:sheet xmlns:r="http://schemas.openxmlformats.org/officeDocument/2006/relationships" name="State Machine" sheetId="8" r:id="R37cc72a3a7184b5b"/>
    <x:sheet xmlns:r="http://schemas.openxmlformats.org/officeDocument/2006/relationships" name="Finance" sheetId="9" r:id="R3d76ed55d5914187"/>
    <x:sheet xmlns:r="http://schemas.openxmlformats.org/officeDocument/2006/relationships" name="Mutations" sheetId="10" r:id="Ra45d1fb5469f40ee"/>
    <x:sheet xmlns:r="http://schemas.openxmlformats.org/officeDocument/2006/relationships" name="Audit" sheetId="11" r:id="Rcf4fe1cfa0d14a5a"/>
    <x:sheet xmlns:r="http://schemas.openxmlformats.org/officeDocument/2006/relationships" name="Sources &amp; Limits" sheetId="12" r:id="Re971e5a6939849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%"/>
    <x:numFmt numFmtId="202" formatCode="#,##0.000"/>
    <x:numFmt numFmtId="203" formatCode="0.000"/>
    <x:numFmt numFmtId="204" formatCode="0.00"/>
  </x:numFmts>
  <x:fonts count="6">
    <x:font>
      <x:sz val="11"/>
      <x:name val="Carlito"/>
    </x:font>
    <x:font>
      <x:b/>
      <x:sz val="15"/>
      <x:color rgb="FF17365D"/>
      <x:name val="Arial"/>
    </x:font>
    <x:font>
      <x:b/>
      <x:sz val="10"/>
      <x:color rgb="FFFFFFFF"/>
      <x:name val="Arial"/>
    </x:font>
    <x:font>
      <x:sz val="10"/>
      <x:color rgb="FF263746"/>
      <x:name val="Arial"/>
    </x:font>
    <x:font>
      <x:sz val="10"/>
      <x:color rgb="FF0066CC"/>
      <x:name val="Arial"/>
    </x:font>
    <x:font>
      <x:sz val="11"/>
      <x:color rgb="FF26374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</x:fills>
  <x:borders count="8">
    <x:border/>
    <x:border>
      <x:bottom style="thin">
        <x:color rgb="FF17365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8E1EB"/>
      </x:bottom>
    </x:border>
    <x:border>
      <x:top style="thin">
        <x:color rgb="FFD8E1EB"/>
      </x:top>
      <x:bottom style="thin">
        <x:color rgb="FFD8E1EB"/>
      </x:bottom>
    </x:border>
    <x:border>
      <x:top style="thin">
        <x:color rgb="FFD8E1EB"/>
      </x:top>
    </x:border>
  </x:borders>
  <x:cellStyleXfs count="1">
    <x:xf numFmtId="0" fontId="0" fillId="0" borderId="0"/>
  </x:cellStyleXfs>
  <x:cellXfs count="82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200" fontId="3" fillId="0" borderId="5" xfId="0" applyNumberFormat="1" applyFont="1" applyFill="1" applyBorder="1" applyAlignment="1">
      <x:alignment vertical="top" wrapText="1"/>
    </x:xf>
    <x:xf numFmtId="200" fontId="3" fillId="0" borderId="6" xfId="0" applyNumberFormat="1" applyFont="1" applyFill="1" applyBorder="1" applyAlignment="1">
      <x:alignment vertical="top" wrapText="1"/>
    </x:xf>
    <x:xf numFmtId="201" fontId="3" fillId="0" borderId="6" xfId="0" applyNumberFormat="1" applyFont="1" applyFill="1" applyBorder="1" applyAlignment="1">
      <x:alignment vertical="top" wrapText="1"/>
    </x:xf>
    <x:xf numFmtId="202" fontId="3" fillId="0" borderId="6" xfId="0" applyNumberFormat="1" applyFont="1" applyFill="1" applyBorder="1" applyAlignment="1">
      <x:alignment vertical="top" wrapText="1"/>
    </x:xf>
    <x:xf numFmtId="202" fontId="3" fillId="0" borderId="7" xfId="0" applyNumberFormat="1" applyFont="1" applyFill="1" applyBorder="1" applyAlignment="1">
      <x:alignment vertical="top" wrapText="1"/>
    </x:xf>
    <x:xf numFmtId="202" fontId="3" fillId="3" borderId="6" xfId="0" applyNumberFormat="1" applyFont="1" applyFill="1" applyBorder="1" applyAlignment="1">
      <x:alignment vertical="top" wrapText="1"/>
    </x:xf>
    <x:xf numFmtId="202" fontId="3" fillId="3" borderId="7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0" borderId="6" xfId="0" applyNumberFormat="1" applyFont="1" applyFill="1" applyBorder="1" applyAlignment="1">
      <x:alignment vertical="top" wrapText="1"/>
    </x:xf>
    <x:xf numFmtId="201" fontId="4" fillId="0" borderId="6" xfId="0" applyNumberFormat="1" applyFont="1" applyFill="1" applyBorder="1" applyAlignment="1">
      <x:alignment vertical="top" wrapText="1"/>
    </x:xf>
    <x:xf numFmtId="202" fontId="4" fillId="3" borderId="6" xfId="0" applyNumberFormat="1" applyFont="1" applyFill="1" applyBorder="1" applyAlignment="1">
      <x:alignment vertical="top" wrapText="1"/>
    </x:xf>
    <x:xf numFmtId="202" fontId="4" fillId="3" borderId="7" xfId="0" applyNumberFormat="1" applyFont="1" applyFill="1" applyBorder="1" applyAlignment="1">
      <x:alignment vertical="top" wrapText="1"/>
    </x:xf>
    <x:xf numFmtId="200" fontId="3" fillId="0" borderId="7" xfId="0" applyNumberFormat="1" applyFont="1" applyFill="1" applyBorder="1" applyAlignment="1">
      <x:alignment vertical="top" wrapText="1"/>
    </x:xf>
    <x:xf numFmtId="203" fontId="3" fillId="0" borderId="5" xfId="0" applyNumberFormat="1" applyFont="1" applyFill="1" applyBorder="1" applyAlignment="1">
      <x:alignment vertical="top" wrapText="1"/>
    </x:xf>
    <x:xf numFmtId="203" fontId="3" fillId="0" borderId="6" xfId="0" applyNumberFormat="1" applyFont="1" applyFill="1" applyBorder="1" applyAlignment="1">
      <x:alignment vertical="top" wrapText="1"/>
    </x:xf>
    <x:xf numFmtId="204" fontId="3" fillId="0" borderId="7" xfId="0" applyNumberFormat="1" applyFont="1" applyFill="1" applyBorder="1" applyAlignment="1">
      <x:alignment vertical="top" wrapText="1"/>
    </x:xf>
    <x:xf numFmtId="201" fontId="3" fillId="0" borderId="5" xfId="0" applyNumberFormat="1" applyFont="1" applyFill="1" applyBorder="1" applyAlignment="1">
      <x:alignment vertical="top" wrapText="1"/>
    </x:xf>
    <x:xf numFmtId="203" fontId="3" fillId="0" borderId="7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204" fontId="3" fillId="4" borderId="7" xfId="0" applyNumberFormat="1" applyFont="1" applyFill="1" applyBorder="1" applyAlignment="1">
      <x:alignment vertical="top" wrapText="1"/>
    </x:xf>
    <x:xf numFmtId="203" fontId="3" fillId="4" borderId="7" xfId="0" applyNumberFormat="1" applyFont="1" applyFill="1" applyBorder="1" applyAlignment="1">
      <x:alignment vertical="top" wrapText="1"/>
    </x:xf>
    <x:xf numFmtId="0" fontId="2" fillId="4" borderId="7" xfId="0" applyNumberFormat="1" applyFont="1" applyFill="1" applyBorder="1" applyAlignment="1">
      <x:alignment vertical="top" wrapText="1"/>
    </x:xf>
    <x:xf numFmtId="204" fontId="2" fillId="4" borderId="7" xfId="0" applyNumberFormat="1" applyFont="1" applyFill="1" applyBorder="1" applyAlignment="1">
      <x:alignment vertical="top" wrapText="1"/>
    </x:xf>
    <x:xf numFmtId="203" fontId="2" fillId="4" borderId="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top" wrapText="1"/>
    </x:xf>
    <x:xf numFmtId="202" fontId="3" fillId="0" borderId="5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200" fontId="3" fillId="0" borderId="5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20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203" fontId="3" fillId="0" borderId="7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0" fontId="4" fillId="0" borderId="6" xfId="0" applyNumberFormat="1" applyFont="1" applyFill="1" applyBorder="1" applyAlignment="1">
      <x:alignment vertical="center" wrapText="1"/>
    </x:xf>
    <x:xf numFmtId="201" fontId="4" fillId="0" borderId="6" xfId="0" applyNumberFormat="1" applyFont="1" applyFill="1" applyBorder="1" applyAlignment="1">
      <x:alignment vertical="center" wrapText="1"/>
    </x:xf>
    <x:xf numFmtId="202" fontId="4" fillId="3" borderId="6" xfId="0" applyNumberFormat="1" applyFont="1" applyFill="1" applyBorder="1" applyAlignment="1">
      <x:alignment vertical="center" wrapText="1"/>
    </x:xf>
    <x:xf numFmtId="202" fontId="4" fillId="3" borderId="7" xfId="0" applyNumberFormat="1" applyFont="1" applyFill="1" applyBorder="1" applyAlignment="1">
      <x:alignment vertical="center" wrapText="1"/>
    </x:xf>
    <x:xf numFmtId="200" fontId="3" fillId="0" borderId="7" xfId="0" applyNumberFormat="1" applyFont="1" applyFill="1" applyBorder="1" applyAlignment="1">
      <x:alignment vertical="center" wrapText="1"/>
    </x:xf>
    <x:xf numFmtId="203" fontId="3" fillId="0" borderId="5" xfId="0" applyNumberFormat="1" applyFont="1" applyFill="1" applyBorder="1" applyAlignment="1">
      <x:alignment vertical="center" wrapText="1"/>
    </x:xf>
    <x:xf numFmtId="201" fontId="3" fillId="0" borderId="5" xfId="0" applyNumberFormat="1" applyFont="1" applyFill="1" applyBorder="1" applyAlignment="1">
      <x:alignment vertical="center" wrapText="1"/>
    </x:xf>
    <x:xf numFmtId="203" fontId="3" fillId="0" borderId="6" xfId="0" applyNumberFormat="1" applyFont="1" applyFill="1" applyBorder="1" applyAlignment="1">
      <x:alignment vertical="center" wrapText="1"/>
    </x:xf>
    <x:xf numFmtId="201" fontId="3" fillId="0" borderId="6" xfId="0" applyNumberFormat="1" applyFont="1" applyFill="1" applyBorder="1" applyAlignment="1">
      <x:alignment vertical="center" wrapText="1"/>
    </x:xf>
    <x:xf numFmtId="0" fontId="2" fillId="4" borderId="7" xfId="0" applyNumberFormat="1" applyFont="1" applyFill="1" applyBorder="1" applyAlignment="1">
      <x:alignment vertical="center" wrapText="1"/>
    </x:xf>
    <x:xf numFmtId="204" fontId="2" fillId="4" borderId="7" xfId="0" applyNumberFormat="1" applyFont="1" applyFill="1" applyBorder="1" applyAlignment="1">
      <x:alignment vertical="center" wrapText="1"/>
    </x:xf>
    <x:xf numFmtId="203" fontId="2" fillId="4" borderId="7" xfId="0" applyNumberFormat="1" applyFont="1" applyFill="1" applyBorder="1" applyAlignment="1">
      <x:alignment vertical="center" wrapText="1"/>
    </x:xf>
    <x:xf numFmtId="202" fontId="3" fillId="0" borderId="5" xfId="0" applyNumberFormat="1" applyFont="1" applyFill="1" applyBorder="1" applyAlignment="1">
      <x:alignment vertical="center" wrapText="1"/>
    </x:xf>
    <x:xf numFmtId="202" fontId="3" fillId="0" borderId="6" xfId="0" applyNumberFormat="1" applyFont="1" applyFill="1" applyBorder="1" applyAlignment="1">
      <x:alignment vertical="center" wrapText="1"/>
    </x:xf>
    <x:xf numFmtId="202" fontId="3" fillId="0" borderId="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461f495be94d01" /><Relationship Type="http://schemas.openxmlformats.org/officeDocument/2006/relationships/theme" Target="/xl/theme/theme1.xml" Id="Re329b58baf9e4969" /><Relationship Type="http://schemas.openxmlformats.org/officeDocument/2006/relationships/sharedStrings" Target="/xl/sharedStrings.xml" Id="R08a2684357b74681" /><Relationship Type="http://schemas.openxmlformats.org/officeDocument/2006/relationships/worksheet" Target="/xl/worksheets/sheet1.xml" Id="R1c3a87b6bc3948b1" /><Relationship Type="http://schemas.openxmlformats.org/officeDocument/2006/relationships/worksheet" Target="/xl/worksheets/sheet2.xml" Id="R3510c1de880f40ea" /><Relationship Type="http://schemas.openxmlformats.org/officeDocument/2006/relationships/worksheet" Target="/xl/worksheets/sheet3.xml" Id="R7bda5143e4ff4c88" /><Relationship Type="http://schemas.openxmlformats.org/officeDocument/2006/relationships/worksheet" Target="/xl/worksheets/sheet4.xml" Id="R6955ed3877134b59" /><Relationship Type="http://schemas.openxmlformats.org/officeDocument/2006/relationships/worksheet" Target="/xl/worksheets/sheet5.xml" Id="Rf10ac80ea7be4cbf" /><Relationship Type="http://schemas.openxmlformats.org/officeDocument/2006/relationships/worksheet" Target="/xl/worksheets/sheet6.xml" Id="R63272d4b5dd24685" /><Relationship Type="http://schemas.openxmlformats.org/officeDocument/2006/relationships/worksheet" Target="/xl/worksheets/sheet7.xml" Id="Re5edbdb551d548a3" /><Relationship Type="http://schemas.openxmlformats.org/officeDocument/2006/relationships/worksheet" Target="/xl/worksheets/sheet8.xml" Id="R37cc72a3a7184b5b" /><Relationship Type="http://schemas.openxmlformats.org/officeDocument/2006/relationships/worksheet" Target="/xl/worksheets/sheet9.xml" Id="R3d76ed55d5914187" /><Relationship Type="http://schemas.openxmlformats.org/officeDocument/2006/relationships/worksheet" Target="/xl/worksheets/sheet10.xml" Id="Ra45d1fb5469f40ee" /><Relationship Type="http://schemas.openxmlformats.org/officeDocument/2006/relationships/worksheet" Target="/xl/worksheets/sheet11.xml" Id="Rcf4fe1cfa0d14a5a" /><Relationship Type="http://schemas.openxmlformats.org/officeDocument/2006/relationships/worksheet" Target="/xl/worksheets/sheet12.xml" Id="Re971e5a6939849e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5925c0124e94c5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Current form evidence state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Form count</c:v>
          </c:tx>
          <c:cat>
            <c:strRef>
              <c:f>'Summary'!$M$5:$M$9</c:f>
              <c:strCache>
                <c:ptCount val="0"/>
              </c:strCache>
            </c:strRef>
          </c:cat>
          <c:val>
            <c:numRef>
              <c:f>'Summary'!$N$5:$N$9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925c0124e94c5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0999783a1554f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2" hidden="0" customWidth="1"/>
    <x:col min="4" max="4" width="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4" hidden="0" customWidth="1"/>
    <x:col min="12" max="12" width="4" hidden="0" customWidth="1"/>
    <x:col min="13" max="13" width="24" hidden="0" customWidth="1"/>
    <x:col min="14" max="14" width="16" hidden="0" customWidth="1"/>
    <x:col min="15" max="15" width="4" hidden="0" customWidth="1"/>
    <x:col min="16" max="16" width="4" hidden="0" customWidth="1"/>
    <x:col min="17" max="17" width="4" hidden="0" customWidth="1"/>
    <x:col min="18" max="18" width="4" hidden="0" customWidth="1"/>
  </x:cols>
  <x:sheetData>
    <x:row r="2">
      <x:c r="A2" s="56" t="str">
        <x:v>Six-root pre-evidence form-selection covenant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  <x:c r="M3" s="58"/>
      <x:c r="N3" s="58"/>
      <x:c r="O3" s="58"/>
      <x:c r="P3" s="58"/>
      <x:c r="Q3" s="58"/>
      <x:c r="R3" s="58"/>
    </x:row>
    <x:row r="4" ht="32" customHeight="1">
      <x:c r="A4" s="14" t="str">
        <x:v>Decision measure</x:v>
      </x:c>
      <x:c r="B4" s="15" t="str">
        <x:v>Value</x:v>
      </x:c>
      <x:c r="C4" s="16" t="str">
        <x:v>State</x:v>
      </x:c>
      <x:c r="D4" s="57"/>
      <x:c r="E4" s="57"/>
      <x:c r="F4" s="57"/>
      <x:c r="G4" s="57"/>
      <x:c r="H4" s="57"/>
      <x:c r="I4" s="57"/>
      <x:c r="J4" s="57"/>
      <x:c r="K4" s="57"/>
      <x:c r="L4" s="57"/>
      <x:c r="M4" s="14" t="str">
        <x:v>Evidence state</x:v>
      </x:c>
      <x:c r="N4" s="16" t="str">
        <x:v>Form count</x:v>
      </x:c>
      <x:c r="O4" s="57"/>
      <x:c r="P4" s="57"/>
      <x:c r="Q4" s="57"/>
      <x:c r="R4" s="57"/>
    </x:row>
    <x:row r="5">
      <x:c r="A5" s="59" t="str">
        <x:v>forms under covenant</x:v>
      </x:c>
      <x:c r="B5" s="60" t="n">
        <x:f>COUNTA('Form Covenant'!A5:A22)</x:f>
        <x:v>18</x:v>
      </x:c>
      <x:c r="C5" s="59" t="str">
        <x:v>COMPLETE</x:v>
      </x:c>
      <x:c r="D5" s="57"/>
      <x:c r="E5" s="61" t="str">
        <x:v>RETURN DECISION
The covenant makes every form falsifiable before selection. A single accepted failure withdraws a form; invalid or ambiguous evidence creates a hold; six accepted domain passes create only a survivor. Selection still requires comparable root evidence plus an independent noncompensatory warrant. No favorable observation may convert into capability, production, fleet-readiness, export or financial authority. With no accepted observations, all eighteen forms remain UNTRIED and RVS returns to its registered parent question.</x:v>
      </x:c>
      <x:c r="F5" s="57"/>
      <x:c r="G5" s="57"/>
      <x:c r="H5" s="57"/>
      <x:c r="I5" s="57"/>
      <x:c r="J5" s="57"/>
      <x:c r="K5" s="57"/>
      <x:c r="L5" s="57"/>
      <x:c r="M5" s="59" t="str">
        <x:v>UNTRIED</x:v>
      </x:c>
      <x:c r="N5" s="59" t="n">
        <x:f>COUNTIF('Form Covenant'!Q5:Q22,"UNTRIED")</x:f>
        <x:v>18</x:v>
      </x:c>
      <x:c r="O5" s="57"/>
      <x:c r="P5" s="57"/>
      <x:c r="Q5" s="57"/>
      <x:c r="R5" s="57"/>
    </x:row>
    <x:row r="6">
      <x:c r="A6" s="62" t="str">
        <x:v>principal destructive events</x:v>
      </x:c>
      <x:c r="B6" s="63" t="n">
        <x:f>COUNTA('Event Packets'!A5:A22)</x:f>
        <x:v>18</x:v>
      </x:c>
      <x:c r="C6" s="62" t="str">
        <x:v>FROZEN</x:v>
      </x:c>
      <x:c r="D6" s="57"/>
      <x:c r="E6" s="57"/>
      <x:c r="F6" s="57"/>
      <x:c r="G6" s="57"/>
      <x:c r="H6" s="57"/>
      <x:c r="I6" s="57"/>
      <x:c r="J6" s="57"/>
      <x:c r="K6" s="57"/>
      <x:c r="L6" s="57"/>
      <x:c r="M6" s="62" t="str">
        <x:v>HOLD</x:v>
      </x:c>
      <x:c r="N6" s="62" t="n">
        <x:f>COUNTIF('Form Covenant'!Q5:Q22,"HOLD")</x:f>
        <x:v>0</x:v>
      </x:c>
      <x:c r="O6" s="57"/>
      <x:c r="P6" s="57"/>
      <x:c r="Q6" s="57"/>
      <x:c r="R6" s="57"/>
    </x:row>
    <x:row r="7">
      <x:c r="A7" s="62" t="str">
        <x:v>noncompensatory evidence records</x:v>
      </x:c>
      <x:c r="B7" s="63" t="n">
        <x:f>COUNTA('Evidence Domains'!A5:A112)</x:f>
        <x:v>108</x:v>
      </x:c>
      <x:c r="C7" s="62" t="str">
        <x:v>COMPLETE</x:v>
      </x:c>
      <x:c r="D7" s="57"/>
      <x:c r="E7" s="57"/>
      <x:c r="F7" s="57"/>
      <x:c r="G7" s="57"/>
      <x:c r="H7" s="57"/>
      <x:c r="I7" s="57"/>
      <x:c r="J7" s="57"/>
      <x:c r="K7" s="57"/>
      <x:c r="L7" s="57"/>
      <x:c r="M7" s="62" t="str">
        <x:v>WITHDRAW</x:v>
      </x:c>
      <x:c r="N7" s="62" t="n">
        <x:f>COUNTIF('Form Covenant'!Q5:Q22,"WITHDRAW")</x:f>
        <x:v>0</x:v>
      </x:c>
      <x:c r="O7" s="57"/>
      <x:c r="P7" s="57"/>
      <x:c r="Q7" s="57"/>
      <x:c r="R7" s="57"/>
    </x:row>
    <x:row r="8">
      <x:c r="A8" s="62" t="str">
        <x:v>accepted observations</x:v>
      </x:c>
      <x:c r="B8" s="63" t="n">
        <x:f>SUM('Evidence Domains'!I5:I112)</x:f>
        <x:v>0</x:v>
      </x:c>
      <x:c r="C8" s="62" t="str">
        <x:v>ZERO</x:v>
      </x:c>
      <x:c r="D8" s="57"/>
      <x:c r="E8" s="57"/>
      <x:c r="F8" s="57"/>
      <x:c r="G8" s="57"/>
      <x:c r="H8" s="57"/>
      <x:c r="I8" s="57"/>
      <x:c r="J8" s="57"/>
      <x:c r="K8" s="57"/>
      <x:c r="L8" s="57"/>
      <x:c r="M8" s="62" t="str">
        <x:v>SURVIVOR</x:v>
      </x:c>
      <x:c r="N8" s="62" t="n">
        <x:f>COUNTIF('Form Covenant'!Q5:Q22,"SURVIVOR")</x:f>
        <x:v>0</x:v>
      </x:c>
      <x:c r="O8" s="57"/>
      <x:c r="P8" s="57"/>
      <x:c r="Q8" s="57"/>
      <x:c r="R8" s="57"/>
    </x:row>
    <x:row r="9">
      <x:c r="A9" s="62" t="str">
        <x:v>UNTRIED forms</x:v>
      </x:c>
      <x:c r="B9" s="63" t="n">
        <x:f>COUNTIF('Form Covenant'!Q5:Q22,"UNTRIED")</x:f>
        <x:v>18</x:v>
      </x:c>
      <x:c r="C9" s="62" t="str">
        <x:v>ALL</x:v>
      </x:c>
      <x:c r="D9" s="57"/>
      <x:c r="E9" s="57"/>
      <x:c r="F9" s="57"/>
      <x:c r="G9" s="57"/>
      <x:c r="H9" s="57"/>
      <x:c r="I9" s="57"/>
      <x:c r="J9" s="57"/>
      <x:c r="K9" s="57"/>
      <x:c r="L9" s="57"/>
      <x:c r="M9" s="64" t="str">
        <x:v>SELECTED</x:v>
      </x:c>
      <x:c r="N9" s="64" t="n">
        <x:f>SUM('Form Covenant'!P5:P22)</x:f>
        <x:v>0</x:v>
      </x:c>
      <x:c r="O9" s="57"/>
      <x:c r="P9" s="57"/>
      <x:c r="Q9" s="57"/>
      <x:c r="R9" s="57"/>
    </x:row>
    <x:row r="10">
      <x:c r="A10" s="62" t="str">
        <x:v>HOLD forms</x:v>
      </x:c>
      <x:c r="B10" s="63" t="n">
        <x:f>COUNTIF('Form Covenant'!Q5:Q22,"HOLD")</x:f>
        <x:v>0</x:v>
      </x:c>
      <x:c r="C10" s="62" t="str">
        <x:v>ZERO</x:v>
      </x:c>
      <x:c r="D10" s="57"/>
      <x:c r="E10" s="57"/>
      <x:c r="F10" s="57"/>
      <x:c r="G10" s="57"/>
      <x:c r="H10" s="57"/>
      <x:c r="I10" s="57"/>
      <x:c r="J10" s="57"/>
      <x:c r="K10" s="57"/>
      <x:c r="L10" s="57"/>
      <x:c r="M10" s="57"/>
      <x:c r="N10" s="57"/>
      <x:c r="O10" s="57"/>
      <x:c r="P10" s="57"/>
      <x:c r="Q10" s="57"/>
      <x:c r="R10" s="57"/>
    </x:row>
    <x:row r="11">
      <x:c r="A11" s="62" t="str">
        <x:v>withdrawn forms</x:v>
      </x:c>
      <x:c r="B11" s="63" t="n">
        <x:f>COUNTIF('Form Covenant'!Q5:Q22,"WITHDRAW")</x:f>
        <x:v>0</x:v>
      </x:c>
      <x:c r="C11" s="62" t="str">
        <x:v>ZERO</x:v>
      </x:c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</x:row>
    <x:row r="12">
      <x:c r="A12" s="62" t="str">
        <x:v>survivor forms</x:v>
      </x:c>
      <x:c r="B12" s="63" t="n">
        <x:f>COUNTIF('Form Covenant'!Q5:Q22,"SURVIVOR")</x:f>
        <x:v>0</x:v>
      </x:c>
      <x:c r="C12" s="62" t="str">
        <x:v>ZERO</x:v>
      </x:c>
      <x:c r="D12" s="57"/>
      <x:c r="E12" s="57"/>
      <x:c r="F12" s="57"/>
      <x:c r="G12" s="57"/>
      <x:c r="H12" s="57"/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</x:row>
    <x:row r="13">
      <x:c r="A13" s="62" t="str">
        <x:v>selected forms</x:v>
      </x:c>
      <x:c r="B13" s="63" t="n">
        <x:f>SUM('Form Covenant'!P5:P22)</x:f>
        <x:v>0</x:v>
      </x:c>
      <x:c r="C13" s="62" t="str">
        <x:v>ZERO</x:v>
      </x:c>
      <x:c r="D13" s="57"/>
      <x:c r="E13" s="57"/>
      <x:c r="F13" s="57"/>
      <x:c r="G13" s="57"/>
      <x:c r="H13" s="57"/>
      <x:c r="I13" s="57"/>
      <x:c r="J13" s="57"/>
      <x:c r="K13" s="57"/>
      <x:c r="L13" s="57"/>
      <x:c r="M13" s="57"/>
      <x:c r="N13" s="57"/>
      <x:c r="O13" s="57"/>
      <x:c r="P13" s="57"/>
      <x:c r="Q13" s="57"/>
      <x:c r="R13" s="57"/>
    </x:row>
    <x:row r="14">
      <x:c r="A14" s="62" t="str">
        <x:v>root selections</x:v>
      </x:c>
      <x:c r="B14" s="63" t="n">
        <x:f>COUNTIF('Root Tournament'!L5:L10,"SELECTED")</x:f>
        <x:v>0</x:v>
      </x:c>
      <x:c r="C14" s="62" t="str">
        <x:v>ZERO</x:v>
      </x:c>
      <x:c r="D14" s="57"/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</x:row>
    <x:row r="15">
      <x:c r="A15" s="62" t="str">
        <x:v>technology campaigns</x:v>
      </x:c>
      <x:c r="B15" s="63" t="n">
        <x:f>COUNTA('Campaign Stress'!A5:A58)</x:f>
        <x:v>54</x:v>
      </x:c>
      <x:c r="C15" s="62" t="str">
        <x:v>UNPROVEN</x:v>
      </x:c>
      <x:c r="D15" s="57"/>
      <x:c r="E15" s="57"/>
      <x:c r="F15" s="57"/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</x:row>
    <x:row r="16">
      <x:c r="A16" s="64" t="str">
        <x:v>incremental ceiling USD B</x:v>
      </x:c>
      <x:c r="B16" s="65" t="n">
        <x:f>Finance!G11</x:f>
        <x:v>0</x:v>
      </x:c>
      <x:c r="C16" s="64" t="str">
        <x:v>ZERO</x:v>
      </x:c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</x:row>
  </x:sheetData>
  <x:mergeCells>
    <x:mergeCell ref="A2:R2"/>
    <x:mergeCell ref="E5:J14"/>
  </x:mergeCells>
  <x:pageMargins left="0.7" right="0.7" top="0.75" bottom="0.75" header="0.3" footer="0.3"/>
  <x:drawing xmlns:r="http://schemas.openxmlformats.org/officeDocument/2006/relationships" r:id="Rc0999783a1554f2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8" hidden="0" customWidth="1"/>
    <x:col min="3" max="3" width="18" hidden="0" customWidth="1"/>
    <x:col min="4" max="4" width="38" hidden="0" customWidth="1"/>
  </x:cols>
  <x:sheetData>
    <x:row r="2">
      <x:c r="A2" s="56" t="str">
        <x:v>Pre-evidence form-selection controls</x:v>
      </x:c>
      <x:c r="B2" s="57"/>
      <x:c r="C2" s="57"/>
      <x:c r="D2" s="57"/>
    </x:row>
    <x:row r="3">
      <x:c r="A3" s="58"/>
      <x:c r="B3" s="58"/>
      <x:c r="C3" s="58"/>
      <x:c r="D3" s="58"/>
    </x:row>
    <x:row r="4">
      <x:c r="A4" s="57"/>
      <x:c r="B4" s="57"/>
      <x:c r="C4" s="57"/>
      <x:c r="D4" s="57"/>
    </x:row>
    <x:row r="5" ht="32" customHeight="1">
      <x:c r="A5" s="14" t="str">
        <x:v>Control</x:v>
      </x:c>
      <x:c r="B5" s="15" t="str">
        <x:v>Value</x:v>
      </x:c>
      <x:c r="C5" s="15" t="str">
        <x:v>Unit</x:v>
      </x:c>
      <x:c r="D5" s="16" t="str">
        <x:v>Authority</x:v>
      </x:c>
    </x:row>
    <x:row r="6">
      <x:c r="A6" s="59" t="str">
        <x:v>roots</x:v>
      </x:c>
      <x:c r="B6" s="66" t="n">
        <x:v>6</x:v>
      </x:c>
      <x:c r="C6" s="59" t="str">
        <x:v>count</x:v>
      </x:c>
      <x:c r="D6" s="59" t="str">
        <x:v>Pass 211</x:v>
      </x:c>
    </x:row>
    <x:row r="7">
      <x:c r="A7" s="62" t="str">
        <x:v>forms</x:v>
      </x:c>
      <x:c r="B7" s="67" t="n">
        <x:v>18</x:v>
      </x:c>
      <x:c r="C7" s="62" t="str">
        <x:v>count</x:v>
      </x:c>
      <x:c r="D7" s="62" t="str">
        <x:v>Pass 223</x:v>
      </x:c>
    </x:row>
    <x:row r="8">
      <x:c r="A8" s="62" t="str">
        <x:v>evidence domains per form</x:v>
      </x:c>
      <x:c r="B8" s="67" t="n">
        <x:v>6</x:v>
      </x:c>
      <x:c r="C8" s="62" t="str">
        <x:v>count</x:v>
      </x:c>
      <x:c r="D8" s="62" t="str">
        <x:v>Pass 225 covenant</x:v>
      </x:c>
    </x:row>
    <x:row r="9">
      <x:c r="A9" s="62" t="str">
        <x:v>principal events</x:v>
      </x:c>
      <x:c r="B9" s="67" t="n">
        <x:v>18</x:v>
      </x:c>
      <x:c r="C9" s="62" t="str">
        <x:v>count</x:v>
      </x:c>
      <x:c r="D9" s="62" t="str">
        <x:v>Pass 225 covenant</x:v>
      </x:c>
    </x:row>
    <x:row r="10">
      <x:c r="A10" s="62" t="str">
        <x:v>technology campaigns</x:v>
      </x:c>
      <x:c r="B10" s="67" t="n">
        <x:v>54</x:v>
      </x:c>
      <x:c r="C10" s="62" t="str">
        <x:v>count</x:v>
      </x:c>
      <x:c r="D10" s="62" t="str">
        <x:v>Pass 224</x:v>
      </x:c>
    </x:row>
    <x:row r="11">
      <x:c r="A11" s="62" t="str">
        <x:v>FRAME share</x:v>
      </x:c>
      <x:c r="B11" s="68" t="n">
        <x:v>0.15</x:v>
      </x:c>
      <x:c r="C11" s="62" t="str">
        <x:v>share</x:v>
      </x:c>
      <x:c r="D11" s="62" t="str">
        <x:v>Pass 215</x:v>
      </x:c>
    </x:row>
    <x:row r="12">
      <x:c r="A12" s="62" t="str">
        <x:v>selected forms</x:v>
      </x:c>
      <x:c r="B12" s="69" t="n">
        <x:v>0</x:v>
      </x:c>
      <x:c r="C12" s="62" t="str">
        <x:v>count</x:v>
      </x:c>
      <x:c r="D12" s="62" t="str">
        <x:v>held</x:v>
      </x:c>
    </x:row>
    <x:row r="13">
      <x:c r="A13" s="62" t="str">
        <x:v>accepted observations</x:v>
      </x:c>
      <x:c r="B13" s="69" t="n">
        <x:v>0</x:v>
      </x:c>
      <x:c r="C13" s="62" t="str">
        <x:v>count</x:v>
      </x:c>
      <x:c r="D13" s="62" t="str">
        <x:v>source empty</x:v>
      </x:c>
    </x:row>
    <x:row r="14">
      <x:c r="A14" s="62" t="str">
        <x:v>selection warrants</x:v>
      </x:c>
      <x:c r="B14" s="69" t="n">
        <x:v>0</x:v>
      </x:c>
      <x:c r="C14" s="62" t="str">
        <x:v>count</x:v>
      </x:c>
      <x:c r="D14" s="62" t="str">
        <x:v>source empty</x:v>
      </x:c>
    </x:row>
    <x:row r="15">
      <x:c r="A15" s="62" t="str">
        <x:v>branch kills</x:v>
      </x:c>
      <x:c r="B15" s="69" t="n">
        <x:v>0</x:v>
      </x:c>
      <x:c r="C15" s="62" t="str">
        <x:v>count</x:v>
      </x:c>
      <x:c r="D15" s="62" t="str">
        <x:v>Pass 225 decision</x:v>
      </x:c>
    </x:row>
    <x:row r="16">
      <x:c r="A16" s="62" t="str">
        <x:v>incremental covenant ceiling</x:v>
      </x:c>
      <x:c r="B16" s="69" t="n">
        <x:v>0</x:v>
      </x:c>
      <x:c r="C16" s="62" t="str">
        <x:v>USD B</x:v>
      </x:c>
      <x:c r="D16" s="62" t="str">
        <x:v>no new authority</x:v>
      </x:c>
    </x:row>
    <x:row r="17">
      <x:c r="A17" s="64" t="str">
        <x:v>return state</x:v>
      </x:c>
      <x:c r="B17" s="70" t="n">
        <x:v>1</x:v>
      </x:c>
      <x:c r="C17" s="64" t="str">
        <x:v>binary</x:v>
      </x:c>
      <x:c r="D17" s="64" t="str">
        <x:v>RVS terminal return</x:v>
      </x:c>
    </x:row>
  </x:sheetData>
  <x:mergeCells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6" hidden="0" customWidth="1"/>
    <x:col min="2" max="2" width="10" hidden="0" customWidth="1"/>
    <x:col min="3" max="3" width="43" hidden="0" customWidth="1"/>
    <x:col min="4" max="4" width="68" hidden="0" customWidth="1"/>
    <x:col min="5" max="5" width="68" hidden="0" customWidth="1"/>
    <x:col min="6" max="6" width="60" hidden="0" customWidth="1"/>
    <x:col min="7" max="7" width="20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20" hidden="0" customWidth="1"/>
    <x:col min="14" max="14" width="20" hidden="0" customWidth="1"/>
    <x:col min="15" max="15" width="20" hidden="0" customWidth="1"/>
    <x:col min="16" max="16" width="12" hidden="0" customWidth="1"/>
    <x:col min="17" max="17" width="20" hidden="0" customWidth="1"/>
    <x:col min="18" max="18" width="22" hidden="0" customWidth="1"/>
    <x:col min="19" max="19" width="25" hidden="0" customWidth="1"/>
  </x:cols>
  <x:sheetData>
    <x:row r="2">
      <x:c r="A2" s="56" t="str">
        <x:v>Eighteen-form pre-evidence selection covenant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  <x:c r="M3" s="58"/>
      <x:c r="N3" s="58"/>
      <x:c r="O3" s="58"/>
      <x:c r="P3" s="58"/>
      <x:c r="Q3" s="58"/>
      <x:c r="R3" s="58"/>
      <x:c r="S3" s="58"/>
    </x:row>
    <x:row r="4" ht="32" customHeight="1">
      <x:c r="A4" s="14" t="str">
        <x:v>Form</x:v>
      </x:c>
      <x:c r="B4" s="15" t="str">
        <x:v>Root</x:v>
      </x:c>
      <x:c r="C4" s="15" t="str">
        <x:v>Candidate form</x:v>
      </x:c>
      <x:c r="D4" s="15" t="str">
        <x:v>Principal destructive event</x:v>
      </x:c>
      <x:c r="E4" s="15" t="str">
        <x:v>Disqualifying observation</x:v>
      </x:c>
      <x:c r="F4" s="15" t="str">
        <x:v>Nonconversion rule</x:v>
      </x:c>
      <x:c r="G4" s="15" t="str">
        <x:v>Event packet</x:v>
      </x:c>
      <x:c r="H4" s="15" t="str">
        <x:v>Evidence records</x:v>
      </x:c>
      <x:c r="I4" s="15" t="str">
        <x:v>PASS</x:v>
      </x:c>
      <x:c r="J4" s="15" t="str">
        <x:v>FAIL</x:v>
      </x:c>
      <x:c r="K4" s="15" t="str">
        <x:v>HOLD</x:v>
      </x:c>
      <x:c r="L4" s="15" t="str">
        <x:v>UNTRIED</x:v>
      </x:c>
      <x:c r="M4" s="15" t="str">
        <x:v>Accepted domains</x:v>
      </x:c>
      <x:c r="N4" s="15" t="str">
        <x:v>Form occurrences</x:v>
      </x:c>
      <x:c r="O4" s="15" t="str">
        <x:v>Selection warrant</x:v>
      </x:c>
      <x:c r="P4" s="15" t="str">
        <x:v>Selected</x:v>
      </x:c>
      <x:c r="Q4" s="15" t="str">
        <x:v>Evidence disposition</x:v>
      </x:c>
      <x:c r="R4" s="15" t="str">
        <x:v>Selection gate</x:v>
      </x:c>
      <x:c r="S4" s="16" t="str">
        <x:v>Authority</x:v>
      </x:c>
    </x:row>
    <x:row r="5">
      <x:c r="A5" s="59" t="str">
        <x:v>ET-A-A</x:v>
      </x:c>
      <x:c r="B5" s="59" t="str">
        <x:v>ET-A</x:v>
      </x:c>
      <x:c r="C5" s="59" t="str">
        <x:v>Distributed twin-body exchange</x:v>
      </x:c>
      <x:c r="D5" s="59" t="str">
        <x:v>Disable one twin body plus its energy, control and custody chain at peak relative motion.</x:v>
      </x:c>
      <x:c r="E5" s="59" t="str">
        <x:v>Survivor cannot retain one complete &gt;=241 t/h custody chain, or the failure crosses bodies.</x:v>
      </x:c>
      <x:c r="F5" s="59" t="str">
        <x:v>Gross flow cannot imply dry custody, fleet readiness or production authority.</x:v>
      </x:c>
      <x:c r="G5" s="59" t="str">
        <x:v>ET-A-A-E1</x:v>
      </x:c>
      <x:c r="H5" s="60" t="n">
        <x:f>COUNTIF('Evidence Domains'!$B$5:$B$112,A5)</x:f>
        <x:v>6</x:v>
      </x:c>
      <x:c r="I5" s="60" t="n">
        <x:f>COUNTIFS('Evidence Domains'!$B$5:$B$112,A5,'Evidence Domains'!$K$5:$K$112,"PASS")</x:f>
        <x:v>0</x:v>
      </x:c>
      <x:c r="J5" s="60" t="n">
        <x:f>COUNTIFS('Evidence Domains'!$B$5:$B$112,A5,'Evidence Domains'!$K$5:$K$112,"FAIL")</x:f>
        <x:v>0</x:v>
      </x:c>
      <x:c r="K5" s="60" t="n">
        <x:f>COUNTIFS('Evidence Domains'!$B$5:$B$112,A5,'Evidence Domains'!$K$5:$K$112,"HOLD")</x:f>
        <x:v>0</x:v>
      </x:c>
      <x:c r="L5" s="60" t="n">
        <x:f>COUNTIFS('Evidence Domains'!$B$5:$B$112,A5,'Evidence Domains'!$K$5:$K$112,"UNTRIED")</x:f>
        <x:v>6</x:v>
      </x:c>
      <x:c r="M5" s="60" t="n">
        <x:f>SUMIFS('Evidence Domains'!$I$5:$I$112,'Evidence Domains'!$B$5:$B$112,A5)</x:f>
        <x:v>0</x:v>
      </x:c>
      <x:c r="N5" s="60" t="n">
        <x:f>COUNTIF($A$5:$A$22,A5)</x:f>
        <x:v>1</x:v>
      </x:c>
      <x:c r="O5" s="60" t="n">
        <x:v>0</x:v>
      </x:c>
      <x:c r="P5" s="60" t="n">
        <x:v>0</x:v>
      </x:c>
      <x:c r="Q5" s="59" t="str">
        <x:f>IF(J5&gt;0,"WITHDRAW",IF(K5&gt;0,"HOLD",IF(AND(I5=6,M5=6),"SURVIVOR","UNTRIED")))</x:f>
        <x:v>UNTRIED</x:v>
      </x:c>
      <x:c r="R5" s="59" t="str">
        <x:f>IF(P5=1,IF(AND(Q5="SURVIVOR",O5=1),"SELECTED","INVALID"),IF(O5=1,"WARRANT HELD",Q5))</x:f>
        <x:v>UNTRIED</x:v>
      </x:c>
      <x:c r="S5" s="59" t="str">
        <x:v>COVENANT / UNSELECTED</x:v>
      </x:c>
    </x:row>
    <x:row r="6">
      <x:c r="A6" s="62" t="str">
        <x:v>ET-A-B</x:v>
      </x:c>
      <x:c r="B6" s="62" t="str">
        <x:v>ET-A</x:v>
      </x:c>
      <x:c r="C6" s="62" t="str">
        <x:v>Dual-chain articulated offshore spine</x:v>
      </x:c>
      <x:c r="D6" s="62" t="str">
        <x:v>Lock and flood one articulation chain while denying its buffer and controller.</x:v>
      </x:c>
      <x:c r="E6" s="62" t="str">
        <x:v>Load or safeing transfers into the other chain, or one complete custody path is lost.</x:v>
      </x:c>
      <x:c r="F6" s="62" t="str">
        <x:v>Joint survival cannot imply stationkeeping or whole-system qualification.</x:v>
      </x:c>
      <x:c r="G6" s="62" t="str">
        <x:v>ET-A-B-E1</x:v>
      </x:c>
      <x:c r="H6" s="63" t="n">
        <x:f>COUNTIF('Evidence Domains'!$B$5:$B$112,A6)</x:f>
        <x:v>6</x:v>
      </x:c>
      <x:c r="I6" s="63" t="n">
        <x:f>COUNTIFS('Evidence Domains'!$B$5:$B$112,A6,'Evidence Domains'!$K$5:$K$112,"PASS")</x:f>
        <x:v>0</x:v>
      </x:c>
      <x:c r="J6" s="63" t="n">
        <x:f>COUNTIFS('Evidence Domains'!$B$5:$B$112,A6,'Evidence Domains'!$K$5:$K$112,"FAIL")</x:f>
        <x:v>0</x:v>
      </x:c>
      <x:c r="K6" s="63" t="n">
        <x:f>COUNTIFS('Evidence Domains'!$B$5:$B$112,A6,'Evidence Domains'!$K$5:$K$112,"HOLD")</x:f>
        <x:v>0</x:v>
      </x:c>
      <x:c r="L6" s="63" t="n">
        <x:f>COUNTIFS('Evidence Domains'!$B$5:$B$112,A6,'Evidence Domains'!$K$5:$K$112,"UNTRIED")</x:f>
        <x:v>6</x:v>
      </x:c>
      <x:c r="M6" s="63" t="n">
        <x:f>SUMIFS('Evidence Domains'!$I$5:$I$112,'Evidence Domains'!$B$5:$B$112,A6)</x:f>
        <x:v>0</x:v>
      </x:c>
      <x:c r="N6" s="63" t="n">
        <x:f>COUNTIF($A$5:$A$22,A6)</x:f>
        <x:v>1</x:v>
      </x:c>
      <x:c r="O6" s="63" t="n">
        <x:v>0</x:v>
      </x:c>
      <x:c r="P6" s="63" t="n">
        <x:v>0</x:v>
      </x:c>
      <x:c r="Q6" s="62" t="str">
        <x:f>IF(J6&gt;0,"WITHDRAW",IF(K6&gt;0,"HOLD",IF(AND(I6=6,M6=6),"SURVIVOR","UNTRIED")))</x:f>
        <x:v>UNTRIED</x:v>
      </x:c>
      <x:c r="R6" s="62" t="str">
        <x:f>IF(P6=1,IF(AND(Q6="SURVIVOR",O6=1),"SELECTED","INVALID"),IF(O6=1,"WARRANT HELD",Q6))</x:f>
        <x:v>UNTRIED</x:v>
      </x:c>
      <x:c r="S6" s="62" t="str">
        <x:v>COVENANT / UNSELECTED</x:v>
      </x:c>
    </x:row>
    <x:row r="7">
      <x:c r="A7" s="62" t="str">
        <x:v>ET-A-C</x:v>
      </x:c>
      <x:c r="B7" s="62" t="str">
        <x:v>ET-A</x:v>
      </x:c>
      <x:c r="C7" s="62" t="str">
        <x:v>Split-frame semi-submersible lattice</x:v>
      </x:c>
      <x:c r="D7" s="62" t="str">
        <x:v>Flood and disable one wet-to-dry frame and its stationkeeping lineage.</x:v>
      </x:c>
      <x:c r="E7" s="62" t="str">
        <x:v>Trim, power or control common cause reaches the second frame.</x:v>
      </x:c>
      <x:c r="F7" s="62" t="str">
        <x:v>Frame survival cannot imply whole-lattice stability or production authority.</x:v>
      </x:c>
      <x:c r="G7" s="62" t="str">
        <x:v>ET-A-C-E1</x:v>
      </x:c>
      <x:c r="H7" s="63" t="n">
        <x:f>COUNTIF('Evidence Domains'!$B$5:$B$112,A7)</x:f>
        <x:v>6</x:v>
      </x:c>
      <x:c r="I7" s="63" t="n">
        <x:f>COUNTIFS('Evidence Domains'!$B$5:$B$112,A7,'Evidence Domains'!$K$5:$K$112,"PASS")</x:f>
        <x:v>0</x:v>
      </x:c>
      <x:c r="J7" s="63" t="n">
        <x:f>COUNTIFS('Evidence Domains'!$B$5:$B$112,A7,'Evidence Domains'!$K$5:$K$112,"FAIL")</x:f>
        <x:v>0</x:v>
      </x:c>
      <x:c r="K7" s="63" t="n">
        <x:f>COUNTIFS('Evidence Domains'!$B$5:$B$112,A7,'Evidence Domains'!$K$5:$K$112,"HOLD")</x:f>
        <x:v>0</x:v>
      </x:c>
      <x:c r="L7" s="63" t="n">
        <x:f>COUNTIFS('Evidence Domains'!$B$5:$B$112,A7,'Evidence Domains'!$K$5:$K$112,"UNTRIED")</x:f>
        <x:v>6</x:v>
      </x:c>
      <x:c r="M7" s="63" t="n">
        <x:f>SUMIFS('Evidence Domains'!$I$5:$I$112,'Evidence Domains'!$B$5:$B$112,A7)</x:f>
        <x:v>0</x:v>
      </x:c>
      <x:c r="N7" s="63" t="n">
        <x:f>COUNTIF($A$5:$A$22,A7)</x:f>
        <x:v>1</x:v>
      </x:c>
      <x:c r="O7" s="63" t="n">
        <x:v>0</x:v>
      </x:c>
      <x:c r="P7" s="63" t="n">
        <x:v>0</x:v>
      </x:c>
      <x:c r="Q7" s="62" t="str">
        <x:f>IF(J7&gt;0,"WITHDRAW",IF(K7&gt;0,"HOLD",IF(AND(I7=6,M7=6),"SURVIVOR","UNTRIED")))</x:f>
        <x:v>UNTRIED</x:v>
      </x:c>
      <x:c r="R7" s="62" t="str">
        <x:f>IF(P7=1,IF(AND(Q7="SURVIVOR",O7=1),"SELECTED","INVALID"),IF(O7=1,"WARRANT HELD",Q7))</x:f>
        <x:v>UNTRIED</x:v>
      </x:c>
      <x:c r="S7" s="62" t="str">
        <x:v>COVENANT / UNSELECTED</x:v>
      </x:c>
    </x:row>
    <x:row r="8">
      <x:c r="A8" s="62" t="str">
        <x:v>CT-C-A</x:v>
      </x:c>
      <x:c r="B8" s="62" t="str">
        <x:v>CT-C</x:v>
      </x:c>
      <x:c r="C8" s="62" t="str">
        <x:v>Segmented telescoping utility spine</x:v>
      </x:c>
      <x:c r="D8" s="62" t="str">
        <x:v>Remove one 7.20 MW cell and fault one telescoping trunk at a damaged attachment.</x:v>
      </x:c>
      <x:c r="E8" s="62" t="str">
        <x:v>Failure propagates across segment, utility family or lawful occupancy boundary.</x:v>
      </x:c>
      <x:c r="F8" s="62" t="str">
        <x:v>Anchor proof cannot imply lawful occupancy, egress or citywide readiness.</x:v>
      </x:c>
      <x:c r="G8" s="62" t="str">
        <x:v>CT-C-A-E1</x:v>
      </x:c>
      <x:c r="H8" s="63" t="n">
        <x:f>COUNTIF('Evidence Domains'!$B$5:$B$112,A8)</x:f>
        <x:v>6</x:v>
      </x:c>
      <x:c r="I8" s="63" t="n">
        <x:f>COUNTIFS('Evidence Domains'!$B$5:$B$112,A8,'Evidence Domains'!$K$5:$K$112,"PASS")</x:f>
        <x:v>0</x:v>
      </x:c>
      <x:c r="J8" s="63" t="n">
        <x:f>COUNTIFS('Evidence Domains'!$B$5:$B$112,A8,'Evidence Domains'!$K$5:$K$112,"FAIL")</x:f>
        <x:v>0</x:v>
      </x:c>
      <x:c r="K8" s="63" t="n">
        <x:f>COUNTIFS('Evidence Domains'!$B$5:$B$112,A8,'Evidence Domains'!$K$5:$K$112,"HOLD")</x:f>
        <x:v>0</x:v>
      </x:c>
      <x:c r="L8" s="63" t="n">
        <x:f>COUNTIFS('Evidence Domains'!$B$5:$B$112,A8,'Evidence Domains'!$K$5:$K$112,"UNTRIED")</x:f>
        <x:v>6</x:v>
      </x:c>
      <x:c r="M8" s="63" t="n">
        <x:f>SUMIFS('Evidence Domains'!$I$5:$I$112,'Evidence Domains'!$B$5:$B$112,A8)</x:f>
        <x:v>0</x:v>
      </x:c>
      <x:c r="N8" s="63" t="n">
        <x:f>COUNTIF($A$5:$A$22,A8)</x:f>
        <x:v>1</x:v>
      </x:c>
      <x:c r="O8" s="63" t="n">
        <x:v>0</x:v>
      </x:c>
      <x:c r="P8" s="63" t="n">
        <x:v>0</x:v>
      </x:c>
      <x:c r="Q8" s="62" t="str">
        <x:f>IF(J8&gt;0,"WITHDRAW",IF(K8&gt;0,"HOLD",IF(AND(I8=6,M8=6),"SURVIVOR","UNTRIED")))</x:f>
        <x:v>UNTRIED</x:v>
      </x:c>
      <x:c r="R8" s="62" t="str">
        <x:f>IF(P8=1,IF(AND(Q8="SURVIVOR",O8=1),"SELECTED","INVALID"),IF(O8=1,"WARRANT HELD",Q8))</x:f>
        <x:v>UNTRIED</x:v>
      </x:c>
      <x:c r="S8" s="62" t="str">
        <x:v>COVENANT / UNSELECTED</x:v>
      </x:c>
    </x:row>
    <x:row r="9">
      <x:c r="A9" s="62" t="str">
        <x:v>CT-C-B</x:v>
      </x:c>
      <x:c r="B9" s="62" t="str">
        <x:v>CT-C</x:v>
      </x:c>
      <x:c r="C9" s="62" t="str">
        <x:v>Sectional suspended utility belt</x:v>
      </x:c>
      <x:c r="D9" s="62" t="str">
        <x:v>Release one anchor zone and fault one mixed-utility belt section.</x:v>
      </x:c>
      <x:c r="E9" s="62" t="str">
        <x:v>Progressive peel, cross-trunk fault or egress loss occurs.</x:v>
      </x:c>
      <x:c r="F9" s="62" t="str">
        <x:v>Belt arrest cannot imply five-trunk containment or building acceptance.</x:v>
      </x:c>
      <x:c r="G9" s="62" t="str">
        <x:v>CT-C-B-E1</x:v>
      </x:c>
      <x:c r="H9" s="63" t="n">
        <x:f>COUNTIF('Evidence Domains'!$B$5:$B$112,A9)</x:f>
        <x:v>6</x:v>
      </x:c>
      <x:c r="I9" s="63" t="n">
        <x:f>COUNTIFS('Evidence Domains'!$B$5:$B$112,A9,'Evidence Domains'!$K$5:$K$112,"PASS")</x:f>
        <x:v>0</x:v>
      </x:c>
      <x:c r="J9" s="63" t="n">
        <x:f>COUNTIFS('Evidence Domains'!$B$5:$B$112,A9,'Evidence Domains'!$K$5:$K$112,"FAIL")</x:f>
        <x:v>0</x:v>
      </x:c>
      <x:c r="K9" s="63" t="n">
        <x:f>COUNTIFS('Evidence Domains'!$B$5:$B$112,A9,'Evidence Domains'!$K$5:$K$112,"HOLD")</x:f>
        <x:v>0</x:v>
      </x:c>
      <x:c r="L9" s="63" t="n">
        <x:f>COUNTIFS('Evidence Domains'!$B$5:$B$112,A9,'Evidence Domains'!$K$5:$K$112,"UNTRIED")</x:f>
        <x:v>6</x:v>
      </x:c>
      <x:c r="M9" s="63" t="n">
        <x:f>SUMIFS('Evidence Domains'!$I$5:$I$112,'Evidence Domains'!$B$5:$B$112,A9)</x:f>
        <x:v>0</x:v>
      </x:c>
      <x:c r="N9" s="63" t="n">
        <x:f>COUNTIF($A$5:$A$22,A9)</x:f>
        <x:v>1</x:v>
      </x:c>
      <x:c r="O9" s="63" t="n">
        <x:v>0</x:v>
      </x:c>
      <x:c r="P9" s="63" t="n">
        <x:v>0</x:v>
      </x:c>
      <x:c r="Q9" s="62" t="str">
        <x:f>IF(J9&gt;0,"WITHDRAW",IF(K9&gt;0,"HOLD",IF(AND(I9=6,M9=6),"SURVIVOR","UNTRIED")))</x:f>
        <x:v>UNTRIED</x:v>
      </x:c>
      <x:c r="R9" s="62" t="str">
        <x:f>IF(P9=1,IF(AND(Q9="SURVIVOR",O9=1),"SELECTED","INVALID"),IF(O9=1,"WARRANT HELD",Q9))</x:f>
        <x:v>UNTRIED</x:v>
      </x:c>
      <x:c r="S9" s="62" t="str">
        <x:v>COVENANT / UNSELECTED</x:v>
      </x:c>
    </x:row>
    <x:row r="10">
      <x:c r="A10" s="62" t="str">
        <x:v>CT-C-C</x:v>
      </x:c>
      <x:c r="B10" s="62" t="str">
        <x:v>CT-C</x:v>
      </x:c>
      <x:c r="C10" s="62" t="str">
        <x:v>Mast-and-bridge insertion grid</x:v>
      </x:c>
      <x:c r="D10" s="62" t="str">
        <x:v>Remove one mast foundation and one bridge drop under occupied load.</x:v>
      </x:c>
      <x:c r="E10" s="62" t="str">
        <x:v>Decisive load or service transfers into another mast, or egress closes.</x:v>
      </x:c>
      <x:c r="F10" s="62" t="str">
        <x:v>Mast survival cannot imply building acceptance or production authority.</x:v>
      </x:c>
      <x:c r="G10" s="62" t="str">
        <x:v>CT-C-C-E1</x:v>
      </x:c>
      <x:c r="H10" s="63" t="n">
        <x:f>COUNTIF('Evidence Domains'!$B$5:$B$112,A10)</x:f>
        <x:v>6</x:v>
      </x:c>
      <x:c r="I10" s="63" t="n">
        <x:f>COUNTIFS('Evidence Domains'!$B$5:$B$112,A10,'Evidence Domains'!$K$5:$K$112,"PASS")</x:f>
        <x:v>0</x:v>
      </x:c>
      <x:c r="J10" s="63" t="n">
        <x:f>COUNTIFS('Evidence Domains'!$B$5:$B$112,A10,'Evidence Domains'!$K$5:$K$112,"FAIL")</x:f>
        <x:v>0</x:v>
      </x:c>
      <x:c r="K10" s="63" t="n">
        <x:f>COUNTIFS('Evidence Domains'!$B$5:$B$112,A10,'Evidence Domains'!$K$5:$K$112,"HOLD")</x:f>
        <x:v>0</x:v>
      </x:c>
      <x:c r="L10" s="63" t="n">
        <x:f>COUNTIFS('Evidence Domains'!$B$5:$B$112,A10,'Evidence Domains'!$K$5:$K$112,"UNTRIED")</x:f>
        <x:v>6</x:v>
      </x:c>
      <x:c r="M10" s="63" t="n">
        <x:f>SUMIFS('Evidence Domains'!$I$5:$I$112,'Evidence Domains'!$B$5:$B$112,A10)</x:f>
        <x:v>0</x:v>
      </x:c>
      <x:c r="N10" s="63" t="n">
        <x:f>COUNTIF($A$5:$A$22,A10)</x:f>
        <x:v>1</x:v>
      </x:c>
      <x:c r="O10" s="63" t="n">
        <x:v>0</x:v>
      </x:c>
      <x:c r="P10" s="63" t="n">
        <x:v>0</x:v>
      </x:c>
      <x:c r="Q10" s="62" t="str">
        <x:f>IF(J10&gt;0,"WITHDRAW",IF(K10&gt;0,"HOLD",IF(AND(I10=6,M10=6),"SURVIVOR","UNTRIED")))</x:f>
        <x:v>UNTRIED</x:v>
      </x:c>
      <x:c r="R10" s="62" t="str">
        <x:f>IF(P10=1,IF(AND(Q10="SURVIVOR",O10=1),"SELECTED","INVALID"),IF(O10=1,"WARRANT HELD",Q10))</x:f>
        <x:v>UNTRIED</x:v>
      </x:c>
      <x:c r="S10" s="62" t="str">
        <x:v>COVENANT / UNSELECTED</x:v>
      </x:c>
    </x:row>
    <x:row r="11">
      <x:c r="A11" s="62" t="str">
        <x:v>HC-A-A</x:v>
      </x:c>
      <x:c r="B11" s="62" t="str">
        <x:v>HC-A</x:v>
      </x:c>
      <x:c r="C11" s="62" t="str">
        <x:v>Independent winged sector cells</x:v>
      </x:c>
      <x:c r="D11" s="62" t="str">
        <x:v>Deny one airframe and its local refill and controller during a plume corridor.</x:v>
      </x:c>
      <x:c r="E11" s="62" t="str">
        <x:v>Another sector depends on it, or one-kilometre effect cannot be independently attributed and held.</x:v>
      </x:c>
      <x:c r="F11" s="62" t="str">
        <x:v>Endurance cannot imply ground effect, causal closure or fleet readiness.</x:v>
      </x:c>
      <x:c r="G11" s="62" t="str">
        <x:v>HC-A-A-E1</x:v>
      </x:c>
      <x:c r="H11" s="63" t="n">
        <x:f>COUNTIF('Evidence Domains'!$B$5:$B$112,A11)</x:f>
        <x:v>6</x:v>
      </x:c>
      <x:c r="I11" s="63" t="n">
        <x:f>COUNTIFS('Evidence Domains'!$B$5:$B$112,A11,'Evidence Domains'!$K$5:$K$112,"PASS")</x:f>
        <x:v>0</x:v>
      </x:c>
      <x:c r="J11" s="63" t="n">
        <x:f>COUNTIFS('Evidence Domains'!$B$5:$B$112,A11,'Evidence Domains'!$K$5:$K$112,"FAIL")</x:f>
        <x:v>0</x:v>
      </x:c>
      <x:c r="K11" s="63" t="n">
        <x:f>COUNTIFS('Evidence Domains'!$B$5:$B$112,A11,'Evidence Domains'!$K$5:$K$112,"HOLD")</x:f>
        <x:v>0</x:v>
      </x:c>
      <x:c r="L11" s="63" t="n">
        <x:f>COUNTIFS('Evidence Domains'!$B$5:$B$112,A11,'Evidence Domains'!$K$5:$K$112,"UNTRIED")</x:f>
        <x:v>6</x:v>
      </x:c>
      <x:c r="M11" s="63" t="n">
        <x:f>SUMIFS('Evidence Domains'!$I$5:$I$112,'Evidence Domains'!$B$5:$B$112,A11)</x:f>
        <x:v>0</x:v>
      </x:c>
      <x:c r="N11" s="63" t="n">
        <x:f>COUNTIF($A$5:$A$22,A11)</x:f>
        <x:v>1</x:v>
      </x:c>
      <x:c r="O11" s="63" t="n">
        <x:v>0</x:v>
      </x:c>
      <x:c r="P11" s="63" t="n">
        <x:v>0</x:v>
      </x:c>
      <x:c r="Q11" s="62" t="str">
        <x:f>IF(J11&gt;0,"WITHDRAW",IF(K11&gt;0,"HOLD",IF(AND(I11=6,M11=6),"SURVIVOR","UNTRIED")))</x:f>
        <x:v>UNTRIED</x:v>
      </x:c>
      <x:c r="R11" s="62" t="str">
        <x:f>IF(P11=1,IF(AND(Q11="SURVIVOR",O11=1),"SELECTED","INVALID"),IF(O11=1,"WARRANT HELD",Q11))</x:f>
        <x:v>UNTRIED</x:v>
      </x:c>
      <x:c r="S11" s="62" t="str">
        <x:v>COVENANT / UNSELECTED</x:v>
      </x:c>
    </x:row>
    <x:row r="12">
      <x:c r="A12" s="62" t="str">
        <x:v>HC-A-B</x:v>
      </x:c>
      <x:c r="B12" s="62" t="str">
        <x:v>HC-A</x:v>
      </x:c>
      <x:c r="C12" s="62" t="str">
        <x:v>Independent aerostat sector cells</x:v>
      </x:c>
      <x:c r="D12" s="62" t="str">
        <x:v>Sever tether power, fluid and data, then puncture one compartment.</x:v>
      </x:c>
      <x:c r="E12" s="62" t="str">
        <x:v>Local safeing or recovery fails, or the causal corridor depends on a shared station.</x:v>
      </x:c>
      <x:c r="F12" s="62" t="str">
        <x:v>Tether integrity cannot imply deposition or runoff closure.</x:v>
      </x:c>
      <x:c r="G12" s="62" t="str">
        <x:v>HC-A-B-E1</x:v>
      </x:c>
      <x:c r="H12" s="63" t="n">
        <x:f>COUNTIF('Evidence Domains'!$B$5:$B$112,A12)</x:f>
        <x:v>6</x:v>
      </x:c>
      <x:c r="I12" s="63" t="n">
        <x:f>COUNTIFS('Evidence Domains'!$B$5:$B$112,A12,'Evidence Domains'!$K$5:$K$112,"PASS")</x:f>
        <x:v>0</x:v>
      </x:c>
      <x:c r="J12" s="63" t="n">
        <x:f>COUNTIFS('Evidence Domains'!$B$5:$B$112,A12,'Evidence Domains'!$K$5:$K$112,"FAIL")</x:f>
        <x:v>0</x:v>
      </x:c>
      <x:c r="K12" s="63" t="n">
        <x:f>COUNTIFS('Evidence Domains'!$B$5:$B$112,A12,'Evidence Domains'!$K$5:$K$112,"HOLD")</x:f>
        <x:v>0</x:v>
      </x:c>
      <x:c r="L12" s="63" t="n">
        <x:f>COUNTIFS('Evidence Domains'!$B$5:$B$112,A12,'Evidence Domains'!$K$5:$K$112,"UNTRIED")</x:f>
        <x:v>6</x:v>
      </x:c>
      <x:c r="M12" s="63" t="n">
        <x:f>SUMIFS('Evidence Domains'!$I$5:$I$112,'Evidence Domains'!$B$5:$B$112,A12)</x:f>
        <x:v>0</x:v>
      </x:c>
      <x:c r="N12" s="63" t="n">
        <x:f>COUNTIF($A$5:$A$22,A12)</x:f>
        <x:v>1</x:v>
      </x:c>
      <x:c r="O12" s="63" t="n">
        <x:v>0</x:v>
      </x:c>
      <x:c r="P12" s="63" t="n">
        <x:v>0</x:v>
      </x:c>
      <x:c r="Q12" s="62" t="str">
        <x:f>IF(J12&gt;0,"WITHDRAW",IF(K12&gt;0,"HOLD",IF(AND(I12=6,M12=6),"SURVIVOR","UNTRIED")))</x:f>
        <x:v>UNTRIED</x:v>
      </x:c>
      <x:c r="R12" s="62" t="str">
        <x:f>IF(P12=1,IF(AND(Q12="SURVIVOR",O12=1),"SELECTED","INVALID"),IF(O12=1,"WARRANT HELD",Q12))</x:f>
        <x:v>UNTRIED</x:v>
      </x:c>
      <x:c r="S12" s="62" t="str">
        <x:v>COVENANT / UNSELECTED</x:v>
      </x:c>
    </x:row>
    <x:row r="13">
      <x:c r="A13" s="62" t="str">
        <x:v>HC-A-C</x:v>
      </x:c>
      <x:c r="B13" s="62" t="str">
        <x:v>HC-A</x:v>
      </x:c>
      <x:c r="C13" s="62" t="str">
        <x:v>Distributed rotorborne cells</x:v>
      </x:c>
      <x:c r="D13" s="62" t="str">
        <x:v>Deny the common coordination network and safe one rotor cell.</x:v>
      </x:c>
      <x:c r="E13" s="62" t="str">
        <x:v>Remaining cells lose local control, independent recovery or causal attribution.</x:v>
      </x:c>
      <x:c r="F13" s="62" t="str">
        <x:v>Swarm coordination cannot imply causal effect or fleet readiness.</x:v>
      </x:c>
      <x:c r="G13" s="62" t="str">
        <x:v>HC-A-C-E1</x:v>
      </x:c>
      <x:c r="H13" s="63" t="n">
        <x:f>COUNTIF('Evidence Domains'!$B$5:$B$112,A13)</x:f>
        <x:v>6</x:v>
      </x:c>
      <x:c r="I13" s="63" t="n">
        <x:f>COUNTIFS('Evidence Domains'!$B$5:$B$112,A13,'Evidence Domains'!$K$5:$K$112,"PASS")</x:f>
        <x:v>0</x:v>
      </x:c>
      <x:c r="J13" s="63" t="n">
        <x:f>COUNTIFS('Evidence Domains'!$B$5:$B$112,A13,'Evidence Domains'!$K$5:$K$112,"FAIL")</x:f>
        <x:v>0</x:v>
      </x:c>
      <x:c r="K13" s="63" t="n">
        <x:f>COUNTIFS('Evidence Domains'!$B$5:$B$112,A13,'Evidence Domains'!$K$5:$K$112,"HOLD")</x:f>
        <x:v>0</x:v>
      </x:c>
      <x:c r="L13" s="63" t="n">
        <x:f>COUNTIFS('Evidence Domains'!$B$5:$B$112,A13,'Evidence Domains'!$K$5:$K$112,"UNTRIED")</x:f>
        <x:v>6</x:v>
      </x:c>
      <x:c r="M13" s="63" t="n">
        <x:f>SUMIFS('Evidence Domains'!$I$5:$I$112,'Evidence Domains'!$B$5:$B$112,A13)</x:f>
        <x:v>0</x:v>
      </x:c>
      <x:c r="N13" s="63" t="n">
        <x:f>COUNTIF($A$5:$A$22,A13)</x:f>
        <x:v>1</x:v>
      </x:c>
      <x:c r="O13" s="63" t="n">
        <x:v>0</x:v>
      </x:c>
      <x:c r="P13" s="63" t="n">
        <x:v>0</x:v>
      </x:c>
      <x:c r="Q13" s="62" t="str">
        <x:f>IF(J13&gt;0,"WITHDRAW",IF(K13&gt;0,"HOLD",IF(AND(I13=6,M13=6),"SURVIVOR","UNTRIED")))</x:f>
        <x:v>UNTRIED</x:v>
      </x:c>
      <x:c r="R13" s="62" t="str">
        <x:f>IF(P13=1,IF(AND(Q13="SURVIVOR",O13=1),"SELECTED","INVALID"),IF(O13=1,"WARRANT HELD",Q13))</x:f>
        <x:v>UNTRIED</x:v>
      </x:c>
      <x:c r="S13" s="62" t="str">
        <x:v>COVENANT / UNSELECTED</x:v>
      </x:c>
    </x:row>
    <x:row r="14">
      <x:c r="A14" s="62" t="str">
        <x:v>LF-B-A</x:v>
      </x:c>
      <x:c r="B14" s="62" t="str">
        <x:v>LF-B</x:v>
      </x:c>
      <x:c r="C14" s="62" t="str">
        <x:v>Cellular radial multi-bore field</x:v>
      </x:c>
      <x:c r="D14" s="62" t="str">
        <x:v>Isolate one radial header, conversion cell and bore cell at full thermal state.</x:v>
      </x:c>
      <x:c r="E14" s="62" t="str">
        <x:v>Loss exceeds the cell, residual mass is unaccounted, or remaining lower-bound service breaks.</x:v>
      </x:c>
      <x:c r="F14" s="62" t="str">
        <x:v>Bore output cannot imply hazard, brine or source-position closure.</x:v>
      </x:c>
      <x:c r="G14" s="62" t="str">
        <x:v>LF-B-A-E1</x:v>
      </x:c>
      <x:c r="H14" s="63" t="n">
        <x:f>COUNTIF('Evidence Domains'!$B$5:$B$112,A14)</x:f>
        <x:v>6</x:v>
      </x:c>
      <x:c r="I14" s="63" t="n">
        <x:f>COUNTIFS('Evidence Domains'!$B$5:$B$112,A14,'Evidence Domains'!$K$5:$K$112,"PASS")</x:f>
        <x:v>0</x:v>
      </x:c>
      <x:c r="J14" s="63" t="n">
        <x:f>COUNTIFS('Evidence Domains'!$B$5:$B$112,A14,'Evidence Domains'!$K$5:$K$112,"FAIL")</x:f>
        <x:v>0</x:v>
      </x:c>
      <x:c r="K14" s="63" t="n">
        <x:f>COUNTIFS('Evidence Domains'!$B$5:$B$112,A14,'Evidence Domains'!$K$5:$K$112,"HOLD")</x:f>
        <x:v>0</x:v>
      </x:c>
      <x:c r="L14" s="63" t="n">
        <x:f>COUNTIFS('Evidence Domains'!$B$5:$B$112,A14,'Evidence Domains'!$K$5:$K$112,"UNTRIED")</x:f>
        <x:v>6</x:v>
      </x:c>
      <x:c r="M14" s="63" t="n">
        <x:f>SUMIFS('Evidence Domains'!$I$5:$I$112,'Evidence Domains'!$B$5:$B$112,A14)</x:f>
        <x:v>0</x:v>
      </x:c>
      <x:c r="N14" s="63" t="n">
        <x:f>COUNTIF($A$5:$A$22,A14)</x:f>
        <x:v>1</x:v>
      </x:c>
      <x:c r="O14" s="63" t="n">
        <x:v>0</x:v>
      </x:c>
      <x:c r="P14" s="63" t="n">
        <x:v>0</x:v>
      </x:c>
      <x:c r="Q14" s="62" t="str">
        <x:f>IF(J14&gt;0,"WITHDRAW",IF(K14&gt;0,"HOLD",IF(AND(I14=6,M14=6),"SURVIVOR","UNTRIED")))</x:f>
        <x:v>UNTRIED</x:v>
      </x:c>
      <x:c r="R14" s="62" t="str">
        <x:f>IF(P14=1,IF(AND(Q14="SURVIVOR",O14=1),"SELECTED","INVALID"),IF(O14=1,"WARRANT HELD",Q14))</x:f>
        <x:v>UNTRIED</x:v>
      </x:c>
      <x:c r="S14" s="62" t="str">
        <x:v>COVENANT / UNSELECTED</x:v>
      </x:c>
    </x:row>
    <x:row r="15">
      <x:c r="A15" s="62" t="str">
        <x:v>LF-B-B</x:v>
      </x:c>
      <x:c r="B15" s="62" t="str">
        <x:v>LF-B</x:v>
      </x:c>
      <x:c r="C15" s="62" t="str">
        <x:v>Dual-basin roadless source train</x:v>
      </x:c>
      <x:c r="D15" s="62" t="str">
        <x:v>Deny one route basin and corrupt its reservoir solver and access path.</x:v>
      </x:c>
      <x:c r="E15" s="62" t="str">
        <x:v>The other basin shares model, tool, route or safeing, or cannot reconstruct independently.</x:v>
      </x:c>
      <x:c r="F15" s="62" t="str">
        <x:v>Route closure cannot imply basin independence or source qualification.</x:v>
      </x:c>
      <x:c r="G15" s="62" t="str">
        <x:v>LF-B-B-E1</x:v>
      </x:c>
      <x:c r="H15" s="63" t="n">
        <x:f>COUNTIF('Evidence Domains'!$B$5:$B$112,A15)</x:f>
        <x:v>6</x:v>
      </x:c>
      <x:c r="I15" s="63" t="n">
        <x:f>COUNTIFS('Evidence Domains'!$B$5:$B$112,A15,'Evidence Domains'!$K$5:$K$112,"PASS")</x:f>
        <x:v>0</x:v>
      </x:c>
      <x:c r="J15" s="63" t="n">
        <x:f>COUNTIFS('Evidence Domains'!$B$5:$B$112,A15,'Evidence Domains'!$K$5:$K$112,"FAIL")</x:f>
        <x:v>0</x:v>
      </x:c>
      <x:c r="K15" s="63" t="n">
        <x:f>COUNTIFS('Evidence Domains'!$B$5:$B$112,A15,'Evidence Domains'!$K$5:$K$112,"HOLD")</x:f>
        <x:v>0</x:v>
      </x:c>
      <x:c r="L15" s="63" t="n">
        <x:f>COUNTIFS('Evidence Domains'!$B$5:$B$112,A15,'Evidence Domains'!$K$5:$K$112,"UNTRIED")</x:f>
        <x:v>6</x:v>
      </x:c>
      <x:c r="M15" s="63" t="n">
        <x:f>SUMIFS('Evidence Domains'!$I$5:$I$112,'Evidence Domains'!$B$5:$B$112,A15)</x:f>
        <x:v>0</x:v>
      </x:c>
      <x:c r="N15" s="63" t="n">
        <x:f>COUNTIF($A$5:$A$22,A15)</x:f>
        <x:v>1</x:v>
      </x:c>
      <x:c r="O15" s="63" t="n">
        <x:v>0</x:v>
      </x:c>
      <x:c r="P15" s="63" t="n">
        <x:v>0</x:v>
      </x:c>
      <x:c r="Q15" s="62" t="str">
        <x:f>IF(J15&gt;0,"WITHDRAW",IF(K15&gt;0,"HOLD",IF(AND(I15=6,M15=6),"SURVIVOR","UNTRIED")))</x:f>
        <x:v>UNTRIED</x:v>
      </x:c>
      <x:c r="R15" s="62" t="str">
        <x:f>IF(P15=1,IF(AND(Q15="SURVIVOR",O15=1),"SELECTED","INVALID"),IF(O15=1,"WARRANT HELD",Q15))</x:f>
        <x:v>UNTRIED</x:v>
      </x:c>
      <x:c r="S15" s="62" t="str">
        <x:v>COVENANT / UNSELECTED</x:v>
      </x:c>
    </x:row>
    <x:row r="16">
      <x:c r="A16" s="62" t="str">
        <x:v>LF-B-C</x:v>
      </x:c>
      <x:c r="B16" s="62" t="str">
        <x:v>LF-B</x:v>
      </x:c>
      <x:c r="C16" s="62" t="str">
        <x:v>Nearshore caisson source archipelago</x:v>
      </x:c>
      <x:c r="D16" s="62" t="str">
        <x:v>Flood one caisson and cut one export umbilical.</x:v>
      </x:c>
      <x:c r="E16" s="62" t="str">
        <x:v>Power, lift, brine or landing common cause reaches another caisson.</x:v>
      </x:c>
      <x:c r="F16" s="62" t="str">
        <x:v>Caisson survival cannot imply sustainable reservoir or source authority.</x:v>
      </x:c>
      <x:c r="G16" s="62" t="str">
        <x:v>LF-B-C-E1</x:v>
      </x:c>
      <x:c r="H16" s="63" t="n">
        <x:f>COUNTIF('Evidence Domains'!$B$5:$B$112,A16)</x:f>
        <x:v>6</x:v>
      </x:c>
      <x:c r="I16" s="63" t="n">
        <x:f>COUNTIFS('Evidence Domains'!$B$5:$B$112,A16,'Evidence Domains'!$K$5:$K$112,"PASS")</x:f>
        <x:v>0</x:v>
      </x:c>
      <x:c r="J16" s="63" t="n">
        <x:f>COUNTIFS('Evidence Domains'!$B$5:$B$112,A16,'Evidence Domains'!$K$5:$K$112,"FAIL")</x:f>
        <x:v>0</x:v>
      </x:c>
      <x:c r="K16" s="63" t="n">
        <x:f>COUNTIFS('Evidence Domains'!$B$5:$B$112,A16,'Evidence Domains'!$K$5:$K$112,"HOLD")</x:f>
        <x:v>0</x:v>
      </x:c>
      <x:c r="L16" s="63" t="n">
        <x:f>COUNTIFS('Evidence Domains'!$B$5:$B$112,A16,'Evidence Domains'!$K$5:$K$112,"UNTRIED")</x:f>
        <x:v>6</x:v>
      </x:c>
      <x:c r="M16" s="63" t="n">
        <x:f>SUMIFS('Evidence Domains'!$I$5:$I$112,'Evidence Domains'!$B$5:$B$112,A16)</x:f>
        <x:v>0</x:v>
      </x:c>
      <x:c r="N16" s="63" t="n">
        <x:f>COUNTIF($A$5:$A$22,A16)</x:f>
        <x:v>1</x:v>
      </x:c>
      <x:c r="O16" s="63" t="n">
        <x:v>0</x:v>
      </x:c>
      <x:c r="P16" s="63" t="n">
        <x:v>0</x:v>
      </x:c>
      <x:c r="Q16" s="62" t="str">
        <x:f>IF(J16&gt;0,"WITHDRAW",IF(K16&gt;0,"HOLD",IF(AND(I16=6,M16=6),"SURVIVOR","UNTRIED")))</x:f>
        <x:v>UNTRIED</x:v>
      </x:c>
      <x:c r="R16" s="62" t="str">
        <x:f>IF(P16=1,IF(AND(Q16="SURVIVOR",O16=1),"SELECTED","INVALID"),IF(O16=1,"WARRANT HELD",Q16))</x:f>
        <x:v>UNTRIED</x:v>
      </x:c>
      <x:c r="S16" s="62" t="str">
        <x:v>COVENANT / UNSELECTED</x:v>
      </x:c>
    </x:row>
    <x:row r="17">
      <x:c r="A17" s="62" t="str">
        <x:v>HU-A-A</x:v>
      </x:c>
      <x:c r="B17" s="62" t="str">
        <x:v>HU-A</x:v>
      </x:c>
      <x:c r="C17" s="62" t="str">
        <x:v>Utility-separated clinical courtyards</x:v>
      </x:c>
      <x:c r="D17" s="62" t="str">
        <x:v>Contaminate one courtyard utility set and deny its relationship ledger.</x:v>
      </x:c>
      <x:c r="E17" s="62" t="str">
        <x:v>Sterile-dirty fault crosses courts, or any accepted episode loses lawful disposition.</x:v>
      </x:c>
      <x:c r="F17" s="62" t="str">
        <x:v>Bed or episode count cannot imply relationship continuity or clinical acceptance.</x:v>
      </x:c>
      <x:c r="G17" s="62" t="str">
        <x:v>HU-A-A-E1</x:v>
      </x:c>
      <x:c r="H17" s="63" t="n">
        <x:f>COUNTIF('Evidence Domains'!$B$5:$B$112,A17)</x:f>
        <x:v>6</x:v>
      </x:c>
      <x:c r="I17" s="63" t="n">
        <x:f>COUNTIFS('Evidence Domains'!$B$5:$B$112,A17,'Evidence Domains'!$K$5:$K$112,"PASS")</x:f>
        <x:v>0</x:v>
      </x:c>
      <x:c r="J17" s="63" t="n">
        <x:f>COUNTIFS('Evidence Domains'!$B$5:$B$112,A17,'Evidence Domains'!$K$5:$K$112,"FAIL")</x:f>
        <x:v>0</x:v>
      </x:c>
      <x:c r="K17" s="63" t="n">
        <x:f>COUNTIFS('Evidence Domains'!$B$5:$B$112,A17,'Evidence Domains'!$K$5:$K$112,"HOLD")</x:f>
        <x:v>0</x:v>
      </x:c>
      <x:c r="L17" s="63" t="n">
        <x:f>COUNTIFS('Evidence Domains'!$B$5:$B$112,A17,'Evidence Domains'!$K$5:$K$112,"UNTRIED")</x:f>
        <x:v>6</x:v>
      </x:c>
      <x:c r="M17" s="63" t="n">
        <x:f>SUMIFS('Evidence Domains'!$I$5:$I$112,'Evidence Domains'!$B$5:$B$112,A17)</x:f>
        <x:v>0</x:v>
      </x:c>
      <x:c r="N17" s="63" t="n">
        <x:f>COUNTIF($A$5:$A$22,A17)</x:f>
        <x:v>1</x:v>
      </x:c>
      <x:c r="O17" s="63" t="n">
        <x:v>0</x:v>
      </x:c>
      <x:c r="P17" s="63" t="n">
        <x:v>0</x:v>
      </x:c>
      <x:c r="Q17" s="62" t="str">
        <x:f>IF(J17&gt;0,"WITHDRAW",IF(K17&gt;0,"HOLD",IF(AND(I17=6,M17=6),"SURVIVOR","UNTRIED")))</x:f>
        <x:v>UNTRIED</x:v>
      </x:c>
      <x:c r="R17" s="62" t="str">
        <x:f>IF(P17=1,IF(AND(Q17="SURVIVOR",O17=1),"SELECTED","INVALID"),IF(O17=1,"WARRANT HELD",Q17))</x:f>
        <x:v>UNTRIED</x:v>
      </x:c>
      <x:c r="S17" s="62" t="str">
        <x:v>COVENANT / UNSELECTED</x:v>
      </x:c>
    </x:row>
    <x:row r="18">
      <x:c r="A18" s="62" t="str">
        <x:v>HU-A-B</x:v>
      </x:c>
      <x:c r="B18" s="62" t="str">
        <x:v>HU-A</x:v>
      </x:c>
      <x:c r="C18" s="62" t="str">
        <x:v>Sectional bypassed care spine</x:v>
      </x:c>
      <x:c r="D18" s="62" t="str">
        <x:v>Block one spine section and one bypass under active ten-line care.</x:v>
      </x:c>
      <x:c r="E18" s="62" t="str">
        <x:v>The remaining bypass cannot carry every indivisible care line, or contamination crosses.</x:v>
      </x:c>
      <x:c r="F18" s="62" t="str">
        <x:v>Throughput cannot offset a missing care line or authorize clinical production.</x:v>
      </x:c>
      <x:c r="G18" s="62" t="str">
        <x:v>HU-A-B-E1</x:v>
      </x:c>
      <x:c r="H18" s="63" t="n">
        <x:f>COUNTIF('Evidence Domains'!$B$5:$B$112,A18)</x:f>
        <x:v>6</x:v>
      </x:c>
      <x:c r="I18" s="63" t="n">
        <x:f>COUNTIFS('Evidence Domains'!$B$5:$B$112,A18,'Evidence Domains'!$K$5:$K$112,"PASS")</x:f>
        <x:v>0</x:v>
      </x:c>
      <x:c r="J18" s="63" t="n">
        <x:f>COUNTIFS('Evidence Domains'!$B$5:$B$112,A18,'Evidence Domains'!$K$5:$K$112,"FAIL")</x:f>
        <x:v>0</x:v>
      </x:c>
      <x:c r="K18" s="63" t="n">
        <x:f>COUNTIFS('Evidence Domains'!$B$5:$B$112,A18,'Evidence Domains'!$K$5:$K$112,"HOLD")</x:f>
        <x:v>0</x:v>
      </x:c>
      <x:c r="L18" s="63" t="n">
        <x:f>COUNTIFS('Evidence Domains'!$B$5:$B$112,A18,'Evidence Domains'!$K$5:$K$112,"UNTRIED")</x:f>
        <x:v>6</x:v>
      </x:c>
      <x:c r="M18" s="63" t="n">
        <x:f>SUMIFS('Evidence Domains'!$I$5:$I$112,'Evidence Domains'!$B$5:$B$112,A18)</x:f>
        <x:v>0</x:v>
      </x:c>
      <x:c r="N18" s="63" t="n">
        <x:f>COUNTIF($A$5:$A$22,A18)</x:f>
        <x:v>1</x:v>
      </x:c>
      <x:c r="O18" s="63" t="n">
        <x:v>0</x:v>
      </x:c>
      <x:c r="P18" s="63" t="n">
        <x:v>0</x:v>
      </x:c>
      <x:c r="Q18" s="62" t="str">
        <x:f>IF(J18&gt;0,"WITHDRAW",IF(K18&gt;0,"HOLD",IF(AND(I18=6,M18=6),"SURVIVOR","UNTRIED")))</x:f>
        <x:v>UNTRIED</x:v>
      </x:c>
      <x:c r="R18" s="62" t="str">
        <x:f>IF(P18=1,IF(AND(Q18="SURVIVOR",O18=1),"SELECTED","INVALID"),IF(O18=1,"WARRANT HELD",Q18))</x:f>
        <x:v>UNTRIED</x:v>
      </x:c>
      <x:c r="S18" s="62" t="str">
        <x:v>COVENANT / UNSELECTED</x:v>
      </x:c>
    </x:row>
    <x:row r="19">
      <x:c r="A19" s="62" t="str">
        <x:v>HU-A-C</x:v>
      </x:c>
      <x:c r="B19" s="62" t="str">
        <x:v>HU-A</x:v>
      </x:c>
      <x:c r="C19" s="62" t="str">
        <x:v>Paired clinical metabolism towers</x:v>
      </x:c>
      <x:c r="D19" s="62" t="str">
        <x:v>Remove all municipal services from one tower and fault one vertical-circulation family.</x:v>
      </x:c>
      <x:c r="E19" s="62" t="str">
        <x:v>The other tower shares foundation, utility, access or control, or cannot preserve complete care.</x:v>
      </x:c>
      <x:c r="F19" s="62" t="str">
        <x:v>One-tower uptime cannot imply paired independence or clinical acceptance.</x:v>
      </x:c>
      <x:c r="G19" s="62" t="str">
        <x:v>HU-A-C-E1</x:v>
      </x:c>
      <x:c r="H19" s="63" t="n">
        <x:f>COUNTIF('Evidence Domains'!$B$5:$B$112,A19)</x:f>
        <x:v>6</x:v>
      </x:c>
      <x:c r="I19" s="63" t="n">
        <x:f>COUNTIFS('Evidence Domains'!$B$5:$B$112,A19,'Evidence Domains'!$K$5:$K$112,"PASS")</x:f>
        <x:v>0</x:v>
      </x:c>
      <x:c r="J19" s="63" t="n">
        <x:f>COUNTIFS('Evidence Domains'!$B$5:$B$112,A19,'Evidence Domains'!$K$5:$K$112,"FAIL")</x:f>
        <x:v>0</x:v>
      </x:c>
      <x:c r="K19" s="63" t="n">
        <x:f>COUNTIFS('Evidence Domains'!$B$5:$B$112,A19,'Evidence Domains'!$K$5:$K$112,"HOLD")</x:f>
        <x:v>0</x:v>
      </x:c>
      <x:c r="L19" s="63" t="n">
        <x:f>COUNTIFS('Evidence Domains'!$B$5:$B$112,A19,'Evidence Domains'!$K$5:$K$112,"UNTRIED")</x:f>
        <x:v>6</x:v>
      </x:c>
      <x:c r="M19" s="63" t="n">
        <x:f>SUMIFS('Evidence Domains'!$I$5:$I$112,'Evidence Domains'!$B$5:$B$112,A19)</x:f>
        <x:v>0</x:v>
      </x:c>
      <x:c r="N19" s="63" t="n">
        <x:f>COUNTIF($A$5:$A$22,A19)</x:f>
        <x:v>1</x:v>
      </x:c>
      <x:c r="O19" s="63" t="n">
        <x:v>0</x:v>
      </x:c>
      <x:c r="P19" s="63" t="n">
        <x:v>0</x:v>
      </x:c>
      <x:c r="Q19" s="62" t="str">
        <x:f>IF(J19&gt;0,"WITHDRAW",IF(K19&gt;0,"HOLD",IF(AND(I19=6,M19=6),"SURVIVOR","UNTRIED")))</x:f>
        <x:v>UNTRIED</x:v>
      </x:c>
      <x:c r="R19" s="62" t="str">
        <x:f>IF(P19=1,IF(AND(Q19="SURVIVOR",O19=1),"SELECTED","INVALID"),IF(O19=1,"WARRANT HELD",Q19))</x:f>
        <x:v>UNTRIED</x:v>
      </x:c>
      <x:c r="S19" s="62" t="str">
        <x:v>COVENANT / UNSELECTED</x:v>
      </x:c>
    </x:row>
    <x:row r="20">
      <x:c r="A20" s="62" t="str">
        <x:v>RT-B-A</x:v>
      </x:c>
      <x:c r="B20" s="62" t="str">
        <x:v>RT-B</x:v>
      </x:c>
      <x:c r="C20" s="62" t="str">
        <x:v>Distributed container process mesh</x:v>
      </x:c>
      <x:c r="D20" s="62" t="str">
        <x:v>Remove one complete mesh and corrupt ancestry in another node.</x:v>
      </x:c>
      <x:c r="E20" s="62" t="str">
        <x:v>Signed release persists despite broken ancestry, or a critical class cannot be reproduced independently.</x:v>
      </x:c>
      <x:c r="F20" s="62" t="str">
        <x:v>A fabricated part cannot imply qualified release or industrial readiness.</x:v>
      </x:c>
      <x:c r="G20" s="62" t="str">
        <x:v>RT-B-A-E1</x:v>
      </x:c>
      <x:c r="H20" s="63" t="n">
        <x:f>COUNTIF('Evidence Domains'!$B$5:$B$112,A20)</x:f>
        <x:v>6</x:v>
      </x:c>
      <x:c r="I20" s="63" t="n">
        <x:f>COUNTIFS('Evidence Domains'!$B$5:$B$112,A20,'Evidence Domains'!$K$5:$K$112,"PASS")</x:f>
        <x:v>0</x:v>
      </x:c>
      <x:c r="J20" s="63" t="n">
        <x:f>COUNTIFS('Evidence Domains'!$B$5:$B$112,A20,'Evidence Domains'!$K$5:$K$112,"FAIL")</x:f>
        <x:v>0</x:v>
      </x:c>
      <x:c r="K20" s="63" t="n">
        <x:f>COUNTIFS('Evidence Domains'!$B$5:$B$112,A20,'Evidence Domains'!$K$5:$K$112,"HOLD")</x:f>
        <x:v>0</x:v>
      </x:c>
      <x:c r="L20" s="63" t="n">
        <x:f>COUNTIFS('Evidence Domains'!$B$5:$B$112,A20,'Evidence Domains'!$K$5:$K$112,"UNTRIED")</x:f>
        <x:v>6</x:v>
      </x:c>
      <x:c r="M20" s="63" t="n">
        <x:f>SUMIFS('Evidence Domains'!$I$5:$I$112,'Evidence Domains'!$B$5:$B$112,A20)</x:f>
        <x:v>0</x:v>
      </x:c>
      <x:c r="N20" s="63" t="n">
        <x:f>COUNTIF($A$5:$A$22,A20)</x:f>
        <x:v>1</x:v>
      </x:c>
      <x:c r="O20" s="63" t="n">
        <x:v>0</x:v>
      </x:c>
      <x:c r="P20" s="63" t="n">
        <x:v>0</x:v>
      </x:c>
      <x:c r="Q20" s="62" t="str">
        <x:f>IF(J20&gt;0,"WITHDRAW",IF(K20&gt;0,"HOLD",IF(AND(I20=6,M20=6),"SURVIVOR","UNTRIED")))</x:f>
        <x:v>UNTRIED</x:v>
      </x:c>
      <x:c r="R20" s="62" t="str">
        <x:f>IF(P20=1,IF(AND(Q20="SURVIVOR",O20=1),"SELECTED","INVALID"),IF(O20=1,"WARRANT HELD",Q20))</x:f>
        <x:v>UNTRIED</x:v>
      </x:c>
      <x:c r="S20" s="62" t="str">
        <x:v>COVENANT / UNSELECTED</x:v>
      </x:c>
    </x:row>
    <x:row r="21">
      <x:c r="A21" s="62" t="str">
        <x:v>RT-B-B</x:v>
      </x:c>
      <x:c r="B21" s="62" t="str">
        <x:v>RT-B</x:v>
      </x:c>
      <x:c r="C21" s="62" t="str">
        <x:v>Five-petal independent clean-core ring</x:v>
      </x:c>
      <x:c r="D21" s="62" t="str">
        <x:v>Contaminate the nondecisive centre and disable one petal.</x:v>
      </x:c>
      <x:c r="E21" s="62" t="str">
        <x:v>Any surviving petal needs centre utility, metrology or process state.</x:v>
      </x:c>
      <x:c r="F21" s="62" t="str">
        <x:v>Centre availability cannot count toward petal independence or release authority.</x:v>
      </x:c>
      <x:c r="G21" s="62" t="str">
        <x:v>RT-B-B-E1</x:v>
      </x:c>
      <x:c r="H21" s="63" t="n">
        <x:f>COUNTIF('Evidence Domains'!$B$5:$B$112,A21)</x:f>
        <x:v>6</x:v>
      </x:c>
      <x:c r="I21" s="63" t="n">
        <x:f>COUNTIFS('Evidence Domains'!$B$5:$B$112,A21,'Evidence Domains'!$K$5:$K$112,"PASS")</x:f>
        <x:v>0</x:v>
      </x:c>
      <x:c r="J21" s="63" t="n">
        <x:f>COUNTIFS('Evidence Domains'!$B$5:$B$112,A21,'Evidence Domains'!$K$5:$K$112,"FAIL")</x:f>
        <x:v>0</x:v>
      </x:c>
      <x:c r="K21" s="63" t="n">
        <x:f>COUNTIFS('Evidence Domains'!$B$5:$B$112,A21,'Evidence Domains'!$K$5:$K$112,"HOLD")</x:f>
        <x:v>0</x:v>
      </x:c>
      <x:c r="L21" s="63" t="n">
        <x:f>COUNTIFS('Evidence Domains'!$B$5:$B$112,A21,'Evidence Domains'!$K$5:$K$112,"UNTRIED")</x:f>
        <x:v>6</x:v>
      </x:c>
      <x:c r="M21" s="63" t="n">
        <x:f>SUMIFS('Evidence Domains'!$I$5:$I$112,'Evidence Domains'!$B$5:$B$112,A21)</x:f>
        <x:v>0</x:v>
      </x:c>
      <x:c r="N21" s="63" t="n">
        <x:f>COUNTIF($A$5:$A$22,A21)</x:f>
        <x:v>1</x:v>
      </x:c>
      <x:c r="O21" s="63" t="n">
        <x:v>0</x:v>
      </x:c>
      <x:c r="P21" s="63" t="n">
        <x:v>0</x:v>
      </x:c>
      <x:c r="Q21" s="62" t="str">
        <x:f>IF(J21&gt;0,"WITHDRAW",IF(K21&gt;0,"HOLD",IF(AND(I21=6,M21=6),"SURVIVOR","UNTRIED")))</x:f>
        <x:v>UNTRIED</x:v>
      </x:c>
      <x:c r="R21" s="62" t="str">
        <x:f>IF(P21=1,IF(AND(Q21="SURVIVOR",O21=1),"SELECTED","INVALID"),IF(O21=1,"WARRANT HELD",Q21))</x:f>
        <x:v>UNTRIED</x:v>
      </x:c>
      <x:c r="S21" s="62" t="str">
        <x:v>COVENANT / UNSELECTED</x:v>
      </x:c>
    </x:row>
    <x:row r="22">
      <x:c r="A22" s="64" t="str">
        <x:v>RT-B-C</x:v>
      </x:c>
      <x:c r="B22" s="64" t="str">
        <x:v>RT-B</x:v>
      </x:c>
      <x:c r="C22" s="64" t="str">
        <x:v>Parallel mobile microfactory trainlets</x:v>
      </x:c>
      <x:c r="D22" s="64" t="str">
        <x:v>Isolate one trainlet, deny vendor keys and network, and remove its largest energy cell.</x:v>
      </x:c>
      <x:c r="E22" s="64" t="str">
        <x:v>The trainlet cannot reproduce a critical class and requalify within 168 h.</x:v>
      </x:c>
      <x:c r="F22" s="64" t="str">
        <x:v>Transportability cannot imply complete cold reconstruction or qualified release.</x:v>
      </x:c>
      <x:c r="G22" s="64" t="str">
        <x:v>RT-B-C-E1</x:v>
      </x:c>
      <x:c r="H22" s="71" t="n">
        <x:f>COUNTIF('Evidence Domains'!$B$5:$B$112,A22)</x:f>
        <x:v>6</x:v>
      </x:c>
      <x:c r="I22" s="71" t="n">
        <x:f>COUNTIFS('Evidence Domains'!$B$5:$B$112,A22,'Evidence Domains'!$K$5:$K$112,"PASS")</x:f>
        <x:v>0</x:v>
      </x:c>
      <x:c r="J22" s="71" t="n">
        <x:f>COUNTIFS('Evidence Domains'!$B$5:$B$112,A22,'Evidence Domains'!$K$5:$K$112,"FAIL")</x:f>
        <x:v>0</x:v>
      </x:c>
      <x:c r="K22" s="71" t="n">
        <x:f>COUNTIFS('Evidence Domains'!$B$5:$B$112,A22,'Evidence Domains'!$K$5:$K$112,"HOLD")</x:f>
        <x:v>0</x:v>
      </x:c>
      <x:c r="L22" s="71" t="n">
        <x:f>COUNTIFS('Evidence Domains'!$B$5:$B$112,A22,'Evidence Domains'!$K$5:$K$112,"UNTRIED")</x:f>
        <x:v>6</x:v>
      </x:c>
      <x:c r="M22" s="71" t="n">
        <x:f>SUMIFS('Evidence Domains'!$I$5:$I$112,'Evidence Domains'!$B$5:$B$112,A22)</x:f>
        <x:v>0</x:v>
      </x:c>
      <x:c r="N22" s="71" t="n">
        <x:f>COUNTIF($A$5:$A$22,A22)</x:f>
        <x:v>1</x:v>
      </x:c>
      <x:c r="O22" s="71" t="n">
        <x:v>0</x:v>
      </x:c>
      <x:c r="P22" s="71" t="n">
        <x:v>0</x:v>
      </x:c>
      <x:c r="Q22" s="64" t="str">
        <x:f>IF(J22&gt;0,"WITHDRAW",IF(K22&gt;0,"HOLD",IF(AND(I22=6,M22=6),"SURVIVOR","UNTRIED")))</x:f>
        <x:v>UNTRIED</x:v>
      </x:c>
      <x:c r="R22" s="64" t="str">
        <x:f>IF(P22=1,IF(AND(Q22="SURVIVOR",O22=1),"SELECTED","INVALID"),IF(O22=1,"WARRANT HELD",Q22))</x:f>
        <x:v>UNTRIED</x:v>
      </x:c>
      <x:c r="S22" s="64" t="str">
        <x:v>COVENANT / UNSELECTED</x:v>
      </x:c>
    </x:row>
  </x:sheetData>
  <x:mergeCells>
    <x:mergeCell ref="A2:S2"/>
  </x:mergeCells>
  <x:conditionalFormatting sqref="Q5:R22">
    <x:cfRule type="containsText" dxfId="1" priority="1" operator="containsText" text="INVALI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8" hidden="0" customWidth="1"/>
    <x:col min="2" max="2" width="16" hidden="0" customWidth="1"/>
    <x:col min="3" max="3" width="10" hidden="0" customWidth="1"/>
    <x:col min="4" max="4" width="18" hidden="0" customWidth="1"/>
    <x:col min="5" max="5" width="35" hidden="0" customWidth="1"/>
    <x:col min="6" max="6" width="66" hidden="0" customWidth="1"/>
    <x:col min="7" max="7" width="18" hidden="0" customWidth="1"/>
    <x:col min="8" max="8" width="26" hidden="0" customWidth="1"/>
    <x:col min="9" max="9" width="13" hidden="0" customWidth="1"/>
    <x:col min="10" max="10" width="13" hidden="0" customWidth="1"/>
    <x:col min="11" max="11" width="16" hidden="0" customWidth="1"/>
    <x:col min="12" max="12" width="24" hidden="0" customWidth="1"/>
    <x:col min="13" max="13" width="20" hidden="0" customWidth="1"/>
    <x:col min="14" max="14" width="35" hidden="0" customWidth="1"/>
  </x:cols>
  <x:sheetData>
    <x:row r="2">
      <x:c r="A2" s="56" t="str">
        <x:v>Six noncompensatory evidence domains for each form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  <x:c r="M3" s="58"/>
      <x:c r="N3" s="58"/>
    </x:row>
    <x:row r="4" ht="32" customHeight="1">
      <x:c r="A4" s="14" t="str">
        <x:v>Evidence record</x:v>
      </x:c>
      <x:c r="B4" s="15" t="str">
        <x:v>Form</x:v>
      </x:c>
      <x:c r="C4" s="15" t="str">
        <x:v>Root</x:v>
      </x:c>
      <x:c r="D4" s="15" t="str">
        <x:v>Domain code</x:v>
      </x:c>
      <x:c r="E4" s="15" t="str">
        <x:v>Domain</x:v>
      </x:c>
      <x:c r="F4" s="15" t="str">
        <x:v>Required evidence</x:v>
      </x:c>
      <x:c r="G4" s="15" t="str">
        <x:v>Observed result</x:v>
      </x:c>
      <x:c r="H4" s="15" t="str">
        <x:v>Accepting authority</x:v>
      </x:c>
      <x:c r="I4" s="15" t="str">
        <x:v>Accepted</x:v>
      </x:c>
      <x:c r="J4" s="15" t="str">
        <x:v>Admissible</x:v>
      </x:c>
      <x:c r="K4" s="15" t="str">
        <x:v>Domain state</x:v>
      </x:c>
      <x:c r="L4" s="15" t="str">
        <x:v>Form-domain occurrences</x:v>
      </x:c>
      <x:c r="M4" s="15" t="str">
        <x:v>Record occurrences</x:v>
      </x:c>
      <x:c r="N4" s="16" t="str">
        <x:v>Authority limit</x:v>
      </x:c>
    </x:row>
    <x:row r="5">
      <x:c r="A5" s="59" t="str">
        <x:v>ET-A-A-CAUSAL</x:v>
      </x:c>
      <x:c r="B5" s="59" t="str">
        <x:v>ET-A-A</x:v>
      </x:c>
      <x:c r="C5" s="59" t="str">
        <x:v>ET-A</x:v>
      </x:c>
      <x:c r="D5" s="59" t="str">
        <x:v>CAUSAL</x:v>
      </x:c>
      <x:c r="E5" s="59" t="str">
        <x:v>Causal effect / denominator</x:v>
      </x:c>
      <x:c r="F5" s="59" t="str">
        <x:v>A bounded denominator and attributable mission effect under the destructive event.</x:v>
      </x:c>
      <x:c r="G5" s="59" t="str">
        <x:v>UNTRIED</x:v>
      </x:c>
      <x:c r="H5" s="59"/>
      <x:c r="I5" s="60" t="n">
        <x:v>0</x:v>
      </x:c>
      <x:c r="J5" s="60" t="n">
        <x:v>0</x:v>
      </x:c>
      <x:c r="K5" s="59" t="str">
        <x:f>IF(OR(I5=0,J5=0,H5=""),"UNTRIED",IF(G5="PASS","PASS",IF(G5="FAIL","FAIL","HOLD")))</x:f>
        <x:v>UNTRIED</x:v>
      </x:c>
      <x:c r="L5" s="59" t="n">
        <x:f>COUNTIFS($B$5:$B$112,B5,$D$5:$D$112,D5)</x:f>
        <x:v>1</x:v>
      </x:c>
      <x:c r="M5" s="59" t="n">
        <x:f>COUNTIF($A$5:$A$112,A5)</x:f>
        <x:v>1</x:v>
      </x:c>
      <x:c r="N5" s="59" t="str">
        <x:v>No accepted evidence exists</x:v>
      </x:c>
    </x:row>
    <x:row r="6">
      <x:c r="A6" s="62" t="str">
        <x:v>ET-A-A-INDEPENDENCE</x:v>
      </x:c>
      <x:c r="B6" s="62" t="str">
        <x:v>ET-A-A</x:v>
      </x:c>
      <x:c r="C6" s="62" t="str">
        <x:v>ET-A</x:v>
      </x:c>
      <x:c r="D6" s="62" t="str">
        <x:v>INDEPENDENCE</x:v>
      </x:c>
      <x:c r="E6" s="62" t="str">
        <x:v>Largest-cell-loss independence</x:v>
      </x:c>
      <x:c r="F6" s="62" t="str">
        <x:v>The surviving article retains its root lower bound without hidden common cause.</x:v>
      </x:c>
      <x:c r="G6" s="62" t="str">
        <x:v>UNTRIED</x:v>
      </x:c>
      <x:c r="H6" s="62"/>
      <x:c r="I6" s="63" t="n">
        <x:v>0</x:v>
      </x:c>
      <x:c r="J6" s="63" t="n">
        <x:v>0</x:v>
      </x:c>
      <x:c r="K6" s="62" t="str">
        <x:f>IF(OR(I6=0,J6=0,H6=""),"UNTRIED",IF(G6="PASS","PASS",IF(G6="FAIL","FAIL","HOLD")))</x:f>
        <x:v>UNTRIED</x:v>
      </x:c>
      <x:c r="L6" s="62" t="n">
        <x:f>COUNTIFS($B$5:$B$112,B6,$D$5:$D$112,D6)</x:f>
        <x:v>1</x:v>
      </x:c>
      <x:c r="M6" s="62" t="n">
        <x:f>COUNTIF($A$5:$A$112,A6)</x:f>
        <x:v>1</x:v>
      </x:c>
      <x:c r="N6" s="62" t="str">
        <x:v>No accepted evidence exists</x:v>
      </x:c>
    </x:row>
    <x:row r="7">
      <x:c r="A7" s="62" t="str">
        <x:v>ET-A-A-SAFE-RIGHTS</x:v>
      </x:c>
      <x:c r="B7" s="62" t="str">
        <x:v>ET-A-A</x:v>
      </x:c>
      <x:c r="C7" s="62" t="str">
        <x:v>ET-A</x:v>
      </x:c>
      <x:c r="D7" s="62" t="str">
        <x:v>SAFE-RIGHTS</x:v>
      </x:c>
      <x:c r="E7" s="62" t="str">
        <x:v>Safe state / rights</x:v>
      </x:c>
      <x:c r="F7" s="62" t="str">
        <x:v>Physical safeing preserves consent, access, due process and protected populations.</x:v>
      </x:c>
      <x:c r="G7" s="62" t="str">
        <x:v>UNTRIED</x:v>
      </x:c>
      <x:c r="H7" s="62"/>
      <x:c r="I7" s="63" t="n">
        <x:v>0</x:v>
      </x:c>
      <x:c r="J7" s="63" t="n">
        <x:v>0</x:v>
      </x:c>
      <x:c r="K7" s="62" t="str">
        <x:f>IF(OR(I7=0,J7=0,H7=""),"UNTRIED",IF(G7="PASS","PASS",IF(G7="FAIL","FAIL","HOLD")))</x:f>
        <x:v>UNTRIED</x:v>
      </x:c>
      <x:c r="L7" s="62" t="n">
        <x:f>COUNTIFS($B$5:$B$112,B7,$D$5:$D$112,D7)</x:f>
        <x:v>1</x:v>
      </x:c>
      <x:c r="M7" s="62" t="n">
        <x:f>COUNTIF($A$5:$A$112,A7)</x:f>
        <x:v>1</x:v>
      </x:c>
      <x:c r="N7" s="62" t="str">
        <x:v>No accepted evidence exists</x:v>
      </x:c>
    </x:row>
    <x:row r="8">
      <x:c r="A8" s="62" t="str">
        <x:v>ET-A-A-RESIDUAL</x:v>
      </x:c>
      <x:c r="B8" s="62" t="str">
        <x:v>ET-A-A</x:v>
      </x:c>
      <x:c r="C8" s="62" t="str">
        <x:v>ET-A</x:v>
      </x:c>
      <x:c r="D8" s="62" t="str">
        <x:v>RESIDUAL</x:v>
      </x:c>
      <x:c r="E8" s="62" t="str">
        <x:v>Residual custody</x:v>
      </x:c>
      <x:c r="F8" s="62" t="str">
        <x:v>Mass, energy, contamination, waste and disposition reconcile after the event.</x:v>
      </x:c>
      <x:c r="G8" s="62" t="str">
        <x:v>UNTRIED</x:v>
      </x:c>
      <x:c r="H8" s="62"/>
      <x:c r="I8" s="63" t="n">
        <x:v>0</x:v>
      </x:c>
      <x:c r="J8" s="63" t="n">
        <x:v>0</x:v>
      </x:c>
      <x:c r="K8" s="62" t="str">
        <x:f>IF(OR(I8=0,J8=0,H8=""),"UNTRIED",IF(G8="PASS","PASS",IF(G8="FAIL","FAIL","HOLD")))</x:f>
        <x:v>UNTRIED</x:v>
      </x:c>
      <x:c r="L8" s="62" t="n">
        <x:f>COUNTIFS($B$5:$B$112,B8,$D$5:$D$112,D8)</x:f>
        <x:v>1</x:v>
      </x:c>
      <x:c r="M8" s="62" t="n">
        <x:f>COUNTIF($A$5:$A$112,A8)</x:f>
        <x:v>1</x:v>
      </x:c>
      <x:c r="N8" s="62" t="str">
        <x:v>No accepted evidence exists</x:v>
      </x:c>
    </x:row>
    <x:row r="9">
      <x:c r="A9" s="62" t="str">
        <x:v>ET-A-A-RECON</x:v>
      </x:c>
      <x:c r="B9" s="62" t="str">
        <x:v>ET-A-A</x:v>
      </x:c>
      <x:c r="C9" s="62" t="str">
        <x:v>ET-A</x:v>
      </x:c>
      <x:c r="D9" s="62" t="str">
        <x:v>RECON</x:v>
      </x:c>
      <x:c r="E9" s="62" t="str">
        <x:v>Cold reconstruction / ancestry</x:v>
      </x:c>
      <x:c r="F9" s="62" t="str">
        <x:v>A clean team reconstructs the decisive function from sealed public records and held inventory.</x:v>
      </x:c>
      <x:c r="G9" s="62" t="str">
        <x:v>UNTRIED</x:v>
      </x:c>
      <x:c r="H9" s="62"/>
      <x:c r="I9" s="63" t="n">
        <x:v>0</x:v>
      </x:c>
      <x:c r="J9" s="63" t="n">
        <x:v>0</x:v>
      </x:c>
      <x:c r="K9" s="62" t="str">
        <x:f>IF(OR(I9=0,J9=0,H9=""),"UNTRIED",IF(G9="PASS","PASS",IF(G9="FAIL","FAIL","HOLD")))</x:f>
        <x:v>UNTRIED</x:v>
      </x:c>
      <x:c r="L9" s="62" t="n">
        <x:f>COUNTIFS($B$5:$B$112,B9,$D$5:$D$112,D9)</x:f>
        <x:v>1</x:v>
      </x:c>
      <x:c r="M9" s="62" t="n">
        <x:f>COUNTIF($A$5:$A$112,A9)</x:f>
        <x:v>1</x:v>
      </x:c>
      <x:c r="N9" s="62" t="str">
        <x:v>No accepted evidence exists</x:v>
      </x:c>
    </x:row>
    <x:row r="10">
      <x:c r="A10" s="62" t="str">
        <x:v>ET-A-A-RECEIVER</x:v>
      </x:c>
      <x:c r="B10" s="62" t="str">
        <x:v>ET-A-A</x:v>
      </x:c>
      <x:c r="C10" s="62" t="str">
        <x:v>ET-A</x:v>
      </x:c>
      <x:c r="D10" s="62" t="str">
        <x:v>RECEIVER</x:v>
      </x:c>
      <x:c r="E10" s="62" t="str">
        <x:v>Receiver-compatible completion</x:v>
      </x:c>
      <x:c r="F10" s="62" t="str">
        <x:v>The receiving system accepts the delivered mission state without hidden external completion.</x:v>
      </x:c>
      <x:c r="G10" s="62" t="str">
        <x:v>UNTRIED</x:v>
      </x:c>
      <x:c r="H10" s="62"/>
      <x:c r="I10" s="63" t="n">
        <x:v>0</x:v>
      </x:c>
      <x:c r="J10" s="63" t="n">
        <x:v>0</x:v>
      </x:c>
      <x:c r="K10" s="62" t="str">
        <x:f>IF(OR(I10=0,J10=0,H10=""),"UNTRIED",IF(G10="PASS","PASS",IF(G10="FAIL","FAIL","HOLD")))</x:f>
        <x:v>UNTRIED</x:v>
      </x:c>
      <x:c r="L10" s="62" t="n">
        <x:f>COUNTIFS($B$5:$B$112,B10,$D$5:$D$112,D10)</x:f>
        <x:v>1</x:v>
      </x:c>
      <x:c r="M10" s="62" t="n">
        <x:f>COUNTIF($A$5:$A$112,A10)</x:f>
        <x:v>1</x:v>
      </x:c>
      <x:c r="N10" s="62" t="str">
        <x:v>No accepted evidence exists</x:v>
      </x:c>
    </x:row>
    <x:row r="11">
      <x:c r="A11" s="62" t="str">
        <x:v>ET-A-B-CAUSAL</x:v>
      </x:c>
      <x:c r="B11" s="62" t="str">
        <x:v>ET-A-B</x:v>
      </x:c>
      <x:c r="C11" s="62" t="str">
        <x:v>ET-A</x:v>
      </x:c>
      <x:c r="D11" s="62" t="str">
        <x:v>CAUSAL</x:v>
      </x:c>
      <x:c r="E11" s="62" t="str">
        <x:v>Causal effect / denominator</x:v>
      </x:c>
      <x:c r="F11" s="62" t="str">
        <x:v>A bounded denominator and attributable mission effect under the destructive event.</x:v>
      </x:c>
      <x:c r="G11" s="62" t="str">
        <x:v>UNTRIED</x:v>
      </x:c>
      <x:c r="H11" s="62" t="str"/>
      <x:c r="I11" s="63" t="n">
        <x:v>0</x:v>
      </x:c>
      <x:c r="J11" s="63" t="n">
        <x:v>0</x:v>
      </x:c>
      <x:c r="K11" s="62" t="str">
        <x:f>IF(OR(I11=0,J11=0,H11=""),"UNTRIED",IF(G11="PASS","PASS",IF(G11="FAIL","FAIL","HOLD")))</x:f>
        <x:v>UNTRIED</x:v>
      </x:c>
      <x:c r="L11" s="62" t="n">
        <x:f>COUNTIFS($B$5:$B$112,B11,$D$5:$D$112,D11)</x:f>
        <x:v>1</x:v>
      </x:c>
      <x:c r="M11" s="62" t="n">
        <x:f>COUNTIF($A$5:$A$112,A11)</x:f>
        <x:v>1</x:v>
      </x:c>
      <x:c r="N11" s="62" t="str">
        <x:v>No accepted evidence exists</x:v>
      </x:c>
    </x:row>
    <x:row r="12">
      <x:c r="A12" s="62" t="str">
        <x:v>ET-A-B-INDEPENDENCE</x:v>
      </x:c>
      <x:c r="B12" s="62" t="str">
        <x:v>ET-A-B</x:v>
      </x:c>
      <x:c r="C12" s="62" t="str">
        <x:v>ET-A</x:v>
      </x:c>
      <x:c r="D12" s="62" t="str">
        <x:v>INDEPENDENCE</x:v>
      </x:c>
      <x:c r="E12" s="62" t="str">
        <x:v>Largest-cell-loss independence</x:v>
      </x:c>
      <x:c r="F12" s="62" t="str">
        <x:v>The surviving article retains its root lower bound without hidden common cause.</x:v>
      </x:c>
      <x:c r="G12" s="62" t="str">
        <x:v>UNTRIED</x:v>
      </x:c>
      <x:c r="H12" s="62" t="str"/>
      <x:c r="I12" s="63" t="n">
        <x:v>0</x:v>
      </x:c>
      <x:c r="J12" s="63" t="n">
        <x:v>0</x:v>
      </x:c>
      <x:c r="K12" s="62" t="str">
        <x:f>IF(OR(I12=0,J12=0,H12=""),"UNTRIED",IF(G12="PASS","PASS",IF(G12="FAIL","FAIL","HOLD")))</x:f>
        <x:v>UNTRIED</x:v>
      </x:c>
      <x:c r="L12" s="62" t="n">
        <x:f>COUNTIFS($B$5:$B$112,B12,$D$5:$D$112,D12)</x:f>
        <x:v>1</x:v>
      </x:c>
      <x:c r="M12" s="62" t="n">
        <x:f>COUNTIF($A$5:$A$112,A12)</x:f>
        <x:v>1</x:v>
      </x:c>
      <x:c r="N12" s="62" t="str">
        <x:v>No accepted evidence exists</x:v>
      </x:c>
    </x:row>
    <x:row r="13">
      <x:c r="A13" s="62" t="str">
        <x:v>ET-A-B-SAFE-RIGHTS</x:v>
      </x:c>
      <x:c r="B13" s="62" t="str">
        <x:v>ET-A-B</x:v>
      </x:c>
      <x:c r="C13" s="62" t="str">
        <x:v>ET-A</x:v>
      </x:c>
      <x:c r="D13" s="62" t="str">
        <x:v>SAFE-RIGHTS</x:v>
      </x:c>
      <x:c r="E13" s="62" t="str">
        <x:v>Safe state / rights</x:v>
      </x:c>
      <x:c r="F13" s="62" t="str">
        <x:v>Physical safeing preserves consent, access, due process and protected populations.</x:v>
      </x:c>
      <x:c r="G13" s="62" t="str">
        <x:v>UNTRIED</x:v>
      </x:c>
      <x:c r="H13" s="62" t="str"/>
      <x:c r="I13" s="63" t="n">
        <x:v>0</x:v>
      </x:c>
      <x:c r="J13" s="63" t="n">
        <x:v>0</x:v>
      </x:c>
      <x:c r="K13" s="62" t="str">
        <x:f>IF(OR(I13=0,J13=0,H13=""),"UNTRIED",IF(G13="PASS","PASS",IF(G13="FAIL","FAIL","HOLD")))</x:f>
        <x:v>UNTRIED</x:v>
      </x:c>
      <x:c r="L13" s="62" t="n">
        <x:f>COUNTIFS($B$5:$B$112,B13,$D$5:$D$112,D13)</x:f>
        <x:v>1</x:v>
      </x:c>
      <x:c r="M13" s="62" t="n">
        <x:f>COUNTIF($A$5:$A$112,A13)</x:f>
        <x:v>1</x:v>
      </x:c>
      <x:c r="N13" s="62" t="str">
        <x:v>No accepted evidence exists</x:v>
      </x:c>
    </x:row>
    <x:row r="14">
      <x:c r="A14" s="62" t="str">
        <x:v>ET-A-B-RESIDUAL</x:v>
      </x:c>
      <x:c r="B14" s="62" t="str">
        <x:v>ET-A-B</x:v>
      </x:c>
      <x:c r="C14" s="62" t="str">
        <x:v>ET-A</x:v>
      </x:c>
      <x:c r="D14" s="62" t="str">
        <x:v>RESIDUAL</x:v>
      </x:c>
      <x:c r="E14" s="62" t="str">
        <x:v>Residual custody</x:v>
      </x:c>
      <x:c r="F14" s="62" t="str">
        <x:v>Mass, energy, contamination, waste and disposition reconcile after the event.</x:v>
      </x:c>
      <x:c r="G14" s="62" t="str">
        <x:v>UNTRIED</x:v>
      </x:c>
      <x:c r="H14" s="62" t="str"/>
      <x:c r="I14" s="63" t="n">
        <x:v>0</x:v>
      </x:c>
      <x:c r="J14" s="63" t="n">
        <x:v>0</x:v>
      </x:c>
      <x:c r="K14" s="62" t="str">
        <x:f>IF(OR(I14=0,J14=0,H14=""),"UNTRIED",IF(G14="PASS","PASS",IF(G14="FAIL","FAIL","HOLD")))</x:f>
        <x:v>UNTRIED</x:v>
      </x:c>
      <x:c r="L14" s="62" t="n">
        <x:f>COUNTIFS($B$5:$B$112,B14,$D$5:$D$112,D14)</x:f>
        <x:v>1</x:v>
      </x:c>
      <x:c r="M14" s="62" t="n">
        <x:f>COUNTIF($A$5:$A$112,A14)</x:f>
        <x:v>1</x:v>
      </x:c>
      <x:c r="N14" s="62" t="str">
        <x:v>No accepted evidence exists</x:v>
      </x:c>
    </x:row>
    <x:row r="15">
      <x:c r="A15" s="62" t="str">
        <x:v>ET-A-B-RECON</x:v>
      </x:c>
      <x:c r="B15" s="62" t="str">
        <x:v>ET-A-B</x:v>
      </x:c>
      <x:c r="C15" s="62" t="str">
        <x:v>ET-A</x:v>
      </x:c>
      <x:c r="D15" s="62" t="str">
        <x:v>RECON</x:v>
      </x:c>
      <x:c r="E15" s="62" t="str">
        <x:v>Cold reconstruction / ancestry</x:v>
      </x:c>
      <x:c r="F15" s="62" t="str">
        <x:v>A clean team reconstructs the decisive function from sealed public records and held inventory.</x:v>
      </x:c>
      <x:c r="G15" s="62" t="str">
        <x:v>UNTRIED</x:v>
      </x:c>
      <x:c r="H15" s="62" t="str"/>
      <x:c r="I15" s="63" t="n">
        <x:v>0</x:v>
      </x:c>
      <x:c r="J15" s="63" t="n">
        <x:v>0</x:v>
      </x:c>
      <x:c r="K15" s="62" t="str">
        <x:f>IF(OR(I15=0,J15=0,H15=""),"UNTRIED",IF(G15="PASS","PASS",IF(G15="FAIL","FAIL","HOLD")))</x:f>
        <x:v>UNTRIED</x:v>
      </x:c>
      <x:c r="L15" s="62" t="n">
        <x:f>COUNTIFS($B$5:$B$112,B15,$D$5:$D$112,D15)</x:f>
        <x:v>1</x:v>
      </x:c>
      <x:c r="M15" s="62" t="n">
        <x:f>COUNTIF($A$5:$A$112,A15)</x:f>
        <x:v>1</x:v>
      </x:c>
      <x:c r="N15" s="62" t="str">
        <x:v>No accepted evidence exists</x:v>
      </x:c>
    </x:row>
    <x:row r="16">
      <x:c r="A16" s="62" t="str">
        <x:v>ET-A-B-RECEIVER</x:v>
      </x:c>
      <x:c r="B16" s="62" t="str">
        <x:v>ET-A-B</x:v>
      </x:c>
      <x:c r="C16" s="62" t="str">
        <x:v>ET-A</x:v>
      </x:c>
      <x:c r="D16" s="62" t="str">
        <x:v>RECEIVER</x:v>
      </x:c>
      <x:c r="E16" s="62" t="str">
        <x:v>Receiver-compatible completion</x:v>
      </x:c>
      <x:c r="F16" s="62" t="str">
        <x:v>The receiving system accepts the delivered mission state without hidden external completion.</x:v>
      </x:c>
      <x:c r="G16" s="62" t="str">
        <x:v>UNTRIED</x:v>
      </x:c>
      <x:c r="H16" s="62" t="str"/>
      <x:c r="I16" s="63" t="n">
        <x:v>0</x:v>
      </x:c>
      <x:c r="J16" s="63" t="n">
        <x:v>0</x:v>
      </x:c>
      <x:c r="K16" s="62" t="str">
        <x:f>IF(OR(I16=0,J16=0,H16=""),"UNTRIED",IF(G16="PASS","PASS",IF(G16="FAIL","FAIL","HOLD")))</x:f>
        <x:v>UNTRIED</x:v>
      </x:c>
      <x:c r="L16" s="62" t="n">
        <x:f>COUNTIFS($B$5:$B$112,B16,$D$5:$D$112,D16)</x:f>
        <x:v>1</x:v>
      </x:c>
      <x:c r="M16" s="62" t="n">
        <x:f>COUNTIF($A$5:$A$112,A16)</x:f>
        <x:v>1</x:v>
      </x:c>
      <x:c r="N16" s="62" t="str">
        <x:v>No accepted evidence exists</x:v>
      </x:c>
    </x:row>
    <x:row r="17">
      <x:c r="A17" s="62" t="str">
        <x:v>ET-A-C-CAUSAL</x:v>
      </x:c>
      <x:c r="B17" s="62" t="str">
        <x:v>ET-A-C</x:v>
      </x:c>
      <x:c r="C17" s="62" t="str">
        <x:v>ET-A</x:v>
      </x:c>
      <x:c r="D17" s="62" t="str">
        <x:v>CAUSAL</x:v>
      </x:c>
      <x:c r="E17" s="62" t="str">
        <x:v>Causal effect / denominator</x:v>
      </x:c>
      <x:c r="F17" s="62" t="str">
        <x:v>A bounded denominator and attributable mission effect under the destructive event.</x:v>
      </x:c>
      <x:c r="G17" s="62" t="str">
        <x:v>UNTRIED</x:v>
      </x:c>
      <x:c r="H17" s="62" t="str"/>
      <x:c r="I17" s="63" t="n">
        <x:v>0</x:v>
      </x:c>
      <x:c r="J17" s="63" t="n">
        <x:v>0</x:v>
      </x:c>
      <x:c r="K17" s="62" t="str">
        <x:f>IF(OR(I17=0,J17=0,H17=""),"UNTRIED",IF(G17="PASS","PASS",IF(G17="FAIL","FAIL","HOLD")))</x:f>
        <x:v>UNTRIED</x:v>
      </x:c>
      <x:c r="L17" s="62" t="n">
        <x:f>COUNTIFS($B$5:$B$112,B17,$D$5:$D$112,D17)</x:f>
        <x:v>1</x:v>
      </x:c>
      <x:c r="M17" s="62" t="n">
        <x:f>COUNTIF($A$5:$A$112,A17)</x:f>
        <x:v>1</x:v>
      </x:c>
      <x:c r="N17" s="62" t="str">
        <x:v>No accepted evidence exists</x:v>
      </x:c>
    </x:row>
    <x:row r="18">
      <x:c r="A18" s="62" t="str">
        <x:v>ET-A-C-INDEPENDENCE</x:v>
      </x:c>
      <x:c r="B18" s="62" t="str">
        <x:v>ET-A-C</x:v>
      </x:c>
      <x:c r="C18" s="62" t="str">
        <x:v>ET-A</x:v>
      </x:c>
      <x:c r="D18" s="62" t="str">
        <x:v>INDEPENDENCE</x:v>
      </x:c>
      <x:c r="E18" s="62" t="str">
        <x:v>Largest-cell-loss independence</x:v>
      </x:c>
      <x:c r="F18" s="62" t="str">
        <x:v>The surviving article retains its root lower bound without hidden common cause.</x:v>
      </x:c>
      <x:c r="G18" s="62" t="str">
        <x:v>UNTRIED</x:v>
      </x:c>
      <x:c r="H18" s="62" t="str"/>
      <x:c r="I18" s="63" t="n">
        <x:v>0</x:v>
      </x:c>
      <x:c r="J18" s="63" t="n">
        <x:v>0</x:v>
      </x:c>
      <x:c r="K18" s="62" t="str">
        <x:f>IF(OR(I18=0,J18=0,H18=""),"UNTRIED",IF(G18="PASS","PASS",IF(G18="FAIL","FAIL","HOLD")))</x:f>
        <x:v>UNTRIED</x:v>
      </x:c>
      <x:c r="L18" s="62" t="n">
        <x:f>COUNTIFS($B$5:$B$112,B18,$D$5:$D$112,D18)</x:f>
        <x:v>1</x:v>
      </x:c>
      <x:c r="M18" s="62" t="n">
        <x:f>COUNTIF($A$5:$A$112,A18)</x:f>
        <x:v>1</x:v>
      </x:c>
      <x:c r="N18" s="62" t="str">
        <x:v>No accepted evidence exists</x:v>
      </x:c>
    </x:row>
    <x:row r="19">
      <x:c r="A19" s="62" t="str">
        <x:v>ET-A-C-SAFE-RIGHTS</x:v>
      </x:c>
      <x:c r="B19" s="62" t="str">
        <x:v>ET-A-C</x:v>
      </x:c>
      <x:c r="C19" s="62" t="str">
        <x:v>ET-A</x:v>
      </x:c>
      <x:c r="D19" s="62" t="str">
        <x:v>SAFE-RIGHTS</x:v>
      </x:c>
      <x:c r="E19" s="62" t="str">
        <x:v>Safe state / rights</x:v>
      </x:c>
      <x:c r="F19" s="62" t="str">
        <x:v>Physical safeing preserves consent, access, due process and protected populations.</x:v>
      </x:c>
      <x:c r="G19" s="62" t="str">
        <x:v>UNTRIED</x:v>
      </x:c>
      <x:c r="H19" s="62" t="str"/>
      <x:c r="I19" s="63" t="n">
        <x:v>0</x:v>
      </x:c>
      <x:c r="J19" s="63" t="n">
        <x:v>0</x:v>
      </x:c>
      <x:c r="K19" s="62" t="str">
        <x:f>IF(OR(I19=0,J19=0,H19=""),"UNTRIED",IF(G19="PASS","PASS",IF(G19="FAIL","FAIL","HOLD")))</x:f>
        <x:v>UNTRIED</x:v>
      </x:c>
      <x:c r="L19" s="62" t="n">
        <x:f>COUNTIFS($B$5:$B$112,B19,$D$5:$D$112,D19)</x:f>
        <x:v>1</x:v>
      </x:c>
      <x:c r="M19" s="62" t="n">
        <x:f>COUNTIF($A$5:$A$112,A19)</x:f>
        <x:v>1</x:v>
      </x:c>
      <x:c r="N19" s="62" t="str">
        <x:v>No accepted evidence exists</x:v>
      </x:c>
    </x:row>
    <x:row r="20">
      <x:c r="A20" s="62" t="str">
        <x:v>ET-A-C-RESIDUAL</x:v>
      </x:c>
      <x:c r="B20" s="62" t="str">
        <x:v>ET-A-C</x:v>
      </x:c>
      <x:c r="C20" s="62" t="str">
        <x:v>ET-A</x:v>
      </x:c>
      <x:c r="D20" s="62" t="str">
        <x:v>RESIDUAL</x:v>
      </x:c>
      <x:c r="E20" s="62" t="str">
        <x:v>Residual custody</x:v>
      </x:c>
      <x:c r="F20" s="62" t="str">
        <x:v>Mass, energy, contamination, waste and disposition reconcile after the event.</x:v>
      </x:c>
      <x:c r="G20" s="62" t="str">
        <x:v>UNTRIED</x:v>
      </x:c>
      <x:c r="H20" s="62" t="str"/>
      <x:c r="I20" s="63" t="n">
        <x:v>0</x:v>
      </x:c>
      <x:c r="J20" s="63" t="n">
        <x:v>0</x:v>
      </x:c>
      <x:c r="K20" s="62" t="str">
        <x:f>IF(OR(I20=0,J20=0,H20=""),"UNTRIED",IF(G20="PASS","PASS",IF(G20="FAIL","FAIL","HOLD")))</x:f>
        <x:v>UNTRIED</x:v>
      </x:c>
      <x:c r="L20" s="62" t="n">
        <x:f>COUNTIFS($B$5:$B$112,B20,$D$5:$D$112,D20)</x:f>
        <x:v>1</x:v>
      </x:c>
      <x:c r="M20" s="62" t="n">
        <x:f>COUNTIF($A$5:$A$112,A20)</x:f>
        <x:v>1</x:v>
      </x:c>
      <x:c r="N20" s="62" t="str">
        <x:v>No accepted evidence exists</x:v>
      </x:c>
    </x:row>
    <x:row r="21">
      <x:c r="A21" s="62" t="str">
        <x:v>ET-A-C-RECON</x:v>
      </x:c>
      <x:c r="B21" s="62" t="str">
        <x:v>ET-A-C</x:v>
      </x:c>
      <x:c r="C21" s="62" t="str">
        <x:v>ET-A</x:v>
      </x:c>
      <x:c r="D21" s="62" t="str">
        <x:v>RECON</x:v>
      </x:c>
      <x:c r="E21" s="62" t="str">
        <x:v>Cold reconstruction / ancestry</x:v>
      </x:c>
      <x:c r="F21" s="62" t="str">
        <x:v>A clean team reconstructs the decisive function from sealed public records and held inventory.</x:v>
      </x:c>
      <x:c r="G21" s="62" t="str">
        <x:v>UNTRIED</x:v>
      </x:c>
      <x:c r="H21" s="62" t="str"/>
      <x:c r="I21" s="63" t="n">
        <x:v>0</x:v>
      </x:c>
      <x:c r="J21" s="63" t="n">
        <x:v>0</x:v>
      </x:c>
      <x:c r="K21" s="62" t="str">
        <x:f>IF(OR(I21=0,J21=0,H21=""),"UNTRIED",IF(G21="PASS","PASS",IF(G21="FAIL","FAIL","HOLD")))</x:f>
        <x:v>UNTRIED</x:v>
      </x:c>
      <x:c r="L21" s="62" t="n">
        <x:f>COUNTIFS($B$5:$B$112,B21,$D$5:$D$112,D21)</x:f>
        <x:v>1</x:v>
      </x:c>
      <x:c r="M21" s="62" t="n">
        <x:f>COUNTIF($A$5:$A$112,A21)</x:f>
        <x:v>1</x:v>
      </x:c>
      <x:c r="N21" s="62" t="str">
        <x:v>No accepted evidence exists</x:v>
      </x:c>
    </x:row>
    <x:row r="22">
      <x:c r="A22" s="62" t="str">
        <x:v>ET-A-C-RECEIVER</x:v>
      </x:c>
      <x:c r="B22" s="62" t="str">
        <x:v>ET-A-C</x:v>
      </x:c>
      <x:c r="C22" s="62" t="str">
        <x:v>ET-A</x:v>
      </x:c>
      <x:c r="D22" s="62" t="str">
        <x:v>RECEIVER</x:v>
      </x:c>
      <x:c r="E22" s="62" t="str">
        <x:v>Receiver-compatible completion</x:v>
      </x:c>
      <x:c r="F22" s="62" t="str">
        <x:v>The receiving system accepts the delivered mission state without hidden external completion.</x:v>
      </x:c>
      <x:c r="G22" s="62" t="str">
        <x:v>UNTRIED</x:v>
      </x:c>
      <x:c r="H22" s="62" t="str"/>
      <x:c r="I22" s="63" t="n">
        <x:v>0</x:v>
      </x:c>
      <x:c r="J22" s="63" t="n">
        <x:v>0</x:v>
      </x:c>
      <x:c r="K22" s="62" t="str">
        <x:f>IF(OR(I22=0,J22=0,H22=""),"UNTRIED",IF(G22="PASS","PASS",IF(G22="FAIL","FAIL","HOLD")))</x:f>
        <x:v>UNTRIED</x:v>
      </x:c>
      <x:c r="L22" s="62" t="n">
        <x:f>COUNTIFS($B$5:$B$112,B22,$D$5:$D$112,D22)</x:f>
        <x:v>1</x:v>
      </x:c>
      <x:c r="M22" s="62" t="n">
        <x:f>COUNTIF($A$5:$A$112,A22)</x:f>
        <x:v>1</x:v>
      </x:c>
      <x:c r="N22" s="62" t="str">
        <x:v>No accepted evidence exists</x:v>
      </x:c>
    </x:row>
    <x:row r="23">
      <x:c r="A23" s="62" t="str">
        <x:v>CT-C-A-CAUSAL</x:v>
      </x:c>
      <x:c r="B23" s="62" t="str">
        <x:v>CT-C-A</x:v>
      </x:c>
      <x:c r="C23" s="62" t="str">
        <x:v>CT-C</x:v>
      </x:c>
      <x:c r="D23" s="62" t="str">
        <x:v>CAUSAL</x:v>
      </x:c>
      <x:c r="E23" s="62" t="str">
        <x:v>Causal effect / denominator</x:v>
      </x:c>
      <x:c r="F23" s="62" t="str">
        <x:v>A bounded denominator and attributable mission effect under the destructive event.</x:v>
      </x:c>
      <x:c r="G23" s="62" t="str">
        <x:v>UNTRIED</x:v>
      </x:c>
      <x:c r="H23" s="62" t="str"/>
      <x:c r="I23" s="63" t="n">
        <x:v>0</x:v>
      </x:c>
      <x:c r="J23" s="63" t="n">
        <x:v>0</x:v>
      </x:c>
      <x:c r="K23" s="62" t="str">
        <x:f>IF(OR(I23=0,J23=0,H23=""),"UNTRIED",IF(G23="PASS","PASS",IF(G23="FAIL","FAIL","HOLD")))</x:f>
        <x:v>UNTRIED</x:v>
      </x:c>
      <x:c r="L23" s="62" t="n">
        <x:f>COUNTIFS($B$5:$B$112,B23,$D$5:$D$112,D23)</x:f>
        <x:v>1</x:v>
      </x:c>
      <x:c r="M23" s="62" t="n">
        <x:f>COUNTIF($A$5:$A$112,A23)</x:f>
        <x:v>1</x:v>
      </x:c>
      <x:c r="N23" s="62" t="str">
        <x:v>No accepted evidence exists</x:v>
      </x:c>
    </x:row>
    <x:row r="24">
      <x:c r="A24" s="62" t="str">
        <x:v>CT-C-A-INDEPENDENCE</x:v>
      </x:c>
      <x:c r="B24" s="62" t="str">
        <x:v>CT-C-A</x:v>
      </x:c>
      <x:c r="C24" s="62" t="str">
        <x:v>CT-C</x:v>
      </x:c>
      <x:c r="D24" s="62" t="str">
        <x:v>INDEPENDENCE</x:v>
      </x:c>
      <x:c r="E24" s="62" t="str">
        <x:v>Largest-cell-loss independence</x:v>
      </x:c>
      <x:c r="F24" s="62" t="str">
        <x:v>The surviving article retains its root lower bound without hidden common cause.</x:v>
      </x:c>
      <x:c r="G24" s="62" t="str">
        <x:v>UNTRIED</x:v>
      </x:c>
      <x:c r="H24" s="62" t="str"/>
      <x:c r="I24" s="63" t="n">
        <x:v>0</x:v>
      </x:c>
      <x:c r="J24" s="63" t="n">
        <x:v>0</x:v>
      </x:c>
      <x:c r="K24" s="62" t="str">
        <x:f>IF(OR(I24=0,J24=0,H24=""),"UNTRIED",IF(G24="PASS","PASS",IF(G24="FAIL","FAIL","HOLD")))</x:f>
        <x:v>UNTRIED</x:v>
      </x:c>
      <x:c r="L24" s="62" t="n">
        <x:f>COUNTIFS($B$5:$B$112,B24,$D$5:$D$112,D24)</x:f>
        <x:v>1</x:v>
      </x:c>
      <x:c r="M24" s="62" t="n">
        <x:f>COUNTIF($A$5:$A$112,A24)</x:f>
        <x:v>1</x:v>
      </x:c>
      <x:c r="N24" s="62" t="str">
        <x:v>No accepted evidence exists</x:v>
      </x:c>
    </x:row>
    <x:row r="25">
      <x:c r="A25" s="62" t="str">
        <x:v>CT-C-A-SAFE-RIGHTS</x:v>
      </x:c>
      <x:c r="B25" s="62" t="str">
        <x:v>CT-C-A</x:v>
      </x:c>
      <x:c r="C25" s="62" t="str">
        <x:v>CT-C</x:v>
      </x:c>
      <x:c r="D25" s="62" t="str">
        <x:v>SAFE-RIGHTS</x:v>
      </x:c>
      <x:c r="E25" s="62" t="str">
        <x:v>Safe state / rights</x:v>
      </x:c>
      <x:c r="F25" s="62" t="str">
        <x:v>Physical safeing preserves consent, access, due process and protected populations.</x:v>
      </x:c>
      <x:c r="G25" s="62" t="str">
        <x:v>UNTRIED</x:v>
      </x:c>
      <x:c r="H25" s="62" t="str"/>
      <x:c r="I25" s="63" t="n">
        <x:v>0</x:v>
      </x:c>
      <x:c r="J25" s="63" t="n">
        <x:v>0</x:v>
      </x:c>
      <x:c r="K25" s="62" t="str">
        <x:f>IF(OR(I25=0,J25=0,H25=""),"UNTRIED",IF(G25="PASS","PASS",IF(G25="FAIL","FAIL","HOLD")))</x:f>
        <x:v>UNTRIED</x:v>
      </x:c>
      <x:c r="L25" s="62" t="n">
        <x:f>COUNTIFS($B$5:$B$112,B25,$D$5:$D$112,D25)</x:f>
        <x:v>1</x:v>
      </x:c>
      <x:c r="M25" s="62" t="n">
        <x:f>COUNTIF($A$5:$A$112,A25)</x:f>
        <x:v>1</x:v>
      </x:c>
      <x:c r="N25" s="62" t="str">
        <x:v>No accepted evidence exists</x:v>
      </x:c>
    </x:row>
    <x:row r="26">
      <x:c r="A26" s="62" t="str">
        <x:v>CT-C-A-RESIDUAL</x:v>
      </x:c>
      <x:c r="B26" s="62" t="str">
        <x:v>CT-C-A</x:v>
      </x:c>
      <x:c r="C26" s="62" t="str">
        <x:v>CT-C</x:v>
      </x:c>
      <x:c r="D26" s="62" t="str">
        <x:v>RESIDUAL</x:v>
      </x:c>
      <x:c r="E26" s="62" t="str">
        <x:v>Residual custody</x:v>
      </x:c>
      <x:c r="F26" s="62" t="str">
        <x:v>Mass, energy, contamination, waste and disposition reconcile after the event.</x:v>
      </x:c>
      <x:c r="G26" s="62" t="str">
        <x:v>UNTRIED</x:v>
      </x:c>
      <x:c r="H26" s="62" t="str"/>
      <x:c r="I26" s="63" t="n">
        <x:v>0</x:v>
      </x:c>
      <x:c r="J26" s="63" t="n">
        <x:v>0</x:v>
      </x:c>
      <x:c r="K26" s="62" t="str">
        <x:f>IF(OR(I26=0,J26=0,H26=""),"UNTRIED",IF(G26="PASS","PASS",IF(G26="FAIL","FAIL","HOLD")))</x:f>
        <x:v>UNTRIED</x:v>
      </x:c>
      <x:c r="L26" s="62" t="n">
        <x:f>COUNTIFS($B$5:$B$112,B26,$D$5:$D$112,D26)</x:f>
        <x:v>1</x:v>
      </x:c>
      <x:c r="M26" s="62" t="n">
        <x:f>COUNTIF($A$5:$A$112,A26)</x:f>
        <x:v>1</x:v>
      </x:c>
      <x:c r="N26" s="62" t="str">
        <x:v>No accepted evidence exists</x:v>
      </x:c>
    </x:row>
    <x:row r="27">
      <x:c r="A27" s="62" t="str">
        <x:v>CT-C-A-RECON</x:v>
      </x:c>
      <x:c r="B27" s="62" t="str">
        <x:v>CT-C-A</x:v>
      </x:c>
      <x:c r="C27" s="62" t="str">
        <x:v>CT-C</x:v>
      </x:c>
      <x:c r="D27" s="62" t="str">
        <x:v>RECON</x:v>
      </x:c>
      <x:c r="E27" s="62" t="str">
        <x:v>Cold reconstruction / ancestry</x:v>
      </x:c>
      <x:c r="F27" s="62" t="str">
        <x:v>A clean team reconstructs the decisive function from sealed public records and held inventory.</x:v>
      </x:c>
      <x:c r="G27" s="62" t="str">
        <x:v>UNTRIED</x:v>
      </x:c>
      <x:c r="H27" s="62" t="str"/>
      <x:c r="I27" s="63" t="n">
        <x:v>0</x:v>
      </x:c>
      <x:c r="J27" s="63" t="n">
        <x:v>0</x:v>
      </x:c>
      <x:c r="K27" s="62" t="str">
        <x:f>IF(OR(I27=0,J27=0,H27=""),"UNTRIED",IF(G27="PASS","PASS",IF(G27="FAIL","FAIL","HOLD")))</x:f>
        <x:v>UNTRIED</x:v>
      </x:c>
      <x:c r="L27" s="62" t="n">
        <x:f>COUNTIFS($B$5:$B$112,B27,$D$5:$D$112,D27)</x:f>
        <x:v>1</x:v>
      </x:c>
      <x:c r="M27" s="62" t="n">
        <x:f>COUNTIF($A$5:$A$112,A27)</x:f>
        <x:v>1</x:v>
      </x:c>
      <x:c r="N27" s="62" t="str">
        <x:v>No accepted evidence exists</x:v>
      </x:c>
    </x:row>
    <x:row r="28">
      <x:c r="A28" s="62" t="str">
        <x:v>CT-C-A-RECEIVER</x:v>
      </x:c>
      <x:c r="B28" s="62" t="str">
        <x:v>CT-C-A</x:v>
      </x:c>
      <x:c r="C28" s="62" t="str">
        <x:v>CT-C</x:v>
      </x:c>
      <x:c r="D28" s="62" t="str">
        <x:v>RECEIVER</x:v>
      </x:c>
      <x:c r="E28" s="62" t="str">
        <x:v>Receiver-compatible completion</x:v>
      </x:c>
      <x:c r="F28" s="62" t="str">
        <x:v>The receiving system accepts the delivered mission state without hidden external completion.</x:v>
      </x:c>
      <x:c r="G28" s="62" t="str">
        <x:v>UNTRIED</x:v>
      </x:c>
      <x:c r="H28" s="62" t="str"/>
      <x:c r="I28" s="63" t="n">
        <x:v>0</x:v>
      </x:c>
      <x:c r="J28" s="63" t="n">
        <x:v>0</x:v>
      </x:c>
      <x:c r="K28" s="62" t="str">
        <x:f>IF(OR(I28=0,J28=0,H28=""),"UNTRIED",IF(G28="PASS","PASS",IF(G28="FAIL","FAIL","HOLD")))</x:f>
        <x:v>UNTRIED</x:v>
      </x:c>
      <x:c r="L28" s="62" t="n">
        <x:f>COUNTIFS($B$5:$B$112,B28,$D$5:$D$112,D28)</x:f>
        <x:v>1</x:v>
      </x:c>
      <x:c r="M28" s="62" t="n">
        <x:f>COUNTIF($A$5:$A$112,A28)</x:f>
        <x:v>1</x:v>
      </x:c>
      <x:c r="N28" s="62" t="str">
        <x:v>No accepted evidence exists</x:v>
      </x:c>
    </x:row>
    <x:row r="29">
      <x:c r="A29" s="62" t="str">
        <x:v>CT-C-B-CAUSAL</x:v>
      </x:c>
      <x:c r="B29" s="62" t="str">
        <x:v>CT-C-B</x:v>
      </x:c>
      <x:c r="C29" s="62" t="str">
        <x:v>CT-C</x:v>
      </x:c>
      <x:c r="D29" s="62" t="str">
        <x:v>CAUSAL</x:v>
      </x:c>
      <x:c r="E29" s="62" t="str">
        <x:v>Causal effect / denominator</x:v>
      </x:c>
      <x:c r="F29" s="62" t="str">
        <x:v>A bounded denominator and attributable mission effect under the destructive event.</x:v>
      </x:c>
      <x:c r="G29" s="62" t="str">
        <x:v>UNTRIED</x:v>
      </x:c>
      <x:c r="H29" s="62" t="str"/>
      <x:c r="I29" s="63" t="n">
        <x:v>0</x:v>
      </x:c>
      <x:c r="J29" s="63" t="n">
        <x:v>0</x:v>
      </x:c>
      <x:c r="K29" s="62" t="str">
        <x:f>IF(OR(I29=0,J29=0,H29=""),"UNTRIED",IF(G29="PASS","PASS",IF(G29="FAIL","FAIL","HOLD")))</x:f>
        <x:v>UNTRIED</x:v>
      </x:c>
      <x:c r="L29" s="62" t="n">
        <x:f>COUNTIFS($B$5:$B$112,B29,$D$5:$D$112,D29)</x:f>
        <x:v>1</x:v>
      </x:c>
      <x:c r="M29" s="62" t="n">
        <x:f>COUNTIF($A$5:$A$112,A29)</x:f>
        <x:v>1</x:v>
      </x:c>
      <x:c r="N29" s="62" t="str">
        <x:v>No accepted evidence exists</x:v>
      </x:c>
    </x:row>
    <x:row r="30">
      <x:c r="A30" s="62" t="str">
        <x:v>CT-C-B-INDEPENDENCE</x:v>
      </x:c>
      <x:c r="B30" s="62" t="str">
        <x:v>CT-C-B</x:v>
      </x:c>
      <x:c r="C30" s="62" t="str">
        <x:v>CT-C</x:v>
      </x:c>
      <x:c r="D30" s="62" t="str">
        <x:v>INDEPENDENCE</x:v>
      </x:c>
      <x:c r="E30" s="62" t="str">
        <x:v>Largest-cell-loss independence</x:v>
      </x:c>
      <x:c r="F30" s="62" t="str">
        <x:v>The surviving article retains its root lower bound without hidden common cause.</x:v>
      </x:c>
      <x:c r="G30" s="62" t="str">
        <x:v>UNTRIED</x:v>
      </x:c>
      <x:c r="H30" s="62" t="str"/>
      <x:c r="I30" s="63" t="n">
        <x:v>0</x:v>
      </x:c>
      <x:c r="J30" s="63" t="n">
        <x:v>0</x:v>
      </x:c>
      <x:c r="K30" s="62" t="str">
        <x:f>IF(OR(I30=0,J30=0,H30=""),"UNTRIED",IF(G30="PASS","PASS",IF(G30="FAIL","FAIL","HOLD")))</x:f>
        <x:v>UNTRIED</x:v>
      </x:c>
      <x:c r="L30" s="62" t="n">
        <x:f>COUNTIFS($B$5:$B$112,B30,$D$5:$D$112,D30)</x:f>
        <x:v>1</x:v>
      </x:c>
      <x:c r="M30" s="62" t="n">
        <x:f>COUNTIF($A$5:$A$112,A30)</x:f>
        <x:v>1</x:v>
      </x:c>
      <x:c r="N30" s="62" t="str">
        <x:v>No accepted evidence exists</x:v>
      </x:c>
    </x:row>
    <x:row r="31">
      <x:c r="A31" s="62" t="str">
        <x:v>CT-C-B-SAFE-RIGHTS</x:v>
      </x:c>
      <x:c r="B31" s="62" t="str">
        <x:v>CT-C-B</x:v>
      </x:c>
      <x:c r="C31" s="62" t="str">
        <x:v>CT-C</x:v>
      </x:c>
      <x:c r="D31" s="62" t="str">
        <x:v>SAFE-RIGHTS</x:v>
      </x:c>
      <x:c r="E31" s="62" t="str">
        <x:v>Safe state / rights</x:v>
      </x:c>
      <x:c r="F31" s="62" t="str">
        <x:v>Physical safeing preserves consent, access, due process and protected populations.</x:v>
      </x:c>
      <x:c r="G31" s="62" t="str">
        <x:v>UNTRIED</x:v>
      </x:c>
      <x:c r="H31" s="62" t="str"/>
      <x:c r="I31" s="63" t="n">
        <x:v>0</x:v>
      </x:c>
      <x:c r="J31" s="63" t="n">
        <x:v>0</x:v>
      </x:c>
      <x:c r="K31" s="62" t="str">
        <x:f>IF(OR(I31=0,J31=0,H31=""),"UNTRIED",IF(G31="PASS","PASS",IF(G31="FAIL","FAIL","HOLD")))</x:f>
        <x:v>UNTRIED</x:v>
      </x:c>
      <x:c r="L31" s="62" t="n">
        <x:f>COUNTIFS($B$5:$B$112,B31,$D$5:$D$112,D31)</x:f>
        <x:v>1</x:v>
      </x:c>
      <x:c r="M31" s="62" t="n">
        <x:f>COUNTIF($A$5:$A$112,A31)</x:f>
        <x:v>1</x:v>
      </x:c>
      <x:c r="N31" s="62" t="str">
        <x:v>No accepted evidence exists</x:v>
      </x:c>
    </x:row>
    <x:row r="32">
      <x:c r="A32" s="62" t="str">
        <x:v>CT-C-B-RESIDUAL</x:v>
      </x:c>
      <x:c r="B32" s="62" t="str">
        <x:v>CT-C-B</x:v>
      </x:c>
      <x:c r="C32" s="62" t="str">
        <x:v>CT-C</x:v>
      </x:c>
      <x:c r="D32" s="62" t="str">
        <x:v>RESIDUAL</x:v>
      </x:c>
      <x:c r="E32" s="62" t="str">
        <x:v>Residual custody</x:v>
      </x:c>
      <x:c r="F32" s="62" t="str">
        <x:v>Mass, energy, contamination, waste and disposition reconcile after the event.</x:v>
      </x:c>
      <x:c r="G32" s="62" t="str">
        <x:v>UNTRIED</x:v>
      </x:c>
      <x:c r="H32" s="62" t="str"/>
      <x:c r="I32" s="63" t="n">
        <x:v>0</x:v>
      </x:c>
      <x:c r="J32" s="63" t="n">
        <x:v>0</x:v>
      </x:c>
      <x:c r="K32" s="62" t="str">
        <x:f>IF(OR(I32=0,J32=0,H32=""),"UNTRIED",IF(G32="PASS","PASS",IF(G32="FAIL","FAIL","HOLD")))</x:f>
        <x:v>UNTRIED</x:v>
      </x:c>
      <x:c r="L32" s="62" t="n">
        <x:f>COUNTIFS($B$5:$B$112,B32,$D$5:$D$112,D32)</x:f>
        <x:v>1</x:v>
      </x:c>
      <x:c r="M32" s="62" t="n">
        <x:f>COUNTIF($A$5:$A$112,A32)</x:f>
        <x:v>1</x:v>
      </x:c>
      <x:c r="N32" s="62" t="str">
        <x:v>No accepted evidence exists</x:v>
      </x:c>
    </x:row>
    <x:row r="33">
      <x:c r="A33" s="62" t="str">
        <x:v>CT-C-B-RECON</x:v>
      </x:c>
      <x:c r="B33" s="62" t="str">
        <x:v>CT-C-B</x:v>
      </x:c>
      <x:c r="C33" s="62" t="str">
        <x:v>CT-C</x:v>
      </x:c>
      <x:c r="D33" s="62" t="str">
        <x:v>RECON</x:v>
      </x:c>
      <x:c r="E33" s="62" t="str">
        <x:v>Cold reconstruction / ancestry</x:v>
      </x:c>
      <x:c r="F33" s="62" t="str">
        <x:v>A clean team reconstructs the decisive function from sealed public records and held inventory.</x:v>
      </x:c>
      <x:c r="G33" s="62" t="str">
        <x:v>UNTRIED</x:v>
      </x:c>
      <x:c r="H33" s="62" t="str"/>
      <x:c r="I33" s="63" t="n">
        <x:v>0</x:v>
      </x:c>
      <x:c r="J33" s="63" t="n">
        <x:v>0</x:v>
      </x:c>
      <x:c r="K33" s="62" t="str">
        <x:f>IF(OR(I33=0,J33=0,H33=""),"UNTRIED",IF(G33="PASS","PASS",IF(G33="FAIL","FAIL","HOLD")))</x:f>
        <x:v>UNTRIED</x:v>
      </x:c>
      <x:c r="L33" s="62" t="n">
        <x:f>COUNTIFS($B$5:$B$112,B33,$D$5:$D$112,D33)</x:f>
        <x:v>1</x:v>
      </x:c>
      <x:c r="M33" s="62" t="n">
        <x:f>COUNTIF($A$5:$A$112,A33)</x:f>
        <x:v>1</x:v>
      </x:c>
      <x:c r="N33" s="62" t="str">
        <x:v>No accepted evidence exists</x:v>
      </x:c>
    </x:row>
    <x:row r="34">
      <x:c r="A34" s="62" t="str">
        <x:v>CT-C-B-RECEIVER</x:v>
      </x:c>
      <x:c r="B34" s="62" t="str">
        <x:v>CT-C-B</x:v>
      </x:c>
      <x:c r="C34" s="62" t="str">
        <x:v>CT-C</x:v>
      </x:c>
      <x:c r="D34" s="62" t="str">
        <x:v>RECEIVER</x:v>
      </x:c>
      <x:c r="E34" s="62" t="str">
        <x:v>Receiver-compatible completion</x:v>
      </x:c>
      <x:c r="F34" s="62" t="str">
        <x:v>The receiving system accepts the delivered mission state without hidden external completion.</x:v>
      </x:c>
      <x:c r="G34" s="62" t="str">
        <x:v>UNTRIED</x:v>
      </x:c>
      <x:c r="H34" s="62" t="str"/>
      <x:c r="I34" s="63" t="n">
        <x:v>0</x:v>
      </x:c>
      <x:c r="J34" s="63" t="n">
        <x:v>0</x:v>
      </x:c>
      <x:c r="K34" s="62" t="str">
        <x:f>IF(OR(I34=0,J34=0,H34=""),"UNTRIED",IF(G34="PASS","PASS",IF(G34="FAIL","FAIL","HOLD")))</x:f>
        <x:v>UNTRIED</x:v>
      </x:c>
      <x:c r="L34" s="62" t="n">
        <x:f>COUNTIFS($B$5:$B$112,B34,$D$5:$D$112,D34)</x:f>
        <x:v>1</x:v>
      </x:c>
      <x:c r="M34" s="62" t="n">
        <x:f>COUNTIF($A$5:$A$112,A34)</x:f>
        <x:v>1</x:v>
      </x:c>
      <x:c r="N34" s="62" t="str">
        <x:v>No accepted evidence exists</x:v>
      </x:c>
    </x:row>
    <x:row r="35">
      <x:c r="A35" s="62" t="str">
        <x:v>CT-C-C-CAUSAL</x:v>
      </x:c>
      <x:c r="B35" s="62" t="str">
        <x:v>CT-C-C</x:v>
      </x:c>
      <x:c r="C35" s="62" t="str">
        <x:v>CT-C</x:v>
      </x:c>
      <x:c r="D35" s="62" t="str">
        <x:v>CAUSAL</x:v>
      </x:c>
      <x:c r="E35" s="62" t="str">
        <x:v>Causal effect / denominator</x:v>
      </x:c>
      <x:c r="F35" s="62" t="str">
        <x:v>A bounded denominator and attributable mission effect under the destructive event.</x:v>
      </x:c>
      <x:c r="G35" s="62" t="str">
        <x:v>UNTRIED</x:v>
      </x:c>
      <x:c r="H35" s="62" t="str"/>
      <x:c r="I35" s="63" t="n">
        <x:v>0</x:v>
      </x:c>
      <x:c r="J35" s="63" t="n">
        <x:v>0</x:v>
      </x:c>
      <x:c r="K35" s="62" t="str">
        <x:f>IF(OR(I35=0,J35=0,H35=""),"UNTRIED",IF(G35="PASS","PASS",IF(G35="FAIL","FAIL","HOLD")))</x:f>
        <x:v>UNTRIED</x:v>
      </x:c>
      <x:c r="L35" s="62" t="n">
        <x:f>COUNTIFS($B$5:$B$112,B35,$D$5:$D$112,D35)</x:f>
        <x:v>1</x:v>
      </x:c>
      <x:c r="M35" s="62" t="n">
        <x:f>COUNTIF($A$5:$A$112,A35)</x:f>
        <x:v>1</x:v>
      </x:c>
      <x:c r="N35" s="62" t="str">
        <x:v>No accepted evidence exists</x:v>
      </x:c>
    </x:row>
    <x:row r="36">
      <x:c r="A36" s="62" t="str">
        <x:v>CT-C-C-INDEPENDENCE</x:v>
      </x:c>
      <x:c r="B36" s="62" t="str">
        <x:v>CT-C-C</x:v>
      </x:c>
      <x:c r="C36" s="62" t="str">
        <x:v>CT-C</x:v>
      </x:c>
      <x:c r="D36" s="62" t="str">
        <x:v>INDEPENDENCE</x:v>
      </x:c>
      <x:c r="E36" s="62" t="str">
        <x:v>Largest-cell-loss independence</x:v>
      </x:c>
      <x:c r="F36" s="62" t="str">
        <x:v>The surviving article retains its root lower bound without hidden common cause.</x:v>
      </x:c>
      <x:c r="G36" s="62" t="str">
        <x:v>UNTRIED</x:v>
      </x:c>
      <x:c r="H36" s="62" t="str"/>
      <x:c r="I36" s="63" t="n">
        <x:v>0</x:v>
      </x:c>
      <x:c r="J36" s="63" t="n">
        <x:v>0</x:v>
      </x:c>
      <x:c r="K36" s="62" t="str">
        <x:f>IF(OR(I36=0,J36=0,H36=""),"UNTRIED",IF(G36="PASS","PASS",IF(G36="FAIL","FAIL","HOLD")))</x:f>
        <x:v>UNTRIED</x:v>
      </x:c>
      <x:c r="L36" s="62" t="n">
        <x:f>COUNTIFS($B$5:$B$112,B36,$D$5:$D$112,D36)</x:f>
        <x:v>1</x:v>
      </x:c>
      <x:c r="M36" s="62" t="n">
        <x:f>COUNTIF($A$5:$A$112,A36)</x:f>
        <x:v>1</x:v>
      </x:c>
      <x:c r="N36" s="62" t="str">
        <x:v>No accepted evidence exists</x:v>
      </x:c>
    </x:row>
    <x:row r="37">
      <x:c r="A37" s="62" t="str">
        <x:v>CT-C-C-SAFE-RIGHTS</x:v>
      </x:c>
      <x:c r="B37" s="62" t="str">
        <x:v>CT-C-C</x:v>
      </x:c>
      <x:c r="C37" s="62" t="str">
        <x:v>CT-C</x:v>
      </x:c>
      <x:c r="D37" s="62" t="str">
        <x:v>SAFE-RIGHTS</x:v>
      </x:c>
      <x:c r="E37" s="62" t="str">
        <x:v>Safe state / rights</x:v>
      </x:c>
      <x:c r="F37" s="62" t="str">
        <x:v>Physical safeing preserves consent, access, due process and protected populations.</x:v>
      </x:c>
      <x:c r="G37" s="62" t="str">
        <x:v>UNTRIED</x:v>
      </x:c>
      <x:c r="H37" s="62" t="str"/>
      <x:c r="I37" s="63" t="n">
        <x:v>0</x:v>
      </x:c>
      <x:c r="J37" s="63" t="n">
        <x:v>0</x:v>
      </x:c>
      <x:c r="K37" s="62" t="str">
        <x:f>IF(OR(I37=0,J37=0,H37=""),"UNTRIED",IF(G37="PASS","PASS",IF(G37="FAIL","FAIL","HOLD")))</x:f>
        <x:v>UNTRIED</x:v>
      </x:c>
      <x:c r="L37" s="62" t="n">
        <x:f>COUNTIFS($B$5:$B$112,B37,$D$5:$D$112,D37)</x:f>
        <x:v>1</x:v>
      </x:c>
      <x:c r="M37" s="62" t="n">
        <x:f>COUNTIF($A$5:$A$112,A37)</x:f>
        <x:v>1</x:v>
      </x:c>
      <x:c r="N37" s="62" t="str">
        <x:v>No accepted evidence exists</x:v>
      </x:c>
    </x:row>
    <x:row r="38">
      <x:c r="A38" s="62" t="str">
        <x:v>CT-C-C-RESIDUAL</x:v>
      </x:c>
      <x:c r="B38" s="62" t="str">
        <x:v>CT-C-C</x:v>
      </x:c>
      <x:c r="C38" s="62" t="str">
        <x:v>CT-C</x:v>
      </x:c>
      <x:c r="D38" s="62" t="str">
        <x:v>RESIDUAL</x:v>
      </x:c>
      <x:c r="E38" s="62" t="str">
        <x:v>Residual custody</x:v>
      </x:c>
      <x:c r="F38" s="62" t="str">
        <x:v>Mass, energy, contamination, waste and disposition reconcile after the event.</x:v>
      </x:c>
      <x:c r="G38" s="62" t="str">
        <x:v>UNTRIED</x:v>
      </x:c>
      <x:c r="H38" s="62" t="str"/>
      <x:c r="I38" s="63" t="n">
        <x:v>0</x:v>
      </x:c>
      <x:c r="J38" s="63" t="n">
        <x:v>0</x:v>
      </x:c>
      <x:c r="K38" s="62" t="str">
        <x:f>IF(OR(I38=0,J38=0,H38=""),"UNTRIED",IF(G38="PASS","PASS",IF(G38="FAIL","FAIL","HOLD")))</x:f>
        <x:v>UNTRIED</x:v>
      </x:c>
      <x:c r="L38" s="62" t="n">
        <x:f>COUNTIFS($B$5:$B$112,B38,$D$5:$D$112,D38)</x:f>
        <x:v>1</x:v>
      </x:c>
      <x:c r="M38" s="62" t="n">
        <x:f>COUNTIF($A$5:$A$112,A38)</x:f>
        <x:v>1</x:v>
      </x:c>
      <x:c r="N38" s="62" t="str">
        <x:v>No accepted evidence exists</x:v>
      </x:c>
    </x:row>
    <x:row r="39">
      <x:c r="A39" s="62" t="str">
        <x:v>CT-C-C-RECON</x:v>
      </x:c>
      <x:c r="B39" s="62" t="str">
        <x:v>CT-C-C</x:v>
      </x:c>
      <x:c r="C39" s="62" t="str">
        <x:v>CT-C</x:v>
      </x:c>
      <x:c r="D39" s="62" t="str">
        <x:v>RECON</x:v>
      </x:c>
      <x:c r="E39" s="62" t="str">
        <x:v>Cold reconstruction / ancestry</x:v>
      </x:c>
      <x:c r="F39" s="62" t="str">
        <x:v>A clean team reconstructs the decisive function from sealed public records and held inventory.</x:v>
      </x:c>
      <x:c r="G39" s="62" t="str">
        <x:v>UNTRIED</x:v>
      </x:c>
      <x:c r="H39" s="62" t="str"/>
      <x:c r="I39" s="63" t="n">
        <x:v>0</x:v>
      </x:c>
      <x:c r="J39" s="63" t="n">
        <x:v>0</x:v>
      </x:c>
      <x:c r="K39" s="62" t="str">
        <x:f>IF(OR(I39=0,J39=0,H39=""),"UNTRIED",IF(G39="PASS","PASS",IF(G39="FAIL","FAIL","HOLD")))</x:f>
        <x:v>UNTRIED</x:v>
      </x:c>
      <x:c r="L39" s="62" t="n">
        <x:f>COUNTIFS($B$5:$B$112,B39,$D$5:$D$112,D39)</x:f>
        <x:v>1</x:v>
      </x:c>
      <x:c r="M39" s="62" t="n">
        <x:f>COUNTIF($A$5:$A$112,A39)</x:f>
        <x:v>1</x:v>
      </x:c>
      <x:c r="N39" s="62" t="str">
        <x:v>No accepted evidence exists</x:v>
      </x:c>
    </x:row>
    <x:row r="40">
      <x:c r="A40" s="62" t="str">
        <x:v>CT-C-C-RECEIVER</x:v>
      </x:c>
      <x:c r="B40" s="62" t="str">
        <x:v>CT-C-C</x:v>
      </x:c>
      <x:c r="C40" s="62" t="str">
        <x:v>CT-C</x:v>
      </x:c>
      <x:c r="D40" s="62" t="str">
        <x:v>RECEIVER</x:v>
      </x:c>
      <x:c r="E40" s="62" t="str">
        <x:v>Receiver-compatible completion</x:v>
      </x:c>
      <x:c r="F40" s="62" t="str">
        <x:v>The receiving system accepts the delivered mission state without hidden external completion.</x:v>
      </x:c>
      <x:c r="G40" s="62" t="str">
        <x:v>UNTRIED</x:v>
      </x:c>
      <x:c r="H40" s="62" t="str"/>
      <x:c r="I40" s="63" t="n">
        <x:v>0</x:v>
      </x:c>
      <x:c r="J40" s="63" t="n">
        <x:v>0</x:v>
      </x:c>
      <x:c r="K40" s="62" t="str">
        <x:f>IF(OR(I40=0,J40=0,H40=""),"UNTRIED",IF(G40="PASS","PASS",IF(G40="FAIL","FAIL","HOLD")))</x:f>
        <x:v>UNTRIED</x:v>
      </x:c>
      <x:c r="L40" s="62" t="n">
        <x:f>COUNTIFS($B$5:$B$112,B40,$D$5:$D$112,D40)</x:f>
        <x:v>1</x:v>
      </x:c>
      <x:c r="M40" s="62" t="n">
        <x:f>COUNTIF($A$5:$A$112,A40)</x:f>
        <x:v>1</x:v>
      </x:c>
      <x:c r="N40" s="62" t="str">
        <x:v>No accepted evidence exists</x:v>
      </x:c>
    </x:row>
    <x:row r="41">
      <x:c r="A41" s="62" t="str">
        <x:v>HC-A-A-CAUSAL</x:v>
      </x:c>
      <x:c r="B41" s="62" t="str">
        <x:v>HC-A-A</x:v>
      </x:c>
      <x:c r="C41" s="62" t="str">
        <x:v>HC-A</x:v>
      </x:c>
      <x:c r="D41" s="62" t="str">
        <x:v>CAUSAL</x:v>
      </x:c>
      <x:c r="E41" s="62" t="str">
        <x:v>Causal effect / denominator</x:v>
      </x:c>
      <x:c r="F41" s="62" t="str">
        <x:v>A bounded denominator and attributable mission effect under the destructive event.</x:v>
      </x:c>
      <x:c r="G41" s="62" t="str">
        <x:v>UNTRIED</x:v>
      </x:c>
      <x:c r="H41" s="62" t="str"/>
      <x:c r="I41" s="63" t="n">
        <x:v>0</x:v>
      </x:c>
      <x:c r="J41" s="63" t="n">
        <x:v>0</x:v>
      </x:c>
      <x:c r="K41" s="62" t="str">
        <x:f>IF(OR(I41=0,J41=0,H41=""),"UNTRIED",IF(G41="PASS","PASS",IF(G41="FAIL","FAIL","HOLD")))</x:f>
        <x:v>UNTRIED</x:v>
      </x:c>
      <x:c r="L41" s="62" t="n">
        <x:f>COUNTIFS($B$5:$B$112,B41,$D$5:$D$112,D41)</x:f>
        <x:v>1</x:v>
      </x:c>
      <x:c r="M41" s="62" t="n">
        <x:f>COUNTIF($A$5:$A$112,A41)</x:f>
        <x:v>1</x:v>
      </x:c>
      <x:c r="N41" s="62" t="str">
        <x:v>No accepted evidence exists</x:v>
      </x:c>
    </x:row>
    <x:row r="42">
      <x:c r="A42" s="62" t="str">
        <x:v>HC-A-A-INDEPENDENCE</x:v>
      </x:c>
      <x:c r="B42" s="62" t="str">
        <x:v>HC-A-A</x:v>
      </x:c>
      <x:c r="C42" s="62" t="str">
        <x:v>HC-A</x:v>
      </x:c>
      <x:c r="D42" s="62" t="str">
        <x:v>INDEPENDENCE</x:v>
      </x:c>
      <x:c r="E42" s="62" t="str">
        <x:v>Largest-cell-loss independence</x:v>
      </x:c>
      <x:c r="F42" s="62" t="str">
        <x:v>The surviving article retains its root lower bound without hidden common cause.</x:v>
      </x:c>
      <x:c r="G42" s="62" t="str">
        <x:v>UNTRIED</x:v>
      </x:c>
      <x:c r="H42" s="62" t="str"/>
      <x:c r="I42" s="63" t="n">
        <x:v>0</x:v>
      </x:c>
      <x:c r="J42" s="63" t="n">
        <x:v>0</x:v>
      </x:c>
      <x:c r="K42" s="62" t="str">
        <x:f>IF(OR(I42=0,J42=0,H42=""),"UNTRIED",IF(G42="PASS","PASS",IF(G42="FAIL","FAIL","HOLD")))</x:f>
        <x:v>UNTRIED</x:v>
      </x:c>
      <x:c r="L42" s="62" t="n">
        <x:f>COUNTIFS($B$5:$B$112,B42,$D$5:$D$112,D42)</x:f>
        <x:v>1</x:v>
      </x:c>
      <x:c r="M42" s="62" t="n">
        <x:f>COUNTIF($A$5:$A$112,A42)</x:f>
        <x:v>1</x:v>
      </x:c>
      <x:c r="N42" s="62" t="str">
        <x:v>No accepted evidence exists</x:v>
      </x:c>
    </x:row>
    <x:row r="43">
      <x:c r="A43" s="62" t="str">
        <x:v>HC-A-A-SAFE-RIGHTS</x:v>
      </x:c>
      <x:c r="B43" s="62" t="str">
        <x:v>HC-A-A</x:v>
      </x:c>
      <x:c r="C43" s="62" t="str">
        <x:v>HC-A</x:v>
      </x:c>
      <x:c r="D43" s="62" t="str">
        <x:v>SAFE-RIGHTS</x:v>
      </x:c>
      <x:c r="E43" s="62" t="str">
        <x:v>Safe state / rights</x:v>
      </x:c>
      <x:c r="F43" s="62" t="str">
        <x:v>Physical safeing preserves consent, access, due process and protected populations.</x:v>
      </x:c>
      <x:c r="G43" s="62" t="str">
        <x:v>UNTRIED</x:v>
      </x:c>
      <x:c r="H43" s="62" t="str"/>
      <x:c r="I43" s="63" t="n">
        <x:v>0</x:v>
      </x:c>
      <x:c r="J43" s="63" t="n">
        <x:v>0</x:v>
      </x:c>
      <x:c r="K43" s="62" t="str">
        <x:f>IF(OR(I43=0,J43=0,H43=""),"UNTRIED",IF(G43="PASS","PASS",IF(G43="FAIL","FAIL","HOLD")))</x:f>
        <x:v>UNTRIED</x:v>
      </x:c>
      <x:c r="L43" s="62" t="n">
        <x:f>COUNTIFS($B$5:$B$112,B43,$D$5:$D$112,D43)</x:f>
        <x:v>1</x:v>
      </x:c>
      <x:c r="M43" s="62" t="n">
        <x:f>COUNTIF($A$5:$A$112,A43)</x:f>
        <x:v>1</x:v>
      </x:c>
      <x:c r="N43" s="62" t="str">
        <x:v>No accepted evidence exists</x:v>
      </x:c>
    </x:row>
    <x:row r="44">
      <x:c r="A44" s="62" t="str">
        <x:v>HC-A-A-RESIDUAL</x:v>
      </x:c>
      <x:c r="B44" s="62" t="str">
        <x:v>HC-A-A</x:v>
      </x:c>
      <x:c r="C44" s="62" t="str">
        <x:v>HC-A</x:v>
      </x:c>
      <x:c r="D44" s="62" t="str">
        <x:v>RESIDUAL</x:v>
      </x:c>
      <x:c r="E44" s="62" t="str">
        <x:v>Residual custody</x:v>
      </x:c>
      <x:c r="F44" s="62" t="str">
        <x:v>Mass, energy, contamination, waste and disposition reconcile after the event.</x:v>
      </x:c>
      <x:c r="G44" s="62" t="str">
        <x:v>UNTRIED</x:v>
      </x:c>
      <x:c r="H44" s="62" t="str"/>
      <x:c r="I44" s="63" t="n">
        <x:v>0</x:v>
      </x:c>
      <x:c r="J44" s="63" t="n">
        <x:v>0</x:v>
      </x:c>
      <x:c r="K44" s="62" t="str">
        <x:f>IF(OR(I44=0,J44=0,H44=""),"UNTRIED",IF(G44="PASS","PASS",IF(G44="FAIL","FAIL","HOLD")))</x:f>
        <x:v>UNTRIED</x:v>
      </x:c>
      <x:c r="L44" s="62" t="n">
        <x:f>COUNTIFS($B$5:$B$112,B44,$D$5:$D$112,D44)</x:f>
        <x:v>1</x:v>
      </x:c>
      <x:c r="M44" s="62" t="n">
        <x:f>COUNTIF($A$5:$A$112,A44)</x:f>
        <x:v>1</x:v>
      </x:c>
      <x:c r="N44" s="62" t="str">
        <x:v>No accepted evidence exists</x:v>
      </x:c>
    </x:row>
    <x:row r="45">
      <x:c r="A45" s="62" t="str">
        <x:v>HC-A-A-RECON</x:v>
      </x:c>
      <x:c r="B45" s="62" t="str">
        <x:v>HC-A-A</x:v>
      </x:c>
      <x:c r="C45" s="62" t="str">
        <x:v>HC-A</x:v>
      </x:c>
      <x:c r="D45" s="62" t="str">
        <x:v>RECON</x:v>
      </x:c>
      <x:c r="E45" s="62" t="str">
        <x:v>Cold reconstruction / ancestry</x:v>
      </x:c>
      <x:c r="F45" s="62" t="str">
        <x:v>A clean team reconstructs the decisive function from sealed public records and held inventory.</x:v>
      </x:c>
      <x:c r="G45" s="62" t="str">
        <x:v>UNTRIED</x:v>
      </x:c>
      <x:c r="H45" s="62" t="str"/>
      <x:c r="I45" s="63" t="n">
        <x:v>0</x:v>
      </x:c>
      <x:c r="J45" s="63" t="n">
        <x:v>0</x:v>
      </x:c>
      <x:c r="K45" s="62" t="str">
        <x:f>IF(OR(I45=0,J45=0,H45=""),"UNTRIED",IF(G45="PASS","PASS",IF(G45="FAIL","FAIL","HOLD")))</x:f>
        <x:v>UNTRIED</x:v>
      </x:c>
      <x:c r="L45" s="62" t="n">
        <x:f>COUNTIFS($B$5:$B$112,B45,$D$5:$D$112,D45)</x:f>
        <x:v>1</x:v>
      </x:c>
      <x:c r="M45" s="62" t="n">
        <x:f>COUNTIF($A$5:$A$112,A45)</x:f>
        <x:v>1</x:v>
      </x:c>
      <x:c r="N45" s="62" t="str">
        <x:v>No accepted evidence exists</x:v>
      </x:c>
    </x:row>
    <x:row r="46">
      <x:c r="A46" s="62" t="str">
        <x:v>HC-A-A-RECEIVER</x:v>
      </x:c>
      <x:c r="B46" s="62" t="str">
        <x:v>HC-A-A</x:v>
      </x:c>
      <x:c r="C46" s="62" t="str">
        <x:v>HC-A</x:v>
      </x:c>
      <x:c r="D46" s="62" t="str">
        <x:v>RECEIVER</x:v>
      </x:c>
      <x:c r="E46" s="62" t="str">
        <x:v>Receiver-compatible completion</x:v>
      </x:c>
      <x:c r="F46" s="62" t="str">
        <x:v>The receiving system accepts the delivered mission state without hidden external completion.</x:v>
      </x:c>
      <x:c r="G46" s="62" t="str">
        <x:v>UNTRIED</x:v>
      </x:c>
      <x:c r="H46" s="62" t="str"/>
      <x:c r="I46" s="63" t="n">
        <x:v>0</x:v>
      </x:c>
      <x:c r="J46" s="63" t="n">
        <x:v>0</x:v>
      </x:c>
      <x:c r="K46" s="62" t="str">
        <x:f>IF(OR(I46=0,J46=0,H46=""),"UNTRIED",IF(G46="PASS","PASS",IF(G46="FAIL","FAIL","HOLD")))</x:f>
        <x:v>UNTRIED</x:v>
      </x:c>
      <x:c r="L46" s="62" t="n">
        <x:f>COUNTIFS($B$5:$B$112,B46,$D$5:$D$112,D46)</x:f>
        <x:v>1</x:v>
      </x:c>
      <x:c r="M46" s="62" t="n">
        <x:f>COUNTIF($A$5:$A$112,A46)</x:f>
        <x:v>1</x:v>
      </x:c>
      <x:c r="N46" s="62" t="str">
        <x:v>No accepted evidence exists</x:v>
      </x:c>
    </x:row>
    <x:row r="47">
      <x:c r="A47" s="62" t="str">
        <x:v>HC-A-B-CAUSAL</x:v>
      </x:c>
      <x:c r="B47" s="62" t="str">
        <x:v>HC-A-B</x:v>
      </x:c>
      <x:c r="C47" s="62" t="str">
        <x:v>HC-A</x:v>
      </x:c>
      <x:c r="D47" s="62" t="str">
        <x:v>CAUSAL</x:v>
      </x:c>
      <x:c r="E47" s="62" t="str">
        <x:v>Causal effect / denominator</x:v>
      </x:c>
      <x:c r="F47" s="62" t="str">
        <x:v>A bounded denominator and attributable mission effect under the destructive event.</x:v>
      </x:c>
      <x:c r="G47" s="62" t="str">
        <x:v>UNTRIED</x:v>
      </x:c>
      <x:c r="H47" s="62" t="str"/>
      <x:c r="I47" s="63" t="n">
        <x:v>0</x:v>
      </x:c>
      <x:c r="J47" s="63" t="n">
        <x:v>0</x:v>
      </x:c>
      <x:c r="K47" s="62" t="str">
        <x:f>IF(OR(I47=0,J47=0,H47=""),"UNTRIED",IF(G47="PASS","PASS",IF(G47="FAIL","FAIL","HOLD")))</x:f>
        <x:v>UNTRIED</x:v>
      </x:c>
      <x:c r="L47" s="62" t="n">
        <x:f>COUNTIFS($B$5:$B$112,B47,$D$5:$D$112,D47)</x:f>
        <x:v>1</x:v>
      </x:c>
      <x:c r="M47" s="62" t="n">
        <x:f>COUNTIF($A$5:$A$112,A47)</x:f>
        <x:v>1</x:v>
      </x:c>
      <x:c r="N47" s="62" t="str">
        <x:v>No accepted evidence exists</x:v>
      </x:c>
    </x:row>
    <x:row r="48">
      <x:c r="A48" s="62" t="str">
        <x:v>HC-A-B-INDEPENDENCE</x:v>
      </x:c>
      <x:c r="B48" s="62" t="str">
        <x:v>HC-A-B</x:v>
      </x:c>
      <x:c r="C48" s="62" t="str">
        <x:v>HC-A</x:v>
      </x:c>
      <x:c r="D48" s="62" t="str">
        <x:v>INDEPENDENCE</x:v>
      </x:c>
      <x:c r="E48" s="62" t="str">
        <x:v>Largest-cell-loss independence</x:v>
      </x:c>
      <x:c r="F48" s="62" t="str">
        <x:v>The surviving article retains its root lower bound without hidden common cause.</x:v>
      </x:c>
      <x:c r="G48" s="62" t="str">
        <x:v>UNTRIED</x:v>
      </x:c>
      <x:c r="H48" s="62" t="str"/>
      <x:c r="I48" s="63" t="n">
        <x:v>0</x:v>
      </x:c>
      <x:c r="J48" s="63" t="n">
        <x:v>0</x:v>
      </x:c>
      <x:c r="K48" s="62" t="str">
        <x:f>IF(OR(I48=0,J48=0,H48=""),"UNTRIED",IF(G48="PASS","PASS",IF(G48="FAIL","FAIL","HOLD")))</x:f>
        <x:v>UNTRIED</x:v>
      </x:c>
      <x:c r="L48" s="62" t="n">
        <x:f>COUNTIFS($B$5:$B$112,B48,$D$5:$D$112,D48)</x:f>
        <x:v>1</x:v>
      </x:c>
      <x:c r="M48" s="62" t="n">
        <x:f>COUNTIF($A$5:$A$112,A48)</x:f>
        <x:v>1</x:v>
      </x:c>
      <x:c r="N48" s="62" t="str">
        <x:v>No accepted evidence exists</x:v>
      </x:c>
    </x:row>
    <x:row r="49">
      <x:c r="A49" s="62" t="str">
        <x:v>HC-A-B-SAFE-RIGHTS</x:v>
      </x:c>
      <x:c r="B49" s="62" t="str">
        <x:v>HC-A-B</x:v>
      </x:c>
      <x:c r="C49" s="62" t="str">
        <x:v>HC-A</x:v>
      </x:c>
      <x:c r="D49" s="62" t="str">
        <x:v>SAFE-RIGHTS</x:v>
      </x:c>
      <x:c r="E49" s="62" t="str">
        <x:v>Safe state / rights</x:v>
      </x:c>
      <x:c r="F49" s="62" t="str">
        <x:v>Physical safeing preserves consent, access, due process and protected populations.</x:v>
      </x:c>
      <x:c r="G49" s="62" t="str">
        <x:v>UNTRIED</x:v>
      </x:c>
      <x:c r="H49" s="62" t="str"/>
      <x:c r="I49" s="63" t="n">
        <x:v>0</x:v>
      </x:c>
      <x:c r="J49" s="63" t="n">
        <x:v>0</x:v>
      </x:c>
      <x:c r="K49" s="62" t="str">
        <x:f>IF(OR(I49=0,J49=0,H49=""),"UNTRIED",IF(G49="PASS","PASS",IF(G49="FAIL","FAIL","HOLD")))</x:f>
        <x:v>UNTRIED</x:v>
      </x:c>
      <x:c r="L49" s="62" t="n">
        <x:f>COUNTIFS($B$5:$B$112,B49,$D$5:$D$112,D49)</x:f>
        <x:v>1</x:v>
      </x:c>
      <x:c r="M49" s="62" t="n">
        <x:f>COUNTIF($A$5:$A$112,A49)</x:f>
        <x:v>1</x:v>
      </x:c>
      <x:c r="N49" s="62" t="str">
        <x:v>No accepted evidence exists</x:v>
      </x:c>
    </x:row>
    <x:row r="50">
      <x:c r="A50" s="62" t="str">
        <x:v>HC-A-B-RESIDUAL</x:v>
      </x:c>
      <x:c r="B50" s="62" t="str">
        <x:v>HC-A-B</x:v>
      </x:c>
      <x:c r="C50" s="62" t="str">
        <x:v>HC-A</x:v>
      </x:c>
      <x:c r="D50" s="62" t="str">
        <x:v>RESIDUAL</x:v>
      </x:c>
      <x:c r="E50" s="62" t="str">
        <x:v>Residual custody</x:v>
      </x:c>
      <x:c r="F50" s="62" t="str">
        <x:v>Mass, energy, contamination, waste and disposition reconcile after the event.</x:v>
      </x:c>
      <x:c r="G50" s="62" t="str">
        <x:v>UNTRIED</x:v>
      </x:c>
      <x:c r="H50" s="62" t="str"/>
      <x:c r="I50" s="63" t="n">
        <x:v>0</x:v>
      </x:c>
      <x:c r="J50" s="63" t="n">
        <x:v>0</x:v>
      </x:c>
      <x:c r="K50" s="62" t="str">
        <x:f>IF(OR(I50=0,J50=0,H50=""),"UNTRIED",IF(G50="PASS","PASS",IF(G50="FAIL","FAIL","HOLD")))</x:f>
        <x:v>UNTRIED</x:v>
      </x:c>
      <x:c r="L50" s="62" t="n">
        <x:f>COUNTIFS($B$5:$B$112,B50,$D$5:$D$112,D50)</x:f>
        <x:v>1</x:v>
      </x:c>
      <x:c r="M50" s="62" t="n">
        <x:f>COUNTIF($A$5:$A$112,A50)</x:f>
        <x:v>1</x:v>
      </x:c>
      <x:c r="N50" s="62" t="str">
        <x:v>No accepted evidence exists</x:v>
      </x:c>
    </x:row>
    <x:row r="51">
      <x:c r="A51" s="62" t="str">
        <x:v>HC-A-B-RECON</x:v>
      </x:c>
      <x:c r="B51" s="62" t="str">
        <x:v>HC-A-B</x:v>
      </x:c>
      <x:c r="C51" s="62" t="str">
        <x:v>HC-A</x:v>
      </x:c>
      <x:c r="D51" s="62" t="str">
        <x:v>RECON</x:v>
      </x:c>
      <x:c r="E51" s="62" t="str">
        <x:v>Cold reconstruction / ancestry</x:v>
      </x:c>
      <x:c r="F51" s="62" t="str">
        <x:v>A clean team reconstructs the decisive function from sealed public records and held inventory.</x:v>
      </x:c>
      <x:c r="G51" s="62" t="str">
        <x:v>UNTRIED</x:v>
      </x:c>
      <x:c r="H51" s="62" t="str"/>
      <x:c r="I51" s="63" t="n">
        <x:v>0</x:v>
      </x:c>
      <x:c r="J51" s="63" t="n">
        <x:v>0</x:v>
      </x:c>
      <x:c r="K51" s="62" t="str">
        <x:f>IF(OR(I51=0,J51=0,H51=""),"UNTRIED",IF(G51="PASS","PASS",IF(G51="FAIL","FAIL","HOLD")))</x:f>
        <x:v>UNTRIED</x:v>
      </x:c>
      <x:c r="L51" s="62" t="n">
        <x:f>COUNTIFS($B$5:$B$112,B51,$D$5:$D$112,D51)</x:f>
        <x:v>1</x:v>
      </x:c>
      <x:c r="M51" s="62" t="n">
        <x:f>COUNTIF($A$5:$A$112,A51)</x:f>
        <x:v>1</x:v>
      </x:c>
      <x:c r="N51" s="62" t="str">
        <x:v>No accepted evidence exists</x:v>
      </x:c>
    </x:row>
    <x:row r="52">
      <x:c r="A52" s="62" t="str">
        <x:v>HC-A-B-RECEIVER</x:v>
      </x:c>
      <x:c r="B52" s="62" t="str">
        <x:v>HC-A-B</x:v>
      </x:c>
      <x:c r="C52" s="62" t="str">
        <x:v>HC-A</x:v>
      </x:c>
      <x:c r="D52" s="62" t="str">
        <x:v>RECEIVER</x:v>
      </x:c>
      <x:c r="E52" s="62" t="str">
        <x:v>Receiver-compatible completion</x:v>
      </x:c>
      <x:c r="F52" s="62" t="str">
        <x:v>The receiving system accepts the delivered mission state without hidden external completion.</x:v>
      </x:c>
      <x:c r="G52" s="62" t="str">
        <x:v>UNTRIED</x:v>
      </x:c>
      <x:c r="H52" s="62" t="str"/>
      <x:c r="I52" s="63" t="n">
        <x:v>0</x:v>
      </x:c>
      <x:c r="J52" s="63" t="n">
        <x:v>0</x:v>
      </x:c>
      <x:c r="K52" s="62" t="str">
        <x:f>IF(OR(I52=0,J52=0,H52=""),"UNTRIED",IF(G52="PASS","PASS",IF(G52="FAIL","FAIL","HOLD")))</x:f>
        <x:v>UNTRIED</x:v>
      </x:c>
      <x:c r="L52" s="62" t="n">
        <x:f>COUNTIFS($B$5:$B$112,B52,$D$5:$D$112,D52)</x:f>
        <x:v>1</x:v>
      </x:c>
      <x:c r="M52" s="62" t="n">
        <x:f>COUNTIF($A$5:$A$112,A52)</x:f>
        <x:v>1</x:v>
      </x:c>
      <x:c r="N52" s="62" t="str">
        <x:v>No accepted evidence exists</x:v>
      </x:c>
    </x:row>
    <x:row r="53">
      <x:c r="A53" s="62" t="str">
        <x:v>HC-A-C-CAUSAL</x:v>
      </x:c>
      <x:c r="B53" s="62" t="str">
        <x:v>HC-A-C</x:v>
      </x:c>
      <x:c r="C53" s="62" t="str">
        <x:v>HC-A</x:v>
      </x:c>
      <x:c r="D53" s="62" t="str">
        <x:v>CAUSAL</x:v>
      </x:c>
      <x:c r="E53" s="62" t="str">
        <x:v>Causal effect / denominator</x:v>
      </x:c>
      <x:c r="F53" s="62" t="str">
        <x:v>A bounded denominator and attributable mission effect under the destructive event.</x:v>
      </x:c>
      <x:c r="G53" s="62" t="str">
        <x:v>UNTRIED</x:v>
      </x:c>
      <x:c r="H53" s="62" t="str"/>
      <x:c r="I53" s="63" t="n">
        <x:v>0</x:v>
      </x:c>
      <x:c r="J53" s="63" t="n">
        <x:v>0</x:v>
      </x:c>
      <x:c r="K53" s="62" t="str">
        <x:f>IF(OR(I53=0,J53=0,H53=""),"UNTRIED",IF(G53="PASS","PASS",IF(G53="FAIL","FAIL","HOLD")))</x:f>
        <x:v>UNTRIED</x:v>
      </x:c>
      <x:c r="L53" s="62" t="n">
        <x:f>COUNTIFS($B$5:$B$112,B53,$D$5:$D$112,D53)</x:f>
        <x:v>1</x:v>
      </x:c>
      <x:c r="M53" s="62" t="n">
        <x:f>COUNTIF($A$5:$A$112,A53)</x:f>
        <x:v>1</x:v>
      </x:c>
      <x:c r="N53" s="62" t="str">
        <x:v>No accepted evidence exists</x:v>
      </x:c>
    </x:row>
    <x:row r="54">
      <x:c r="A54" s="62" t="str">
        <x:v>HC-A-C-INDEPENDENCE</x:v>
      </x:c>
      <x:c r="B54" s="62" t="str">
        <x:v>HC-A-C</x:v>
      </x:c>
      <x:c r="C54" s="62" t="str">
        <x:v>HC-A</x:v>
      </x:c>
      <x:c r="D54" s="62" t="str">
        <x:v>INDEPENDENCE</x:v>
      </x:c>
      <x:c r="E54" s="62" t="str">
        <x:v>Largest-cell-loss independence</x:v>
      </x:c>
      <x:c r="F54" s="62" t="str">
        <x:v>The surviving article retains its root lower bound without hidden common cause.</x:v>
      </x:c>
      <x:c r="G54" s="62" t="str">
        <x:v>UNTRIED</x:v>
      </x:c>
      <x:c r="H54" s="62" t="str"/>
      <x:c r="I54" s="63" t="n">
        <x:v>0</x:v>
      </x:c>
      <x:c r="J54" s="63" t="n">
        <x:v>0</x:v>
      </x:c>
      <x:c r="K54" s="62" t="str">
        <x:f>IF(OR(I54=0,J54=0,H54=""),"UNTRIED",IF(G54="PASS","PASS",IF(G54="FAIL","FAIL","HOLD")))</x:f>
        <x:v>UNTRIED</x:v>
      </x:c>
      <x:c r="L54" s="62" t="n">
        <x:f>COUNTIFS($B$5:$B$112,B54,$D$5:$D$112,D54)</x:f>
        <x:v>1</x:v>
      </x:c>
      <x:c r="M54" s="62" t="n">
        <x:f>COUNTIF($A$5:$A$112,A54)</x:f>
        <x:v>1</x:v>
      </x:c>
      <x:c r="N54" s="62" t="str">
        <x:v>No accepted evidence exists</x:v>
      </x:c>
    </x:row>
    <x:row r="55">
      <x:c r="A55" s="62" t="str">
        <x:v>HC-A-C-SAFE-RIGHTS</x:v>
      </x:c>
      <x:c r="B55" s="62" t="str">
        <x:v>HC-A-C</x:v>
      </x:c>
      <x:c r="C55" s="62" t="str">
        <x:v>HC-A</x:v>
      </x:c>
      <x:c r="D55" s="62" t="str">
        <x:v>SAFE-RIGHTS</x:v>
      </x:c>
      <x:c r="E55" s="62" t="str">
        <x:v>Safe state / rights</x:v>
      </x:c>
      <x:c r="F55" s="62" t="str">
        <x:v>Physical safeing preserves consent, access, due process and protected populations.</x:v>
      </x:c>
      <x:c r="G55" s="62" t="str">
        <x:v>UNTRIED</x:v>
      </x:c>
      <x:c r="H55" s="62" t="str"/>
      <x:c r="I55" s="63" t="n">
        <x:v>0</x:v>
      </x:c>
      <x:c r="J55" s="63" t="n">
        <x:v>0</x:v>
      </x:c>
      <x:c r="K55" s="62" t="str">
        <x:f>IF(OR(I55=0,J55=0,H55=""),"UNTRIED",IF(G55="PASS","PASS",IF(G55="FAIL","FAIL","HOLD")))</x:f>
        <x:v>UNTRIED</x:v>
      </x:c>
      <x:c r="L55" s="62" t="n">
        <x:f>COUNTIFS($B$5:$B$112,B55,$D$5:$D$112,D55)</x:f>
        <x:v>1</x:v>
      </x:c>
      <x:c r="M55" s="62" t="n">
        <x:f>COUNTIF($A$5:$A$112,A55)</x:f>
        <x:v>1</x:v>
      </x:c>
      <x:c r="N55" s="62" t="str">
        <x:v>No accepted evidence exists</x:v>
      </x:c>
    </x:row>
    <x:row r="56">
      <x:c r="A56" s="62" t="str">
        <x:v>HC-A-C-RESIDUAL</x:v>
      </x:c>
      <x:c r="B56" s="62" t="str">
        <x:v>HC-A-C</x:v>
      </x:c>
      <x:c r="C56" s="62" t="str">
        <x:v>HC-A</x:v>
      </x:c>
      <x:c r="D56" s="62" t="str">
        <x:v>RESIDUAL</x:v>
      </x:c>
      <x:c r="E56" s="62" t="str">
        <x:v>Residual custody</x:v>
      </x:c>
      <x:c r="F56" s="62" t="str">
        <x:v>Mass, energy, contamination, waste and disposition reconcile after the event.</x:v>
      </x:c>
      <x:c r="G56" s="62" t="str">
        <x:v>UNTRIED</x:v>
      </x:c>
      <x:c r="H56" s="62" t="str"/>
      <x:c r="I56" s="63" t="n">
        <x:v>0</x:v>
      </x:c>
      <x:c r="J56" s="63" t="n">
        <x:v>0</x:v>
      </x:c>
      <x:c r="K56" s="62" t="str">
        <x:f>IF(OR(I56=0,J56=0,H56=""),"UNTRIED",IF(G56="PASS","PASS",IF(G56="FAIL","FAIL","HOLD")))</x:f>
        <x:v>UNTRIED</x:v>
      </x:c>
      <x:c r="L56" s="62" t="n">
        <x:f>COUNTIFS($B$5:$B$112,B56,$D$5:$D$112,D56)</x:f>
        <x:v>1</x:v>
      </x:c>
      <x:c r="M56" s="62" t="n">
        <x:f>COUNTIF($A$5:$A$112,A56)</x:f>
        <x:v>1</x:v>
      </x:c>
      <x:c r="N56" s="62" t="str">
        <x:v>No accepted evidence exists</x:v>
      </x:c>
    </x:row>
    <x:row r="57">
      <x:c r="A57" s="62" t="str">
        <x:v>HC-A-C-RECON</x:v>
      </x:c>
      <x:c r="B57" s="62" t="str">
        <x:v>HC-A-C</x:v>
      </x:c>
      <x:c r="C57" s="62" t="str">
        <x:v>HC-A</x:v>
      </x:c>
      <x:c r="D57" s="62" t="str">
        <x:v>RECON</x:v>
      </x:c>
      <x:c r="E57" s="62" t="str">
        <x:v>Cold reconstruction / ancestry</x:v>
      </x:c>
      <x:c r="F57" s="62" t="str">
        <x:v>A clean team reconstructs the decisive function from sealed public records and held inventory.</x:v>
      </x:c>
      <x:c r="G57" s="62" t="str">
        <x:v>UNTRIED</x:v>
      </x:c>
      <x:c r="H57" s="62" t="str"/>
      <x:c r="I57" s="63" t="n">
        <x:v>0</x:v>
      </x:c>
      <x:c r="J57" s="63" t="n">
        <x:v>0</x:v>
      </x:c>
      <x:c r="K57" s="62" t="str">
        <x:f>IF(OR(I57=0,J57=0,H57=""),"UNTRIED",IF(G57="PASS","PASS",IF(G57="FAIL","FAIL","HOLD")))</x:f>
        <x:v>UNTRIED</x:v>
      </x:c>
      <x:c r="L57" s="62" t="n">
        <x:f>COUNTIFS($B$5:$B$112,B57,$D$5:$D$112,D57)</x:f>
        <x:v>1</x:v>
      </x:c>
      <x:c r="M57" s="62" t="n">
        <x:f>COUNTIF($A$5:$A$112,A57)</x:f>
        <x:v>1</x:v>
      </x:c>
      <x:c r="N57" s="62" t="str">
        <x:v>No accepted evidence exists</x:v>
      </x:c>
    </x:row>
    <x:row r="58">
      <x:c r="A58" s="62" t="str">
        <x:v>HC-A-C-RECEIVER</x:v>
      </x:c>
      <x:c r="B58" s="62" t="str">
        <x:v>HC-A-C</x:v>
      </x:c>
      <x:c r="C58" s="62" t="str">
        <x:v>HC-A</x:v>
      </x:c>
      <x:c r="D58" s="62" t="str">
        <x:v>RECEIVER</x:v>
      </x:c>
      <x:c r="E58" s="62" t="str">
        <x:v>Receiver-compatible completion</x:v>
      </x:c>
      <x:c r="F58" s="62" t="str">
        <x:v>The receiving system accepts the delivered mission state without hidden external completion.</x:v>
      </x:c>
      <x:c r="G58" s="62" t="str">
        <x:v>UNTRIED</x:v>
      </x:c>
      <x:c r="H58" s="62" t="str"/>
      <x:c r="I58" s="63" t="n">
        <x:v>0</x:v>
      </x:c>
      <x:c r="J58" s="63" t="n">
        <x:v>0</x:v>
      </x:c>
      <x:c r="K58" s="62" t="str">
        <x:f>IF(OR(I58=0,J58=0,H58=""),"UNTRIED",IF(G58="PASS","PASS",IF(G58="FAIL","FAIL","HOLD")))</x:f>
        <x:v>UNTRIED</x:v>
      </x:c>
      <x:c r="L58" s="62" t="n">
        <x:f>COUNTIFS($B$5:$B$112,B58,$D$5:$D$112,D58)</x:f>
        <x:v>1</x:v>
      </x:c>
      <x:c r="M58" s="62" t="n">
        <x:f>COUNTIF($A$5:$A$112,A58)</x:f>
        <x:v>1</x:v>
      </x:c>
      <x:c r="N58" s="62" t="str">
        <x:v>No accepted evidence exists</x:v>
      </x:c>
    </x:row>
    <x:row r="59">
      <x:c r="A59" s="62" t="str">
        <x:v>LF-B-A-CAUSAL</x:v>
      </x:c>
      <x:c r="B59" s="62" t="str">
        <x:v>LF-B-A</x:v>
      </x:c>
      <x:c r="C59" s="62" t="str">
        <x:v>LF-B</x:v>
      </x:c>
      <x:c r="D59" s="62" t="str">
        <x:v>CAUSAL</x:v>
      </x:c>
      <x:c r="E59" s="62" t="str">
        <x:v>Causal effect / denominator</x:v>
      </x:c>
      <x:c r="F59" s="62" t="str">
        <x:v>A bounded denominator and attributable mission effect under the destructive event.</x:v>
      </x:c>
      <x:c r="G59" s="62" t="str">
        <x:v>UNTRIED</x:v>
      </x:c>
      <x:c r="H59" s="62" t="str"/>
      <x:c r="I59" s="63" t="n">
        <x:v>0</x:v>
      </x:c>
      <x:c r="J59" s="63" t="n">
        <x:v>0</x:v>
      </x:c>
      <x:c r="K59" s="62" t="str">
        <x:f>IF(OR(I59=0,J59=0,H59=""),"UNTRIED",IF(G59="PASS","PASS",IF(G59="FAIL","FAIL","HOLD")))</x:f>
        <x:v>UNTRIED</x:v>
      </x:c>
      <x:c r="L59" s="62" t="n">
        <x:f>COUNTIFS($B$5:$B$112,B59,$D$5:$D$112,D59)</x:f>
        <x:v>1</x:v>
      </x:c>
      <x:c r="M59" s="62" t="n">
        <x:f>COUNTIF($A$5:$A$112,A59)</x:f>
        <x:v>1</x:v>
      </x:c>
      <x:c r="N59" s="62" t="str">
        <x:v>No accepted evidence exists</x:v>
      </x:c>
    </x:row>
    <x:row r="60">
      <x:c r="A60" s="62" t="str">
        <x:v>LF-B-A-INDEPENDENCE</x:v>
      </x:c>
      <x:c r="B60" s="62" t="str">
        <x:v>LF-B-A</x:v>
      </x:c>
      <x:c r="C60" s="62" t="str">
        <x:v>LF-B</x:v>
      </x:c>
      <x:c r="D60" s="62" t="str">
        <x:v>INDEPENDENCE</x:v>
      </x:c>
      <x:c r="E60" s="62" t="str">
        <x:v>Largest-cell-loss independence</x:v>
      </x:c>
      <x:c r="F60" s="62" t="str">
        <x:v>The surviving article retains its root lower bound without hidden common cause.</x:v>
      </x:c>
      <x:c r="G60" s="62" t="str">
        <x:v>UNTRIED</x:v>
      </x:c>
      <x:c r="H60" s="62" t="str"/>
      <x:c r="I60" s="63" t="n">
        <x:v>0</x:v>
      </x:c>
      <x:c r="J60" s="63" t="n">
        <x:v>0</x:v>
      </x:c>
      <x:c r="K60" s="62" t="str">
        <x:f>IF(OR(I60=0,J60=0,H60=""),"UNTRIED",IF(G60="PASS","PASS",IF(G60="FAIL","FAIL","HOLD")))</x:f>
        <x:v>UNTRIED</x:v>
      </x:c>
      <x:c r="L60" s="62" t="n">
        <x:f>COUNTIFS($B$5:$B$112,B60,$D$5:$D$112,D60)</x:f>
        <x:v>1</x:v>
      </x:c>
      <x:c r="M60" s="62" t="n">
        <x:f>COUNTIF($A$5:$A$112,A60)</x:f>
        <x:v>1</x:v>
      </x:c>
      <x:c r="N60" s="62" t="str">
        <x:v>No accepted evidence exists</x:v>
      </x:c>
    </x:row>
    <x:row r="61">
      <x:c r="A61" s="62" t="str">
        <x:v>LF-B-A-SAFE-RIGHTS</x:v>
      </x:c>
      <x:c r="B61" s="62" t="str">
        <x:v>LF-B-A</x:v>
      </x:c>
      <x:c r="C61" s="62" t="str">
        <x:v>LF-B</x:v>
      </x:c>
      <x:c r="D61" s="62" t="str">
        <x:v>SAFE-RIGHTS</x:v>
      </x:c>
      <x:c r="E61" s="62" t="str">
        <x:v>Safe state / rights</x:v>
      </x:c>
      <x:c r="F61" s="62" t="str">
        <x:v>Physical safeing preserves consent, access, due process and protected populations.</x:v>
      </x:c>
      <x:c r="G61" s="62" t="str">
        <x:v>UNTRIED</x:v>
      </x:c>
      <x:c r="H61" s="62" t="str"/>
      <x:c r="I61" s="63" t="n">
        <x:v>0</x:v>
      </x:c>
      <x:c r="J61" s="63" t="n">
        <x:v>0</x:v>
      </x:c>
      <x:c r="K61" s="62" t="str">
        <x:f>IF(OR(I61=0,J61=0,H61=""),"UNTRIED",IF(G61="PASS","PASS",IF(G61="FAIL","FAIL","HOLD")))</x:f>
        <x:v>UNTRIED</x:v>
      </x:c>
      <x:c r="L61" s="62" t="n">
        <x:f>COUNTIFS($B$5:$B$112,B61,$D$5:$D$112,D61)</x:f>
        <x:v>1</x:v>
      </x:c>
      <x:c r="M61" s="62" t="n">
        <x:f>COUNTIF($A$5:$A$112,A61)</x:f>
        <x:v>1</x:v>
      </x:c>
      <x:c r="N61" s="62" t="str">
        <x:v>No accepted evidence exists</x:v>
      </x:c>
    </x:row>
    <x:row r="62">
      <x:c r="A62" s="62" t="str">
        <x:v>LF-B-A-RESIDUAL</x:v>
      </x:c>
      <x:c r="B62" s="62" t="str">
        <x:v>LF-B-A</x:v>
      </x:c>
      <x:c r="C62" s="62" t="str">
        <x:v>LF-B</x:v>
      </x:c>
      <x:c r="D62" s="62" t="str">
        <x:v>RESIDUAL</x:v>
      </x:c>
      <x:c r="E62" s="62" t="str">
        <x:v>Residual custody</x:v>
      </x:c>
      <x:c r="F62" s="62" t="str">
        <x:v>Mass, energy, contamination, waste and disposition reconcile after the event.</x:v>
      </x:c>
      <x:c r="G62" s="62" t="str">
        <x:v>UNTRIED</x:v>
      </x:c>
      <x:c r="H62" s="62" t="str"/>
      <x:c r="I62" s="63" t="n">
        <x:v>0</x:v>
      </x:c>
      <x:c r="J62" s="63" t="n">
        <x:v>0</x:v>
      </x:c>
      <x:c r="K62" s="62" t="str">
        <x:f>IF(OR(I62=0,J62=0,H62=""),"UNTRIED",IF(G62="PASS","PASS",IF(G62="FAIL","FAIL","HOLD")))</x:f>
        <x:v>UNTRIED</x:v>
      </x:c>
      <x:c r="L62" s="62" t="n">
        <x:f>COUNTIFS($B$5:$B$112,B62,$D$5:$D$112,D62)</x:f>
        <x:v>1</x:v>
      </x:c>
      <x:c r="M62" s="62" t="n">
        <x:f>COUNTIF($A$5:$A$112,A62)</x:f>
        <x:v>1</x:v>
      </x:c>
      <x:c r="N62" s="62" t="str">
        <x:v>No accepted evidence exists</x:v>
      </x:c>
    </x:row>
    <x:row r="63">
      <x:c r="A63" s="62" t="str">
        <x:v>LF-B-A-RECON</x:v>
      </x:c>
      <x:c r="B63" s="62" t="str">
        <x:v>LF-B-A</x:v>
      </x:c>
      <x:c r="C63" s="62" t="str">
        <x:v>LF-B</x:v>
      </x:c>
      <x:c r="D63" s="62" t="str">
        <x:v>RECON</x:v>
      </x:c>
      <x:c r="E63" s="62" t="str">
        <x:v>Cold reconstruction / ancestry</x:v>
      </x:c>
      <x:c r="F63" s="62" t="str">
        <x:v>A clean team reconstructs the decisive function from sealed public records and held inventory.</x:v>
      </x:c>
      <x:c r="G63" s="62" t="str">
        <x:v>UNTRIED</x:v>
      </x:c>
      <x:c r="H63" s="62" t="str"/>
      <x:c r="I63" s="63" t="n">
        <x:v>0</x:v>
      </x:c>
      <x:c r="J63" s="63" t="n">
        <x:v>0</x:v>
      </x:c>
      <x:c r="K63" s="62" t="str">
        <x:f>IF(OR(I63=0,J63=0,H63=""),"UNTRIED",IF(G63="PASS","PASS",IF(G63="FAIL","FAIL","HOLD")))</x:f>
        <x:v>UNTRIED</x:v>
      </x:c>
      <x:c r="L63" s="62" t="n">
        <x:f>COUNTIFS($B$5:$B$112,B63,$D$5:$D$112,D63)</x:f>
        <x:v>1</x:v>
      </x:c>
      <x:c r="M63" s="62" t="n">
        <x:f>COUNTIF($A$5:$A$112,A63)</x:f>
        <x:v>1</x:v>
      </x:c>
      <x:c r="N63" s="62" t="str">
        <x:v>No accepted evidence exists</x:v>
      </x:c>
    </x:row>
    <x:row r="64">
      <x:c r="A64" s="62" t="str">
        <x:v>LF-B-A-RECEIVER</x:v>
      </x:c>
      <x:c r="B64" s="62" t="str">
        <x:v>LF-B-A</x:v>
      </x:c>
      <x:c r="C64" s="62" t="str">
        <x:v>LF-B</x:v>
      </x:c>
      <x:c r="D64" s="62" t="str">
        <x:v>RECEIVER</x:v>
      </x:c>
      <x:c r="E64" s="62" t="str">
        <x:v>Receiver-compatible completion</x:v>
      </x:c>
      <x:c r="F64" s="62" t="str">
        <x:v>The receiving system accepts the delivered mission state without hidden external completion.</x:v>
      </x:c>
      <x:c r="G64" s="62" t="str">
        <x:v>UNTRIED</x:v>
      </x:c>
      <x:c r="H64" s="62" t="str"/>
      <x:c r="I64" s="63" t="n">
        <x:v>0</x:v>
      </x:c>
      <x:c r="J64" s="63" t="n">
        <x:v>0</x:v>
      </x:c>
      <x:c r="K64" s="62" t="str">
        <x:f>IF(OR(I64=0,J64=0,H64=""),"UNTRIED",IF(G64="PASS","PASS",IF(G64="FAIL","FAIL","HOLD")))</x:f>
        <x:v>UNTRIED</x:v>
      </x:c>
      <x:c r="L64" s="62" t="n">
        <x:f>COUNTIFS($B$5:$B$112,B64,$D$5:$D$112,D64)</x:f>
        <x:v>1</x:v>
      </x:c>
      <x:c r="M64" s="62" t="n">
        <x:f>COUNTIF($A$5:$A$112,A64)</x:f>
        <x:v>1</x:v>
      </x:c>
      <x:c r="N64" s="62" t="str">
        <x:v>No accepted evidence exists</x:v>
      </x:c>
    </x:row>
    <x:row r="65">
      <x:c r="A65" s="62" t="str">
        <x:v>LF-B-B-CAUSAL</x:v>
      </x:c>
      <x:c r="B65" s="62" t="str">
        <x:v>LF-B-B</x:v>
      </x:c>
      <x:c r="C65" s="62" t="str">
        <x:v>LF-B</x:v>
      </x:c>
      <x:c r="D65" s="62" t="str">
        <x:v>CAUSAL</x:v>
      </x:c>
      <x:c r="E65" s="62" t="str">
        <x:v>Causal effect / denominator</x:v>
      </x:c>
      <x:c r="F65" s="62" t="str">
        <x:v>A bounded denominator and attributable mission effect under the destructive event.</x:v>
      </x:c>
      <x:c r="G65" s="62" t="str">
        <x:v>UNTRIED</x:v>
      </x:c>
      <x:c r="H65" s="62" t="str"/>
      <x:c r="I65" s="63" t="n">
        <x:v>0</x:v>
      </x:c>
      <x:c r="J65" s="63" t="n">
        <x:v>0</x:v>
      </x:c>
      <x:c r="K65" s="62" t="str">
        <x:f>IF(OR(I65=0,J65=0,H65=""),"UNTRIED",IF(G65="PASS","PASS",IF(G65="FAIL","FAIL","HOLD")))</x:f>
        <x:v>UNTRIED</x:v>
      </x:c>
      <x:c r="L65" s="62" t="n">
        <x:f>COUNTIFS($B$5:$B$112,B65,$D$5:$D$112,D65)</x:f>
        <x:v>1</x:v>
      </x:c>
      <x:c r="M65" s="62" t="n">
        <x:f>COUNTIF($A$5:$A$112,A65)</x:f>
        <x:v>1</x:v>
      </x:c>
      <x:c r="N65" s="62" t="str">
        <x:v>No accepted evidence exists</x:v>
      </x:c>
    </x:row>
    <x:row r="66">
      <x:c r="A66" s="62" t="str">
        <x:v>LF-B-B-INDEPENDENCE</x:v>
      </x:c>
      <x:c r="B66" s="62" t="str">
        <x:v>LF-B-B</x:v>
      </x:c>
      <x:c r="C66" s="62" t="str">
        <x:v>LF-B</x:v>
      </x:c>
      <x:c r="D66" s="62" t="str">
        <x:v>INDEPENDENCE</x:v>
      </x:c>
      <x:c r="E66" s="62" t="str">
        <x:v>Largest-cell-loss independence</x:v>
      </x:c>
      <x:c r="F66" s="62" t="str">
        <x:v>The surviving article retains its root lower bound without hidden common cause.</x:v>
      </x:c>
      <x:c r="G66" s="62" t="str">
        <x:v>UNTRIED</x:v>
      </x:c>
      <x:c r="H66" s="62" t="str"/>
      <x:c r="I66" s="63" t="n">
        <x:v>0</x:v>
      </x:c>
      <x:c r="J66" s="63" t="n">
        <x:v>0</x:v>
      </x:c>
      <x:c r="K66" s="62" t="str">
        <x:f>IF(OR(I66=0,J66=0,H66=""),"UNTRIED",IF(G66="PASS","PASS",IF(G66="FAIL","FAIL","HOLD")))</x:f>
        <x:v>UNTRIED</x:v>
      </x:c>
      <x:c r="L66" s="62" t="n">
        <x:f>COUNTIFS($B$5:$B$112,B66,$D$5:$D$112,D66)</x:f>
        <x:v>1</x:v>
      </x:c>
      <x:c r="M66" s="62" t="n">
        <x:f>COUNTIF($A$5:$A$112,A66)</x:f>
        <x:v>1</x:v>
      </x:c>
      <x:c r="N66" s="62" t="str">
        <x:v>No accepted evidence exists</x:v>
      </x:c>
    </x:row>
    <x:row r="67">
      <x:c r="A67" s="62" t="str">
        <x:v>LF-B-B-SAFE-RIGHTS</x:v>
      </x:c>
      <x:c r="B67" s="62" t="str">
        <x:v>LF-B-B</x:v>
      </x:c>
      <x:c r="C67" s="62" t="str">
        <x:v>LF-B</x:v>
      </x:c>
      <x:c r="D67" s="62" t="str">
        <x:v>SAFE-RIGHTS</x:v>
      </x:c>
      <x:c r="E67" s="62" t="str">
        <x:v>Safe state / rights</x:v>
      </x:c>
      <x:c r="F67" s="62" t="str">
        <x:v>Physical safeing preserves consent, access, due process and protected populations.</x:v>
      </x:c>
      <x:c r="G67" s="62" t="str">
        <x:v>UNTRIED</x:v>
      </x:c>
      <x:c r="H67" s="62" t="str"/>
      <x:c r="I67" s="63" t="n">
        <x:v>0</x:v>
      </x:c>
      <x:c r="J67" s="63" t="n">
        <x:v>0</x:v>
      </x:c>
      <x:c r="K67" s="62" t="str">
        <x:f>IF(OR(I67=0,J67=0,H67=""),"UNTRIED",IF(G67="PASS","PASS",IF(G67="FAIL","FAIL","HOLD")))</x:f>
        <x:v>UNTRIED</x:v>
      </x:c>
      <x:c r="L67" s="62" t="n">
        <x:f>COUNTIFS($B$5:$B$112,B67,$D$5:$D$112,D67)</x:f>
        <x:v>1</x:v>
      </x:c>
      <x:c r="M67" s="62" t="n">
        <x:f>COUNTIF($A$5:$A$112,A67)</x:f>
        <x:v>1</x:v>
      </x:c>
      <x:c r="N67" s="62" t="str">
        <x:v>No accepted evidence exists</x:v>
      </x:c>
    </x:row>
    <x:row r="68">
      <x:c r="A68" s="62" t="str">
        <x:v>LF-B-B-RESIDUAL</x:v>
      </x:c>
      <x:c r="B68" s="62" t="str">
        <x:v>LF-B-B</x:v>
      </x:c>
      <x:c r="C68" s="62" t="str">
        <x:v>LF-B</x:v>
      </x:c>
      <x:c r="D68" s="62" t="str">
        <x:v>RESIDUAL</x:v>
      </x:c>
      <x:c r="E68" s="62" t="str">
        <x:v>Residual custody</x:v>
      </x:c>
      <x:c r="F68" s="62" t="str">
        <x:v>Mass, energy, contamination, waste and disposition reconcile after the event.</x:v>
      </x:c>
      <x:c r="G68" s="62" t="str">
        <x:v>UNTRIED</x:v>
      </x:c>
      <x:c r="H68" s="62" t="str"/>
      <x:c r="I68" s="63" t="n">
        <x:v>0</x:v>
      </x:c>
      <x:c r="J68" s="63" t="n">
        <x:v>0</x:v>
      </x:c>
      <x:c r="K68" s="62" t="str">
        <x:f>IF(OR(I68=0,J68=0,H68=""),"UNTRIED",IF(G68="PASS","PASS",IF(G68="FAIL","FAIL","HOLD")))</x:f>
        <x:v>UNTRIED</x:v>
      </x:c>
      <x:c r="L68" s="62" t="n">
        <x:f>COUNTIFS($B$5:$B$112,B68,$D$5:$D$112,D68)</x:f>
        <x:v>1</x:v>
      </x:c>
      <x:c r="M68" s="62" t="n">
        <x:f>COUNTIF($A$5:$A$112,A68)</x:f>
        <x:v>1</x:v>
      </x:c>
      <x:c r="N68" s="62" t="str">
        <x:v>No accepted evidence exists</x:v>
      </x:c>
    </x:row>
    <x:row r="69">
      <x:c r="A69" s="62" t="str">
        <x:v>LF-B-B-RECON</x:v>
      </x:c>
      <x:c r="B69" s="62" t="str">
        <x:v>LF-B-B</x:v>
      </x:c>
      <x:c r="C69" s="62" t="str">
        <x:v>LF-B</x:v>
      </x:c>
      <x:c r="D69" s="62" t="str">
        <x:v>RECON</x:v>
      </x:c>
      <x:c r="E69" s="62" t="str">
        <x:v>Cold reconstruction / ancestry</x:v>
      </x:c>
      <x:c r="F69" s="62" t="str">
        <x:v>A clean team reconstructs the decisive function from sealed public records and held inventory.</x:v>
      </x:c>
      <x:c r="G69" s="62" t="str">
        <x:v>UNTRIED</x:v>
      </x:c>
      <x:c r="H69" s="62" t="str"/>
      <x:c r="I69" s="63" t="n">
        <x:v>0</x:v>
      </x:c>
      <x:c r="J69" s="63" t="n">
        <x:v>0</x:v>
      </x:c>
      <x:c r="K69" s="62" t="str">
        <x:f>IF(OR(I69=0,J69=0,H69=""),"UNTRIED",IF(G69="PASS","PASS",IF(G69="FAIL","FAIL","HOLD")))</x:f>
        <x:v>UNTRIED</x:v>
      </x:c>
      <x:c r="L69" s="62" t="n">
        <x:f>COUNTIFS($B$5:$B$112,B69,$D$5:$D$112,D69)</x:f>
        <x:v>1</x:v>
      </x:c>
      <x:c r="M69" s="62" t="n">
        <x:f>COUNTIF($A$5:$A$112,A69)</x:f>
        <x:v>1</x:v>
      </x:c>
      <x:c r="N69" s="62" t="str">
        <x:v>No accepted evidence exists</x:v>
      </x:c>
    </x:row>
    <x:row r="70">
      <x:c r="A70" s="62" t="str">
        <x:v>LF-B-B-RECEIVER</x:v>
      </x:c>
      <x:c r="B70" s="62" t="str">
        <x:v>LF-B-B</x:v>
      </x:c>
      <x:c r="C70" s="62" t="str">
        <x:v>LF-B</x:v>
      </x:c>
      <x:c r="D70" s="62" t="str">
        <x:v>RECEIVER</x:v>
      </x:c>
      <x:c r="E70" s="62" t="str">
        <x:v>Receiver-compatible completion</x:v>
      </x:c>
      <x:c r="F70" s="62" t="str">
        <x:v>The receiving system accepts the delivered mission state without hidden external completion.</x:v>
      </x:c>
      <x:c r="G70" s="62" t="str">
        <x:v>UNTRIED</x:v>
      </x:c>
      <x:c r="H70" s="62" t="str"/>
      <x:c r="I70" s="63" t="n">
        <x:v>0</x:v>
      </x:c>
      <x:c r="J70" s="63" t="n">
        <x:v>0</x:v>
      </x:c>
      <x:c r="K70" s="62" t="str">
        <x:f>IF(OR(I70=0,J70=0,H70=""),"UNTRIED",IF(G70="PASS","PASS",IF(G70="FAIL","FAIL","HOLD")))</x:f>
        <x:v>UNTRIED</x:v>
      </x:c>
      <x:c r="L70" s="62" t="n">
        <x:f>COUNTIFS($B$5:$B$112,B70,$D$5:$D$112,D70)</x:f>
        <x:v>1</x:v>
      </x:c>
      <x:c r="M70" s="62" t="n">
        <x:f>COUNTIF($A$5:$A$112,A70)</x:f>
        <x:v>1</x:v>
      </x:c>
      <x:c r="N70" s="62" t="str">
        <x:v>No accepted evidence exists</x:v>
      </x:c>
    </x:row>
    <x:row r="71">
      <x:c r="A71" s="62" t="str">
        <x:v>LF-B-C-CAUSAL</x:v>
      </x:c>
      <x:c r="B71" s="62" t="str">
        <x:v>LF-B-C</x:v>
      </x:c>
      <x:c r="C71" s="62" t="str">
        <x:v>LF-B</x:v>
      </x:c>
      <x:c r="D71" s="62" t="str">
        <x:v>CAUSAL</x:v>
      </x:c>
      <x:c r="E71" s="62" t="str">
        <x:v>Causal effect / denominator</x:v>
      </x:c>
      <x:c r="F71" s="62" t="str">
        <x:v>A bounded denominator and attributable mission effect under the destructive event.</x:v>
      </x:c>
      <x:c r="G71" s="62" t="str">
        <x:v>UNTRIED</x:v>
      </x:c>
      <x:c r="H71" s="62" t="str"/>
      <x:c r="I71" s="63" t="n">
        <x:v>0</x:v>
      </x:c>
      <x:c r="J71" s="63" t="n">
        <x:v>0</x:v>
      </x:c>
      <x:c r="K71" s="62" t="str">
        <x:f>IF(OR(I71=0,J71=0,H71=""),"UNTRIED",IF(G71="PASS","PASS",IF(G71="FAIL","FAIL","HOLD")))</x:f>
        <x:v>UNTRIED</x:v>
      </x:c>
      <x:c r="L71" s="62" t="n">
        <x:f>COUNTIFS($B$5:$B$112,B71,$D$5:$D$112,D71)</x:f>
        <x:v>1</x:v>
      </x:c>
      <x:c r="M71" s="62" t="n">
        <x:f>COUNTIF($A$5:$A$112,A71)</x:f>
        <x:v>1</x:v>
      </x:c>
      <x:c r="N71" s="62" t="str">
        <x:v>No accepted evidence exists</x:v>
      </x:c>
    </x:row>
    <x:row r="72">
      <x:c r="A72" s="62" t="str">
        <x:v>LF-B-C-INDEPENDENCE</x:v>
      </x:c>
      <x:c r="B72" s="62" t="str">
        <x:v>LF-B-C</x:v>
      </x:c>
      <x:c r="C72" s="62" t="str">
        <x:v>LF-B</x:v>
      </x:c>
      <x:c r="D72" s="62" t="str">
        <x:v>INDEPENDENCE</x:v>
      </x:c>
      <x:c r="E72" s="62" t="str">
        <x:v>Largest-cell-loss independence</x:v>
      </x:c>
      <x:c r="F72" s="62" t="str">
        <x:v>The surviving article retains its root lower bound without hidden common cause.</x:v>
      </x:c>
      <x:c r="G72" s="62" t="str">
        <x:v>UNTRIED</x:v>
      </x:c>
      <x:c r="H72" s="62" t="str"/>
      <x:c r="I72" s="63" t="n">
        <x:v>0</x:v>
      </x:c>
      <x:c r="J72" s="63" t="n">
        <x:v>0</x:v>
      </x:c>
      <x:c r="K72" s="62" t="str">
        <x:f>IF(OR(I72=0,J72=0,H72=""),"UNTRIED",IF(G72="PASS","PASS",IF(G72="FAIL","FAIL","HOLD")))</x:f>
        <x:v>UNTRIED</x:v>
      </x:c>
      <x:c r="L72" s="62" t="n">
        <x:f>COUNTIFS($B$5:$B$112,B72,$D$5:$D$112,D72)</x:f>
        <x:v>1</x:v>
      </x:c>
      <x:c r="M72" s="62" t="n">
        <x:f>COUNTIF($A$5:$A$112,A72)</x:f>
        <x:v>1</x:v>
      </x:c>
      <x:c r="N72" s="62" t="str">
        <x:v>No accepted evidence exists</x:v>
      </x:c>
    </x:row>
    <x:row r="73">
      <x:c r="A73" s="62" t="str">
        <x:v>LF-B-C-SAFE-RIGHTS</x:v>
      </x:c>
      <x:c r="B73" s="62" t="str">
        <x:v>LF-B-C</x:v>
      </x:c>
      <x:c r="C73" s="62" t="str">
        <x:v>LF-B</x:v>
      </x:c>
      <x:c r="D73" s="62" t="str">
        <x:v>SAFE-RIGHTS</x:v>
      </x:c>
      <x:c r="E73" s="62" t="str">
        <x:v>Safe state / rights</x:v>
      </x:c>
      <x:c r="F73" s="62" t="str">
        <x:v>Physical safeing preserves consent, access, due process and protected populations.</x:v>
      </x:c>
      <x:c r="G73" s="62" t="str">
        <x:v>UNTRIED</x:v>
      </x:c>
      <x:c r="H73" s="62" t="str"/>
      <x:c r="I73" s="63" t="n">
        <x:v>0</x:v>
      </x:c>
      <x:c r="J73" s="63" t="n">
        <x:v>0</x:v>
      </x:c>
      <x:c r="K73" s="62" t="str">
        <x:f>IF(OR(I73=0,J73=0,H73=""),"UNTRIED",IF(G73="PASS","PASS",IF(G73="FAIL","FAIL","HOLD")))</x:f>
        <x:v>UNTRIED</x:v>
      </x:c>
      <x:c r="L73" s="62" t="n">
        <x:f>COUNTIFS($B$5:$B$112,B73,$D$5:$D$112,D73)</x:f>
        <x:v>1</x:v>
      </x:c>
      <x:c r="M73" s="62" t="n">
        <x:f>COUNTIF($A$5:$A$112,A73)</x:f>
        <x:v>1</x:v>
      </x:c>
      <x:c r="N73" s="62" t="str">
        <x:v>No accepted evidence exists</x:v>
      </x:c>
    </x:row>
    <x:row r="74">
      <x:c r="A74" s="62" t="str">
        <x:v>LF-B-C-RESIDUAL</x:v>
      </x:c>
      <x:c r="B74" s="62" t="str">
        <x:v>LF-B-C</x:v>
      </x:c>
      <x:c r="C74" s="62" t="str">
        <x:v>LF-B</x:v>
      </x:c>
      <x:c r="D74" s="62" t="str">
        <x:v>RESIDUAL</x:v>
      </x:c>
      <x:c r="E74" s="62" t="str">
        <x:v>Residual custody</x:v>
      </x:c>
      <x:c r="F74" s="62" t="str">
        <x:v>Mass, energy, contamination, waste and disposition reconcile after the event.</x:v>
      </x:c>
      <x:c r="G74" s="62" t="str">
        <x:v>UNTRIED</x:v>
      </x:c>
      <x:c r="H74" s="62" t="str"/>
      <x:c r="I74" s="63" t="n">
        <x:v>0</x:v>
      </x:c>
      <x:c r="J74" s="63" t="n">
        <x:v>0</x:v>
      </x:c>
      <x:c r="K74" s="62" t="str">
        <x:f>IF(OR(I74=0,J74=0,H74=""),"UNTRIED",IF(G74="PASS","PASS",IF(G74="FAIL","FAIL","HOLD")))</x:f>
        <x:v>UNTRIED</x:v>
      </x:c>
      <x:c r="L74" s="62" t="n">
        <x:f>COUNTIFS($B$5:$B$112,B74,$D$5:$D$112,D74)</x:f>
        <x:v>1</x:v>
      </x:c>
      <x:c r="M74" s="62" t="n">
        <x:f>COUNTIF($A$5:$A$112,A74)</x:f>
        <x:v>1</x:v>
      </x:c>
      <x:c r="N74" s="62" t="str">
        <x:v>No accepted evidence exists</x:v>
      </x:c>
    </x:row>
    <x:row r="75">
      <x:c r="A75" s="62" t="str">
        <x:v>LF-B-C-RECON</x:v>
      </x:c>
      <x:c r="B75" s="62" t="str">
        <x:v>LF-B-C</x:v>
      </x:c>
      <x:c r="C75" s="62" t="str">
        <x:v>LF-B</x:v>
      </x:c>
      <x:c r="D75" s="62" t="str">
        <x:v>RECON</x:v>
      </x:c>
      <x:c r="E75" s="62" t="str">
        <x:v>Cold reconstruction / ancestry</x:v>
      </x:c>
      <x:c r="F75" s="62" t="str">
        <x:v>A clean team reconstructs the decisive function from sealed public records and held inventory.</x:v>
      </x:c>
      <x:c r="G75" s="62" t="str">
        <x:v>UNTRIED</x:v>
      </x:c>
      <x:c r="H75" s="62" t="str"/>
      <x:c r="I75" s="63" t="n">
        <x:v>0</x:v>
      </x:c>
      <x:c r="J75" s="63" t="n">
        <x:v>0</x:v>
      </x:c>
      <x:c r="K75" s="62" t="str">
        <x:f>IF(OR(I75=0,J75=0,H75=""),"UNTRIED",IF(G75="PASS","PASS",IF(G75="FAIL","FAIL","HOLD")))</x:f>
        <x:v>UNTRIED</x:v>
      </x:c>
      <x:c r="L75" s="62" t="n">
        <x:f>COUNTIFS($B$5:$B$112,B75,$D$5:$D$112,D75)</x:f>
        <x:v>1</x:v>
      </x:c>
      <x:c r="M75" s="62" t="n">
        <x:f>COUNTIF($A$5:$A$112,A75)</x:f>
        <x:v>1</x:v>
      </x:c>
      <x:c r="N75" s="62" t="str">
        <x:v>No accepted evidence exists</x:v>
      </x:c>
    </x:row>
    <x:row r="76">
      <x:c r="A76" s="62" t="str">
        <x:v>LF-B-C-RECEIVER</x:v>
      </x:c>
      <x:c r="B76" s="62" t="str">
        <x:v>LF-B-C</x:v>
      </x:c>
      <x:c r="C76" s="62" t="str">
        <x:v>LF-B</x:v>
      </x:c>
      <x:c r="D76" s="62" t="str">
        <x:v>RECEIVER</x:v>
      </x:c>
      <x:c r="E76" s="62" t="str">
        <x:v>Receiver-compatible completion</x:v>
      </x:c>
      <x:c r="F76" s="62" t="str">
        <x:v>The receiving system accepts the delivered mission state without hidden external completion.</x:v>
      </x:c>
      <x:c r="G76" s="62" t="str">
        <x:v>UNTRIED</x:v>
      </x:c>
      <x:c r="H76" s="62" t="str"/>
      <x:c r="I76" s="63" t="n">
        <x:v>0</x:v>
      </x:c>
      <x:c r="J76" s="63" t="n">
        <x:v>0</x:v>
      </x:c>
      <x:c r="K76" s="62" t="str">
        <x:f>IF(OR(I76=0,J76=0,H76=""),"UNTRIED",IF(G76="PASS","PASS",IF(G76="FAIL","FAIL","HOLD")))</x:f>
        <x:v>UNTRIED</x:v>
      </x:c>
      <x:c r="L76" s="62" t="n">
        <x:f>COUNTIFS($B$5:$B$112,B76,$D$5:$D$112,D76)</x:f>
        <x:v>1</x:v>
      </x:c>
      <x:c r="M76" s="62" t="n">
        <x:f>COUNTIF($A$5:$A$112,A76)</x:f>
        <x:v>1</x:v>
      </x:c>
      <x:c r="N76" s="62" t="str">
        <x:v>No accepted evidence exists</x:v>
      </x:c>
    </x:row>
    <x:row r="77">
      <x:c r="A77" s="62" t="str">
        <x:v>HU-A-A-CAUSAL</x:v>
      </x:c>
      <x:c r="B77" s="62" t="str">
        <x:v>HU-A-A</x:v>
      </x:c>
      <x:c r="C77" s="62" t="str">
        <x:v>HU-A</x:v>
      </x:c>
      <x:c r="D77" s="62" t="str">
        <x:v>CAUSAL</x:v>
      </x:c>
      <x:c r="E77" s="62" t="str">
        <x:v>Causal effect / denominator</x:v>
      </x:c>
      <x:c r="F77" s="62" t="str">
        <x:v>A bounded denominator and attributable mission effect under the destructive event.</x:v>
      </x:c>
      <x:c r="G77" s="62" t="str">
        <x:v>UNTRIED</x:v>
      </x:c>
      <x:c r="H77" s="62" t="str"/>
      <x:c r="I77" s="63" t="n">
        <x:v>0</x:v>
      </x:c>
      <x:c r="J77" s="63" t="n">
        <x:v>0</x:v>
      </x:c>
      <x:c r="K77" s="62" t="str">
        <x:f>IF(OR(I77=0,J77=0,H77=""),"UNTRIED",IF(G77="PASS","PASS",IF(G77="FAIL","FAIL","HOLD")))</x:f>
        <x:v>UNTRIED</x:v>
      </x:c>
      <x:c r="L77" s="62" t="n">
        <x:f>COUNTIFS($B$5:$B$112,B77,$D$5:$D$112,D77)</x:f>
        <x:v>1</x:v>
      </x:c>
      <x:c r="M77" s="62" t="n">
        <x:f>COUNTIF($A$5:$A$112,A77)</x:f>
        <x:v>1</x:v>
      </x:c>
      <x:c r="N77" s="62" t="str">
        <x:v>No accepted evidence exists</x:v>
      </x:c>
    </x:row>
    <x:row r="78">
      <x:c r="A78" s="62" t="str">
        <x:v>HU-A-A-INDEPENDENCE</x:v>
      </x:c>
      <x:c r="B78" s="62" t="str">
        <x:v>HU-A-A</x:v>
      </x:c>
      <x:c r="C78" s="62" t="str">
        <x:v>HU-A</x:v>
      </x:c>
      <x:c r="D78" s="62" t="str">
        <x:v>INDEPENDENCE</x:v>
      </x:c>
      <x:c r="E78" s="62" t="str">
        <x:v>Largest-cell-loss independence</x:v>
      </x:c>
      <x:c r="F78" s="62" t="str">
        <x:v>The surviving article retains its root lower bound without hidden common cause.</x:v>
      </x:c>
      <x:c r="G78" s="62" t="str">
        <x:v>UNTRIED</x:v>
      </x:c>
      <x:c r="H78" s="62" t="str"/>
      <x:c r="I78" s="63" t="n">
        <x:v>0</x:v>
      </x:c>
      <x:c r="J78" s="63" t="n">
        <x:v>0</x:v>
      </x:c>
      <x:c r="K78" s="62" t="str">
        <x:f>IF(OR(I78=0,J78=0,H78=""),"UNTRIED",IF(G78="PASS","PASS",IF(G78="FAIL","FAIL","HOLD")))</x:f>
        <x:v>UNTRIED</x:v>
      </x:c>
      <x:c r="L78" s="62" t="n">
        <x:f>COUNTIFS($B$5:$B$112,B78,$D$5:$D$112,D78)</x:f>
        <x:v>1</x:v>
      </x:c>
      <x:c r="M78" s="62" t="n">
        <x:f>COUNTIF($A$5:$A$112,A78)</x:f>
        <x:v>1</x:v>
      </x:c>
      <x:c r="N78" s="62" t="str">
        <x:v>No accepted evidence exists</x:v>
      </x:c>
    </x:row>
    <x:row r="79">
      <x:c r="A79" s="62" t="str">
        <x:v>HU-A-A-SAFE-RIGHTS</x:v>
      </x:c>
      <x:c r="B79" s="62" t="str">
        <x:v>HU-A-A</x:v>
      </x:c>
      <x:c r="C79" s="62" t="str">
        <x:v>HU-A</x:v>
      </x:c>
      <x:c r="D79" s="62" t="str">
        <x:v>SAFE-RIGHTS</x:v>
      </x:c>
      <x:c r="E79" s="62" t="str">
        <x:v>Safe state / rights</x:v>
      </x:c>
      <x:c r="F79" s="62" t="str">
        <x:v>Physical safeing preserves consent, access, due process and protected populations.</x:v>
      </x:c>
      <x:c r="G79" s="62" t="str">
        <x:v>UNTRIED</x:v>
      </x:c>
      <x:c r="H79" s="62" t="str"/>
      <x:c r="I79" s="63" t="n">
        <x:v>0</x:v>
      </x:c>
      <x:c r="J79" s="63" t="n">
        <x:v>0</x:v>
      </x:c>
      <x:c r="K79" s="62" t="str">
        <x:f>IF(OR(I79=0,J79=0,H79=""),"UNTRIED",IF(G79="PASS","PASS",IF(G79="FAIL","FAIL","HOLD")))</x:f>
        <x:v>UNTRIED</x:v>
      </x:c>
      <x:c r="L79" s="62" t="n">
        <x:f>COUNTIFS($B$5:$B$112,B79,$D$5:$D$112,D79)</x:f>
        <x:v>1</x:v>
      </x:c>
      <x:c r="M79" s="62" t="n">
        <x:f>COUNTIF($A$5:$A$112,A79)</x:f>
        <x:v>1</x:v>
      </x:c>
      <x:c r="N79" s="62" t="str">
        <x:v>No accepted evidence exists</x:v>
      </x:c>
    </x:row>
    <x:row r="80">
      <x:c r="A80" s="62" t="str">
        <x:v>HU-A-A-RESIDUAL</x:v>
      </x:c>
      <x:c r="B80" s="62" t="str">
        <x:v>HU-A-A</x:v>
      </x:c>
      <x:c r="C80" s="62" t="str">
        <x:v>HU-A</x:v>
      </x:c>
      <x:c r="D80" s="62" t="str">
        <x:v>RESIDUAL</x:v>
      </x:c>
      <x:c r="E80" s="62" t="str">
        <x:v>Residual custody</x:v>
      </x:c>
      <x:c r="F80" s="62" t="str">
        <x:v>Mass, energy, contamination, waste and disposition reconcile after the event.</x:v>
      </x:c>
      <x:c r="G80" s="62" t="str">
        <x:v>UNTRIED</x:v>
      </x:c>
      <x:c r="H80" s="62" t="str"/>
      <x:c r="I80" s="63" t="n">
        <x:v>0</x:v>
      </x:c>
      <x:c r="J80" s="63" t="n">
        <x:v>0</x:v>
      </x:c>
      <x:c r="K80" s="62" t="str">
        <x:f>IF(OR(I80=0,J80=0,H80=""),"UNTRIED",IF(G80="PASS","PASS",IF(G80="FAIL","FAIL","HOLD")))</x:f>
        <x:v>UNTRIED</x:v>
      </x:c>
      <x:c r="L80" s="62" t="n">
        <x:f>COUNTIFS($B$5:$B$112,B80,$D$5:$D$112,D80)</x:f>
        <x:v>1</x:v>
      </x:c>
      <x:c r="M80" s="62" t="n">
        <x:f>COUNTIF($A$5:$A$112,A80)</x:f>
        <x:v>1</x:v>
      </x:c>
      <x:c r="N80" s="62" t="str">
        <x:v>No accepted evidence exists</x:v>
      </x:c>
    </x:row>
    <x:row r="81">
      <x:c r="A81" s="62" t="str">
        <x:v>HU-A-A-RECON</x:v>
      </x:c>
      <x:c r="B81" s="62" t="str">
        <x:v>HU-A-A</x:v>
      </x:c>
      <x:c r="C81" s="62" t="str">
        <x:v>HU-A</x:v>
      </x:c>
      <x:c r="D81" s="62" t="str">
        <x:v>RECON</x:v>
      </x:c>
      <x:c r="E81" s="62" t="str">
        <x:v>Cold reconstruction / ancestry</x:v>
      </x:c>
      <x:c r="F81" s="62" t="str">
        <x:v>A clean team reconstructs the decisive function from sealed public records and held inventory.</x:v>
      </x:c>
      <x:c r="G81" s="62" t="str">
        <x:v>UNTRIED</x:v>
      </x:c>
      <x:c r="H81" s="62" t="str"/>
      <x:c r="I81" s="63" t="n">
        <x:v>0</x:v>
      </x:c>
      <x:c r="J81" s="63" t="n">
        <x:v>0</x:v>
      </x:c>
      <x:c r="K81" s="62" t="str">
        <x:f>IF(OR(I81=0,J81=0,H81=""),"UNTRIED",IF(G81="PASS","PASS",IF(G81="FAIL","FAIL","HOLD")))</x:f>
        <x:v>UNTRIED</x:v>
      </x:c>
      <x:c r="L81" s="62" t="n">
        <x:f>COUNTIFS($B$5:$B$112,B81,$D$5:$D$112,D81)</x:f>
        <x:v>1</x:v>
      </x:c>
      <x:c r="M81" s="62" t="n">
        <x:f>COUNTIF($A$5:$A$112,A81)</x:f>
        <x:v>1</x:v>
      </x:c>
      <x:c r="N81" s="62" t="str">
        <x:v>No accepted evidence exists</x:v>
      </x:c>
    </x:row>
    <x:row r="82">
      <x:c r="A82" s="62" t="str">
        <x:v>HU-A-A-RECEIVER</x:v>
      </x:c>
      <x:c r="B82" s="62" t="str">
        <x:v>HU-A-A</x:v>
      </x:c>
      <x:c r="C82" s="62" t="str">
        <x:v>HU-A</x:v>
      </x:c>
      <x:c r="D82" s="62" t="str">
        <x:v>RECEIVER</x:v>
      </x:c>
      <x:c r="E82" s="62" t="str">
        <x:v>Receiver-compatible completion</x:v>
      </x:c>
      <x:c r="F82" s="62" t="str">
        <x:v>The receiving system accepts the delivered mission state without hidden external completion.</x:v>
      </x:c>
      <x:c r="G82" s="62" t="str">
        <x:v>UNTRIED</x:v>
      </x:c>
      <x:c r="H82" s="62" t="str"/>
      <x:c r="I82" s="63" t="n">
        <x:v>0</x:v>
      </x:c>
      <x:c r="J82" s="63" t="n">
        <x:v>0</x:v>
      </x:c>
      <x:c r="K82" s="62" t="str">
        <x:f>IF(OR(I82=0,J82=0,H82=""),"UNTRIED",IF(G82="PASS","PASS",IF(G82="FAIL","FAIL","HOLD")))</x:f>
        <x:v>UNTRIED</x:v>
      </x:c>
      <x:c r="L82" s="62" t="n">
        <x:f>COUNTIFS($B$5:$B$112,B82,$D$5:$D$112,D82)</x:f>
        <x:v>1</x:v>
      </x:c>
      <x:c r="M82" s="62" t="n">
        <x:f>COUNTIF($A$5:$A$112,A82)</x:f>
        <x:v>1</x:v>
      </x:c>
      <x:c r="N82" s="62" t="str">
        <x:v>No accepted evidence exists</x:v>
      </x:c>
    </x:row>
    <x:row r="83">
      <x:c r="A83" s="62" t="str">
        <x:v>HU-A-B-CAUSAL</x:v>
      </x:c>
      <x:c r="B83" s="62" t="str">
        <x:v>HU-A-B</x:v>
      </x:c>
      <x:c r="C83" s="62" t="str">
        <x:v>HU-A</x:v>
      </x:c>
      <x:c r="D83" s="62" t="str">
        <x:v>CAUSAL</x:v>
      </x:c>
      <x:c r="E83" s="62" t="str">
        <x:v>Causal effect / denominator</x:v>
      </x:c>
      <x:c r="F83" s="62" t="str">
        <x:v>A bounded denominator and attributable mission effect under the destructive event.</x:v>
      </x:c>
      <x:c r="G83" s="62" t="str">
        <x:v>UNTRIED</x:v>
      </x:c>
      <x:c r="H83" s="62" t="str"/>
      <x:c r="I83" s="63" t="n">
        <x:v>0</x:v>
      </x:c>
      <x:c r="J83" s="63" t="n">
        <x:v>0</x:v>
      </x:c>
      <x:c r="K83" s="62" t="str">
        <x:f>IF(OR(I83=0,J83=0,H83=""),"UNTRIED",IF(G83="PASS","PASS",IF(G83="FAIL","FAIL","HOLD")))</x:f>
        <x:v>UNTRIED</x:v>
      </x:c>
      <x:c r="L83" s="62" t="n">
        <x:f>COUNTIFS($B$5:$B$112,B83,$D$5:$D$112,D83)</x:f>
        <x:v>1</x:v>
      </x:c>
      <x:c r="M83" s="62" t="n">
        <x:f>COUNTIF($A$5:$A$112,A83)</x:f>
        <x:v>1</x:v>
      </x:c>
      <x:c r="N83" s="62" t="str">
        <x:v>No accepted evidence exists</x:v>
      </x:c>
    </x:row>
    <x:row r="84">
      <x:c r="A84" s="62" t="str">
        <x:v>HU-A-B-INDEPENDENCE</x:v>
      </x:c>
      <x:c r="B84" s="62" t="str">
        <x:v>HU-A-B</x:v>
      </x:c>
      <x:c r="C84" s="62" t="str">
        <x:v>HU-A</x:v>
      </x:c>
      <x:c r="D84" s="62" t="str">
        <x:v>INDEPENDENCE</x:v>
      </x:c>
      <x:c r="E84" s="62" t="str">
        <x:v>Largest-cell-loss independence</x:v>
      </x:c>
      <x:c r="F84" s="62" t="str">
        <x:v>The surviving article retains its root lower bound without hidden common cause.</x:v>
      </x:c>
      <x:c r="G84" s="62" t="str">
        <x:v>UNTRIED</x:v>
      </x:c>
      <x:c r="H84" s="62" t="str"/>
      <x:c r="I84" s="63" t="n">
        <x:v>0</x:v>
      </x:c>
      <x:c r="J84" s="63" t="n">
        <x:v>0</x:v>
      </x:c>
      <x:c r="K84" s="62" t="str">
        <x:f>IF(OR(I84=0,J84=0,H84=""),"UNTRIED",IF(G84="PASS","PASS",IF(G84="FAIL","FAIL","HOLD")))</x:f>
        <x:v>UNTRIED</x:v>
      </x:c>
      <x:c r="L84" s="62" t="n">
        <x:f>COUNTIFS($B$5:$B$112,B84,$D$5:$D$112,D84)</x:f>
        <x:v>1</x:v>
      </x:c>
      <x:c r="M84" s="62" t="n">
        <x:f>COUNTIF($A$5:$A$112,A84)</x:f>
        <x:v>1</x:v>
      </x:c>
      <x:c r="N84" s="62" t="str">
        <x:v>No accepted evidence exists</x:v>
      </x:c>
    </x:row>
    <x:row r="85">
      <x:c r="A85" s="62" t="str">
        <x:v>HU-A-B-SAFE-RIGHTS</x:v>
      </x:c>
      <x:c r="B85" s="62" t="str">
        <x:v>HU-A-B</x:v>
      </x:c>
      <x:c r="C85" s="62" t="str">
        <x:v>HU-A</x:v>
      </x:c>
      <x:c r="D85" s="62" t="str">
        <x:v>SAFE-RIGHTS</x:v>
      </x:c>
      <x:c r="E85" s="62" t="str">
        <x:v>Safe state / rights</x:v>
      </x:c>
      <x:c r="F85" s="62" t="str">
        <x:v>Physical safeing preserves consent, access, due process and protected populations.</x:v>
      </x:c>
      <x:c r="G85" s="62" t="str">
        <x:v>UNTRIED</x:v>
      </x:c>
      <x:c r="H85" s="62" t="str"/>
      <x:c r="I85" s="63" t="n">
        <x:v>0</x:v>
      </x:c>
      <x:c r="J85" s="63" t="n">
        <x:v>0</x:v>
      </x:c>
      <x:c r="K85" s="62" t="str">
        <x:f>IF(OR(I85=0,J85=0,H85=""),"UNTRIED",IF(G85="PASS","PASS",IF(G85="FAIL","FAIL","HOLD")))</x:f>
        <x:v>UNTRIED</x:v>
      </x:c>
      <x:c r="L85" s="62" t="n">
        <x:f>COUNTIFS($B$5:$B$112,B85,$D$5:$D$112,D85)</x:f>
        <x:v>1</x:v>
      </x:c>
      <x:c r="M85" s="62" t="n">
        <x:f>COUNTIF($A$5:$A$112,A85)</x:f>
        <x:v>1</x:v>
      </x:c>
      <x:c r="N85" s="62" t="str">
        <x:v>No accepted evidence exists</x:v>
      </x:c>
    </x:row>
    <x:row r="86">
      <x:c r="A86" s="62" t="str">
        <x:v>HU-A-B-RESIDUAL</x:v>
      </x:c>
      <x:c r="B86" s="62" t="str">
        <x:v>HU-A-B</x:v>
      </x:c>
      <x:c r="C86" s="62" t="str">
        <x:v>HU-A</x:v>
      </x:c>
      <x:c r="D86" s="62" t="str">
        <x:v>RESIDUAL</x:v>
      </x:c>
      <x:c r="E86" s="62" t="str">
        <x:v>Residual custody</x:v>
      </x:c>
      <x:c r="F86" s="62" t="str">
        <x:v>Mass, energy, contamination, waste and disposition reconcile after the event.</x:v>
      </x:c>
      <x:c r="G86" s="62" t="str">
        <x:v>UNTRIED</x:v>
      </x:c>
      <x:c r="H86" s="62" t="str"/>
      <x:c r="I86" s="63" t="n">
        <x:v>0</x:v>
      </x:c>
      <x:c r="J86" s="63" t="n">
        <x:v>0</x:v>
      </x:c>
      <x:c r="K86" s="62" t="str">
        <x:f>IF(OR(I86=0,J86=0,H86=""),"UNTRIED",IF(G86="PASS","PASS",IF(G86="FAIL","FAIL","HOLD")))</x:f>
        <x:v>UNTRIED</x:v>
      </x:c>
      <x:c r="L86" s="62" t="n">
        <x:f>COUNTIFS($B$5:$B$112,B86,$D$5:$D$112,D86)</x:f>
        <x:v>1</x:v>
      </x:c>
      <x:c r="M86" s="62" t="n">
        <x:f>COUNTIF($A$5:$A$112,A86)</x:f>
        <x:v>1</x:v>
      </x:c>
      <x:c r="N86" s="62" t="str">
        <x:v>No accepted evidence exists</x:v>
      </x:c>
    </x:row>
    <x:row r="87">
      <x:c r="A87" s="62" t="str">
        <x:v>HU-A-B-RECON</x:v>
      </x:c>
      <x:c r="B87" s="62" t="str">
        <x:v>HU-A-B</x:v>
      </x:c>
      <x:c r="C87" s="62" t="str">
        <x:v>HU-A</x:v>
      </x:c>
      <x:c r="D87" s="62" t="str">
        <x:v>RECON</x:v>
      </x:c>
      <x:c r="E87" s="62" t="str">
        <x:v>Cold reconstruction / ancestry</x:v>
      </x:c>
      <x:c r="F87" s="62" t="str">
        <x:v>A clean team reconstructs the decisive function from sealed public records and held inventory.</x:v>
      </x:c>
      <x:c r="G87" s="62" t="str">
        <x:v>UNTRIED</x:v>
      </x:c>
      <x:c r="H87" s="62" t="str"/>
      <x:c r="I87" s="63" t="n">
        <x:v>0</x:v>
      </x:c>
      <x:c r="J87" s="63" t="n">
        <x:v>0</x:v>
      </x:c>
      <x:c r="K87" s="62" t="str">
        <x:f>IF(OR(I87=0,J87=0,H87=""),"UNTRIED",IF(G87="PASS","PASS",IF(G87="FAIL","FAIL","HOLD")))</x:f>
        <x:v>UNTRIED</x:v>
      </x:c>
      <x:c r="L87" s="62" t="n">
        <x:f>COUNTIFS($B$5:$B$112,B87,$D$5:$D$112,D87)</x:f>
        <x:v>1</x:v>
      </x:c>
      <x:c r="M87" s="62" t="n">
        <x:f>COUNTIF($A$5:$A$112,A87)</x:f>
        <x:v>1</x:v>
      </x:c>
      <x:c r="N87" s="62" t="str">
        <x:v>No accepted evidence exists</x:v>
      </x:c>
    </x:row>
    <x:row r="88">
      <x:c r="A88" s="62" t="str">
        <x:v>HU-A-B-RECEIVER</x:v>
      </x:c>
      <x:c r="B88" s="62" t="str">
        <x:v>HU-A-B</x:v>
      </x:c>
      <x:c r="C88" s="62" t="str">
        <x:v>HU-A</x:v>
      </x:c>
      <x:c r="D88" s="62" t="str">
        <x:v>RECEIVER</x:v>
      </x:c>
      <x:c r="E88" s="62" t="str">
        <x:v>Receiver-compatible completion</x:v>
      </x:c>
      <x:c r="F88" s="62" t="str">
        <x:v>The receiving system accepts the delivered mission state without hidden external completion.</x:v>
      </x:c>
      <x:c r="G88" s="62" t="str">
        <x:v>UNTRIED</x:v>
      </x:c>
      <x:c r="H88" s="62" t="str"/>
      <x:c r="I88" s="63" t="n">
        <x:v>0</x:v>
      </x:c>
      <x:c r="J88" s="63" t="n">
        <x:v>0</x:v>
      </x:c>
      <x:c r="K88" s="62" t="str">
        <x:f>IF(OR(I88=0,J88=0,H88=""),"UNTRIED",IF(G88="PASS","PASS",IF(G88="FAIL","FAIL","HOLD")))</x:f>
        <x:v>UNTRIED</x:v>
      </x:c>
      <x:c r="L88" s="62" t="n">
        <x:f>COUNTIFS($B$5:$B$112,B88,$D$5:$D$112,D88)</x:f>
        <x:v>1</x:v>
      </x:c>
      <x:c r="M88" s="62" t="n">
        <x:f>COUNTIF($A$5:$A$112,A88)</x:f>
        <x:v>1</x:v>
      </x:c>
      <x:c r="N88" s="62" t="str">
        <x:v>No accepted evidence exists</x:v>
      </x:c>
    </x:row>
    <x:row r="89">
      <x:c r="A89" s="62" t="str">
        <x:v>HU-A-C-CAUSAL</x:v>
      </x:c>
      <x:c r="B89" s="62" t="str">
        <x:v>HU-A-C</x:v>
      </x:c>
      <x:c r="C89" s="62" t="str">
        <x:v>HU-A</x:v>
      </x:c>
      <x:c r="D89" s="62" t="str">
        <x:v>CAUSAL</x:v>
      </x:c>
      <x:c r="E89" s="62" t="str">
        <x:v>Causal effect / denominator</x:v>
      </x:c>
      <x:c r="F89" s="62" t="str">
        <x:v>A bounded denominator and attributable mission effect under the destructive event.</x:v>
      </x:c>
      <x:c r="G89" s="62" t="str">
        <x:v>UNTRIED</x:v>
      </x:c>
      <x:c r="H89" s="62" t="str"/>
      <x:c r="I89" s="63" t="n">
        <x:v>0</x:v>
      </x:c>
      <x:c r="J89" s="63" t="n">
        <x:v>0</x:v>
      </x:c>
      <x:c r="K89" s="62" t="str">
        <x:f>IF(OR(I89=0,J89=0,H89=""),"UNTRIED",IF(G89="PASS","PASS",IF(G89="FAIL","FAIL","HOLD")))</x:f>
        <x:v>UNTRIED</x:v>
      </x:c>
      <x:c r="L89" s="62" t="n">
        <x:f>COUNTIFS($B$5:$B$112,B89,$D$5:$D$112,D89)</x:f>
        <x:v>1</x:v>
      </x:c>
      <x:c r="M89" s="62" t="n">
        <x:f>COUNTIF($A$5:$A$112,A89)</x:f>
        <x:v>1</x:v>
      </x:c>
      <x:c r="N89" s="62" t="str">
        <x:v>No accepted evidence exists</x:v>
      </x:c>
    </x:row>
    <x:row r="90">
      <x:c r="A90" s="62" t="str">
        <x:v>HU-A-C-INDEPENDENCE</x:v>
      </x:c>
      <x:c r="B90" s="62" t="str">
        <x:v>HU-A-C</x:v>
      </x:c>
      <x:c r="C90" s="62" t="str">
        <x:v>HU-A</x:v>
      </x:c>
      <x:c r="D90" s="62" t="str">
        <x:v>INDEPENDENCE</x:v>
      </x:c>
      <x:c r="E90" s="62" t="str">
        <x:v>Largest-cell-loss independence</x:v>
      </x:c>
      <x:c r="F90" s="62" t="str">
        <x:v>The surviving article retains its root lower bound without hidden common cause.</x:v>
      </x:c>
      <x:c r="G90" s="62" t="str">
        <x:v>UNTRIED</x:v>
      </x:c>
      <x:c r="H90" s="62" t="str"/>
      <x:c r="I90" s="63" t="n">
        <x:v>0</x:v>
      </x:c>
      <x:c r="J90" s="63" t="n">
        <x:v>0</x:v>
      </x:c>
      <x:c r="K90" s="62" t="str">
        <x:f>IF(OR(I90=0,J90=0,H90=""),"UNTRIED",IF(G90="PASS","PASS",IF(G90="FAIL","FAIL","HOLD")))</x:f>
        <x:v>UNTRIED</x:v>
      </x:c>
      <x:c r="L90" s="62" t="n">
        <x:f>COUNTIFS($B$5:$B$112,B90,$D$5:$D$112,D90)</x:f>
        <x:v>1</x:v>
      </x:c>
      <x:c r="M90" s="62" t="n">
        <x:f>COUNTIF($A$5:$A$112,A90)</x:f>
        <x:v>1</x:v>
      </x:c>
      <x:c r="N90" s="62" t="str">
        <x:v>No accepted evidence exists</x:v>
      </x:c>
    </x:row>
    <x:row r="91">
      <x:c r="A91" s="62" t="str">
        <x:v>HU-A-C-SAFE-RIGHTS</x:v>
      </x:c>
      <x:c r="B91" s="62" t="str">
        <x:v>HU-A-C</x:v>
      </x:c>
      <x:c r="C91" s="62" t="str">
        <x:v>HU-A</x:v>
      </x:c>
      <x:c r="D91" s="62" t="str">
        <x:v>SAFE-RIGHTS</x:v>
      </x:c>
      <x:c r="E91" s="62" t="str">
        <x:v>Safe state / rights</x:v>
      </x:c>
      <x:c r="F91" s="62" t="str">
        <x:v>Physical safeing preserves consent, access, due process and protected populations.</x:v>
      </x:c>
      <x:c r="G91" s="62" t="str">
        <x:v>UNTRIED</x:v>
      </x:c>
      <x:c r="H91" s="62" t="str"/>
      <x:c r="I91" s="63" t="n">
        <x:v>0</x:v>
      </x:c>
      <x:c r="J91" s="63" t="n">
        <x:v>0</x:v>
      </x:c>
      <x:c r="K91" s="62" t="str">
        <x:f>IF(OR(I91=0,J91=0,H91=""),"UNTRIED",IF(G91="PASS","PASS",IF(G91="FAIL","FAIL","HOLD")))</x:f>
        <x:v>UNTRIED</x:v>
      </x:c>
      <x:c r="L91" s="62" t="n">
        <x:f>COUNTIFS($B$5:$B$112,B91,$D$5:$D$112,D91)</x:f>
        <x:v>1</x:v>
      </x:c>
      <x:c r="M91" s="62" t="n">
        <x:f>COUNTIF($A$5:$A$112,A91)</x:f>
        <x:v>1</x:v>
      </x:c>
      <x:c r="N91" s="62" t="str">
        <x:v>No accepted evidence exists</x:v>
      </x:c>
    </x:row>
    <x:row r="92">
      <x:c r="A92" s="62" t="str">
        <x:v>HU-A-C-RESIDUAL</x:v>
      </x:c>
      <x:c r="B92" s="62" t="str">
        <x:v>HU-A-C</x:v>
      </x:c>
      <x:c r="C92" s="62" t="str">
        <x:v>HU-A</x:v>
      </x:c>
      <x:c r="D92" s="62" t="str">
        <x:v>RESIDUAL</x:v>
      </x:c>
      <x:c r="E92" s="62" t="str">
        <x:v>Residual custody</x:v>
      </x:c>
      <x:c r="F92" s="62" t="str">
        <x:v>Mass, energy, contamination, waste and disposition reconcile after the event.</x:v>
      </x:c>
      <x:c r="G92" s="62" t="str">
        <x:v>UNTRIED</x:v>
      </x:c>
      <x:c r="H92" s="62" t="str"/>
      <x:c r="I92" s="63" t="n">
        <x:v>0</x:v>
      </x:c>
      <x:c r="J92" s="63" t="n">
        <x:v>0</x:v>
      </x:c>
      <x:c r="K92" s="62" t="str">
        <x:f>IF(OR(I92=0,J92=0,H92=""),"UNTRIED",IF(G92="PASS","PASS",IF(G92="FAIL","FAIL","HOLD")))</x:f>
        <x:v>UNTRIED</x:v>
      </x:c>
      <x:c r="L92" s="62" t="n">
        <x:f>COUNTIFS($B$5:$B$112,B92,$D$5:$D$112,D92)</x:f>
        <x:v>1</x:v>
      </x:c>
      <x:c r="M92" s="62" t="n">
        <x:f>COUNTIF($A$5:$A$112,A92)</x:f>
        <x:v>1</x:v>
      </x:c>
      <x:c r="N92" s="62" t="str">
        <x:v>No accepted evidence exists</x:v>
      </x:c>
    </x:row>
    <x:row r="93">
      <x:c r="A93" s="62" t="str">
        <x:v>HU-A-C-RECON</x:v>
      </x:c>
      <x:c r="B93" s="62" t="str">
        <x:v>HU-A-C</x:v>
      </x:c>
      <x:c r="C93" s="62" t="str">
        <x:v>HU-A</x:v>
      </x:c>
      <x:c r="D93" s="62" t="str">
        <x:v>RECON</x:v>
      </x:c>
      <x:c r="E93" s="62" t="str">
        <x:v>Cold reconstruction / ancestry</x:v>
      </x:c>
      <x:c r="F93" s="62" t="str">
        <x:v>A clean team reconstructs the decisive function from sealed public records and held inventory.</x:v>
      </x:c>
      <x:c r="G93" s="62" t="str">
        <x:v>UNTRIED</x:v>
      </x:c>
      <x:c r="H93" s="62" t="str"/>
      <x:c r="I93" s="63" t="n">
        <x:v>0</x:v>
      </x:c>
      <x:c r="J93" s="63" t="n">
        <x:v>0</x:v>
      </x:c>
      <x:c r="K93" s="62" t="str">
        <x:f>IF(OR(I93=0,J93=0,H93=""),"UNTRIED",IF(G93="PASS","PASS",IF(G93="FAIL","FAIL","HOLD")))</x:f>
        <x:v>UNTRIED</x:v>
      </x:c>
      <x:c r="L93" s="62" t="n">
        <x:f>COUNTIFS($B$5:$B$112,B93,$D$5:$D$112,D93)</x:f>
        <x:v>1</x:v>
      </x:c>
      <x:c r="M93" s="62" t="n">
        <x:f>COUNTIF($A$5:$A$112,A93)</x:f>
        <x:v>1</x:v>
      </x:c>
      <x:c r="N93" s="62" t="str">
        <x:v>No accepted evidence exists</x:v>
      </x:c>
    </x:row>
    <x:row r="94">
      <x:c r="A94" s="62" t="str">
        <x:v>HU-A-C-RECEIVER</x:v>
      </x:c>
      <x:c r="B94" s="62" t="str">
        <x:v>HU-A-C</x:v>
      </x:c>
      <x:c r="C94" s="62" t="str">
        <x:v>HU-A</x:v>
      </x:c>
      <x:c r="D94" s="62" t="str">
        <x:v>RECEIVER</x:v>
      </x:c>
      <x:c r="E94" s="62" t="str">
        <x:v>Receiver-compatible completion</x:v>
      </x:c>
      <x:c r="F94" s="62" t="str">
        <x:v>The receiving system accepts the delivered mission state without hidden external completion.</x:v>
      </x:c>
      <x:c r="G94" s="62" t="str">
        <x:v>UNTRIED</x:v>
      </x:c>
      <x:c r="H94" s="62" t="str"/>
      <x:c r="I94" s="63" t="n">
        <x:v>0</x:v>
      </x:c>
      <x:c r="J94" s="63" t="n">
        <x:v>0</x:v>
      </x:c>
      <x:c r="K94" s="62" t="str">
        <x:f>IF(OR(I94=0,J94=0,H94=""),"UNTRIED",IF(G94="PASS","PASS",IF(G94="FAIL","FAIL","HOLD")))</x:f>
        <x:v>UNTRIED</x:v>
      </x:c>
      <x:c r="L94" s="62" t="n">
        <x:f>COUNTIFS($B$5:$B$112,B94,$D$5:$D$112,D94)</x:f>
        <x:v>1</x:v>
      </x:c>
      <x:c r="M94" s="62" t="n">
        <x:f>COUNTIF($A$5:$A$112,A94)</x:f>
        <x:v>1</x:v>
      </x:c>
      <x:c r="N94" s="62" t="str">
        <x:v>No accepted evidence exists</x:v>
      </x:c>
    </x:row>
    <x:row r="95">
      <x:c r="A95" s="62" t="str">
        <x:v>RT-B-A-CAUSAL</x:v>
      </x:c>
      <x:c r="B95" s="62" t="str">
        <x:v>RT-B-A</x:v>
      </x:c>
      <x:c r="C95" s="62" t="str">
        <x:v>RT-B</x:v>
      </x:c>
      <x:c r="D95" s="62" t="str">
        <x:v>CAUSAL</x:v>
      </x:c>
      <x:c r="E95" s="62" t="str">
        <x:v>Causal effect / denominator</x:v>
      </x:c>
      <x:c r="F95" s="62" t="str">
        <x:v>A bounded denominator and attributable mission effect under the destructive event.</x:v>
      </x:c>
      <x:c r="G95" s="62" t="str">
        <x:v>UNTRIED</x:v>
      </x:c>
      <x:c r="H95" s="62" t="str"/>
      <x:c r="I95" s="63" t="n">
        <x:v>0</x:v>
      </x:c>
      <x:c r="J95" s="63" t="n">
        <x:v>0</x:v>
      </x:c>
      <x:c r="K95" s="62" t="str">
        <x:f>IF(OR(I95=0,J95=0,H95=""),"UNTRIED",IF(G95="PASS","PASS",IF(G95="FAIL","FAIL","HOLD")))</x:f>
        <x:v>UNTRIED</x:v>
      </x:c>
      <x:c r="L95" s="62" t="n">
        <x:f>COUNTIFS($B$5:$B$112,B95,$D$5:$D$112,D95)</x:f>
        <x:v>1</x:v>
      </x:c>
      <x:c r="M95" s="62" t="n">
        <x:f>COUNTIF($A$5:$A$112,A95)</x:f>
        <x:v>1</x:v>
      </x:c>
      <x:c r="N95" s="62" t="str">
        <x:v>No accepted evidence exists</x:v>
      </x:c>
    </x:row>
    <x:row r="96">
      <x:c r="A96" s="62" t="str">
        <x:v>RT-B-A-INDEPENDENCE</x:v>
      </x:c>
      <x:c r="B96" s="62" t="str">
        <x:v>RT-B-A</x:v>
      </x:c>
      <x:c r="C96" s="62" t="str">
        <x:v>RT-B</x:v>
      </x:c>
      <x:c r="D96" s="62" t="str">
        <x:v>INDEPENDENCE</x:v>
      </x:c>
      <x:c r="E96" s="62" t="str">
        <x:v>Largest-cell-loss independence</x:v>
      </x:c>
      <x:c r="F96" s="62" t="str">
        <x:v>The surviving article retains its root lower bound without hidden common cause.</x:v>
      </x:c>
      <x:c r="G96" s="62" t="str">
        <x:v>UNTRIED</x:v>
      </x:c>
      <x:c r="H96" s="62" t="str"/>
      <x:c r="I96" s="63" t="n">
        <x:v>0</x:v>
      </x:c>
      <x:c r="J96" s="63" t="n">
        <x:v>0</x:v>
      </x:c>
      <x:c r="K96" s="62" t="str">
        <x:f>IF(OR(I96=0,J96=0,H96=""),"UNTRIED",IF(G96="PASS","PASS",IF(G96="FAIL","FAIL","HOLD")))</x:f>
        <x:v>UNTRIED</x:v>
      </x:c>
      <x:c r="L96" s="62" t="n">
        <x:f>COUNTIFS($B$5:$B$112,B96,$D$5:$D$112,D96)</x:f>
        <x:v>1</x:v>
      </x:c>
      <x:c r="M96" s="62" t="n">
        <x:f>COUNTIF($A$5:$A$112,A96)</x:f>
        <x:v>1</x:v>
      </x:c>
      <x:c r="N96" s="62" t="str">
        <x:v>No accepted evidence exists</x:v>
      </x:c>
    </x:row>
    <x:row r="97">
      <x:c r="A97" s="62" t="str">
        <x:v>RT-B-A-SAFE-RIGHTS</x:v>
      </x:c>
      <x:c r="B97" s="62" t="str">
        <x:v>RT-B-A</x:v>
      </x:c>
      <x:c r="C97" s="62" t="str">
        <x:v>RT-B</x:v>
      </x:c>
      <x:c r="D97" s="62" t="str">
        <x:v>SAFE-RIGHTS</x:v>
      </x:c>
      <x:c r="E97" s="62" t="str">
        <x:v>Safe state / rights</x:v>
      </x:c>
      <x:c r="F97" s="62" t="str">
        <x:v>Physical safeing preserves consent, access, due process and protected populations.</x:v>
      </x:c>
      <x:c r="G97" s="62" t="str">
        <x:v>UNTRIED</x:v>
      </x:c>
      <x:c r="H97" s="62" t="str"/>
      <x:c r="I97" s="63" t="n">
        <x:v>0</x:v>
      </x:c>
      <x:c r="J97" s="63" t="n">
        <x:v>0</x:v>
      </x:c>
      <x:c r="K97" s="62" t="str">
        <x:f>IF(OR(I97=0,J97=0,H97=""),"UNTRIED",IF(G97="PASS","PASS",IF(G97="FAIL","FAIL","HOLD")))</x:f>
        <x:v>UNTRIED</x:v>
      </x:c>
      <x:c r="L97" s="62" t="n">
        <x:f>COUNTIFS($B$5:$B$112,B97,$D$5:$D$112,D97)</x:f>
        <x:v>1</x:v>
      </x:c>
      <x:c r="M97" s="62" t="n">
        <x:f>COUNTIF($A$5:$A$112,A97)</x:f>
        <x:v>1</x:v>
      </x:c>
      <x:c r="N97" s="62" t="str">
        <x:v>No accepted evidence exists</x:v>
      </x:c>
    </x:row>
    <x:row r="98">
      <x:c r="A98" s="62" t="str">
        <x:v>RT-B-A-RESIDUAL</x:v>
      </x:c>
      <x:c r="B98" s="62" t="str">
        <x:v>RT-B-A</x:v>
      </x:c>
      <x:c r="C98" s="62" t="str">
        <x:v>RT-B</x:v>
      </x:c>
      <x:c r="D98" s="62" t="str">
        <x:v>RESIDUAL</x:v>
      </x:c>
      <x:c r="E98" s="62" t="str">
        <x:v>Residual custody</x:v>
      </x:c>
      <x:c r="F98" s="62" t="str">
        <x:v>Mass, energy, contamination, waste and disposition reconcile after the event.</x:v>
      </x:c>
      <x:c r="G98" s="62" t="str">
        <x:v>UNTRIED</x:v>
      </x:c>
      <x:c r="H98" s="62" t="str"/>
      <x:c r="I98" s="63" t="n">
        <x:v>0</x:v>
      </x:c>
      <x:c r="J98" s="63" t="n">
        <x:v>0</x:v>
      </x:c>
      <x:c r="K98" s="62" t="str">
        <x:f>IF(OR(I98=0,J98=0,H98=""),"UNTRIED",IF(G98="PASS","PASS",IF(G98="FAIL","FAIL","HOLD")))</x:f>
        <x:v>UNTRIED</x:v>
      </x:c>
      <x:c r="L98" s="62" t="n">
        <x:f>COUNTIFS($B$5:$B$112,B98,$D$5:$D$112,D98)</x:f>
        <x:v>1</x:v>
      </x:c>
      <x:c r="M98" s="62" t="n">
        <x:f>COUNTIF($A$5:$A$112,A98)</x:f>
        <x:v>1</x:v>
      </x:c>
      <x:c r="N98" s="62" t="str">
        <x:v>No accepted evidence exists</x:v>
      </x:c>
    </x:row>
    <x:row r="99">
      <x:c r="A99" s="62" t="str">
        <x:v>RT-B-A-RECON</x:v>
      </x:c>
      <x:c r="B99" s="62" t="str">
        <x:v>RT-B-A</x:v>
      </x:c>
      <x:c r="C99" s="62" t="str">
        <x:v>RT-B</x:v>
      </x:c>
      <x:c r="D99" s="62" t="str">
        <x:v>RECON</x:v>
      </x:c>
      <x:c r="E99" s="62" t="str">
        <x:v>Cold reconstruction / ancestry</x:v>
      </x:c>
      <x:c r="F99" s="62" t="str">
        <x:v>A clean team reconstructs the decisive function from sealed public records and held inventory.</x:v>
      </x:c>
      <x:c r="G99" s="62" t="str">
        <x:v>UNTRIED</x:v>
      </x:c>
      <x:c r="H99" s="62" t="str"/>
      <x:c r="I99" s="63" t="n">
        <x:v>0</x:v>
      </x:c>
      <x:c r="J99" s="63" t="n">
        <x:v>0</x:v>
      </x:c>
      <x:c r="K99" s="62" t="str">
        <x:f>IF(OR(I99=0,J99=0,H99=""),"UNTRIED",IF(G99="PASS","PASS",IF(G99="FAIL","FAIL","HOLD")))</x:f>
        <x:v>UNTRIED</x:v>
      </x:c>
      <x:c r="L99" s="62" t="n">
        <x:f>COUNTIFS($B$5:$B$112,B99,$D$5:$D$112,D99)</x:f>
        <x:v>1</x:v>
      </x:c>
      <x:c r="M99" s="62" t="n">
        <x:f>COUNTIF($A$5:$A$112,A99)</x:f>
        <x:v>1</x:v>
      </x:c>
      <x:c r="N99" s="62" t="str">
        <x:v>No accepted evidence exists</x:v>
      </x:c>
    </x:row>
    <x:row r="100">
      <x:c r="A100" s="62" t="str">
        <x:v>RT-B-A-RECEIVER</x:v>
      </x:c>
      <x:c r="B100" s="62" t="str">
        <x:v>RT-B-A</x:v>
      </x:c>
      <x:c r="C100" s="62" t="str">
        <x:v>RT-B</x:v>
      </x:c>
      <x:c r="D100" s="62" t="str">
        <x:v>RECEIVER</x:v>
      </x:c>
      <x:c r="E100" s="62" t="str">
        <x:v>Receiver-compatible completion</x:v>
      </x:c>
      <x:c r="F100" s="62" t="str">
        <x:v>The receiving system accepts the delivered mission state without hidden external completion.</x:v>
      </x:c>
      <x:c r="G100" s="62" t="str">
        <x:v>UNTRIED</x:v>
      </x:c>
      <x:c r="H100" s="62" t="str"/>
      <x:c r="I100" s="63" t="n">
        <x:v>0</x:v>
      </x:c>
      <x:c r="J100" s="63" t="n">
        <x:v>0</x:v>
      </x:c>
      <x:c r="K100" s="62" t="str">
        <x:f>IF(OR(I100=0,J100=0,H100=""),"UNTRIED",IF(G100="PASS","PASS",IF(G100="FAIL","FAIL","HOLD")))</x:f>
        <x:v>UNTRIED</x:v>
      </x:c>
      <x:c r="L100" s="62" t="n">
        <x:f>COUNTIFS($B$5:$B$112,B100,$D$5:$D$112,D100)</x:f>
        <x:v>1</x:v>
      </x:c>
      <x:c r="M100" s="62" t="n">
        <x:f>COUNTIF($A$5:$A$112,A100)</x:f>
        <x:v>1</x:v>
      </x:c>
      <x:c r="N100" s="62" t="str">
        <x:v>No accepted evidence exists</x:v>
      </x:c>
    </x:row>
    <x:row r="101">
      <x:c r="A101" s="62" t="str">
        <x:v>RT-B-B-CAUSAL</x:v>
      </x:c>
      <x:c r="B101" s="62" t="str">
        <x:v>RT-B-B</x:v>
      </x:c>
      <x:c r="C101" s="62" t="str">
        <x:v>RT-B</x:v>
      </x:c>
      <x:c r="D101" s="62" t="str">
        <x:v>CAUSAL</x:v>
      </x:c>
      <x:c r="E101" s="62" t="str">
        <x:v>Causal effect / denominator</x:v>
      </x:c>
      <x:c r="F101" s="62" t="str">
        <x:v>A bounded denominator and attributable mission effect under the destructive event.</x:v>
      </x:c>
      <x:c r="G101" s="62" t="str">
        <x:v>UNTRIED</x:v>
      </x:c>
      <x:c r="H101" s="62" t="str"/>
      <x:c r="I101" s="63" t="n">
        <x:v>0</x:v>
      </x:c>
      <x:c r="J101" s="63" t="n">
        <x:v>0</x:v>
      </x:c>
      <x:c r="K101" s="62" t="str">
        <x:f>IF(OR(I101=0,J101=0,H101=""),"UNTRIED",IF(G101="PASS","PASS",IF(G101="FAIL","FAIL","HOLD")))</x:f>
        <x:v>UNTRIED</x:v>
      </x:c>
      <x:c r="L101" s="62" t="n">
        <x:f>COUNTIFS($B$5:$B$112,B101,$D$5:$D$112,D101)</x:f>
        <x:v>1</x:v>
      </x:c>
      <x:c r="M101" s="62" t="n">
        <x:f>COUNTIF($A$5:$A$112,A101)</x:f>
        <x:v>1</x:v>
      </x:c>
      <x:c r="N101" s="62" t="str">
        <x:v>No accepted evidence exists</x:v>
      </x:c>
    </x:row>
    <x:row r="102">
      <x:c r="A102" s="62" t="str">
        <x:v>RT-B-B-INDEPENDENCE</x:v>
      </x:c>
      <x:c r="B102" s="62" t="str">
        <x:v>RT-B-B</x:v>
      </x:c>
      <x:c r="C102" s="62" t="str">
        <x:v>RT-B</x:v>
      </x:c>
      <x:c r="D102" s="62" t="str">
        <x:v>INDEPENDENCE</x:v>
      </x:c>
      <x:c r="E102" s="62" t="str">
        <x:v>Largest-cell-loss independence</x:v>
      </x:c>
      <x:c r="F102" s="62" t="str">
        <x:v>The surviving article retains its root lower bound without hidden common cause.</x:v>
      </x:c>
      <x:c r="G102" s="62" t="str">
        <x:v>UNTRIED</x:v>
      </x:c>
      <x:c r="H102" s="62" t="str"/>
      <x:c r="I102" s="63" t="n">
        <x:v>0</x:v>
      </x:c>
      <x:c r="J102" s="63" t="n">
        <x:v>0</x:v>
      </x:c>
      <x:c r="K102" s="62" t="str">
        <x:f>IF(OR(I102=0,J102=0,H102=""),"UNTRIED",IF(G102="PASS","PASS",IF(G102="FAIL","FAIL","HOLD")))</x:f>
        <x:v>UNTRIED</x:v>
      </x:c>
      <x:c r="L102" s="62" t="n">
        <x:f>COUNTIFS($B$5:$B$112,B102,$D$5:$D$112,D102)</x:f>
        <x:v>1</x:v>
      </x:c>
      <x:c r="M102" s="62" t="n">
        <x:f>COUNTIF($A$5:$A$112,A102)</x:f>
        <x:v>1</x:v>
      </x:c>
      <x:c r="N102" s="62" t="str">
        <x:v>No accepted evidence exists</x:v>
      </x:c>
    </x:row>
    <x:row r="103">
      <x:c r="A103" s="62" t="str">
        <x:v>RT-B-B-SAFE-RIGHTS</x:v>
      </x:c>
      <x:c r="B103" s="62" t="str">
        <x:v>RT-B-B</x:v>
      </x:c>
      <x:c r="C103" s="62" t="str">
        <x:v>RT-B</x:v>
      </x:c>
      <x:c r="D103" s="62" t="str">
        <x:v>SAFE-RIGHTS</x:v>
      </x:c>
      <x:c r="E103" s="62" t="str">
        <x:v>Safe state / rights</x:v>
      </x:c>
      <x:c r="F103" s="62" t="str">
        <x:v>Physical safeing preserves consent, access, due process and protected populations.</x:v>
      </x:c>
      <x:c r="G103" s="62" t="str">
        <x:v>UNTRIED</x:v>
      </x:c>
      <x:c r="H103" s="62" t="str"/>
      <x:c r="I103" s="63" t="n">
        <x:v>0</x:v>
      </x:c>
      <x:c r="J103" s="63" t="n">
        <x:v>0</x:v>
      </x:c>
      <x:c r="K103" s="62" t="str">
        <x:f>IF(OR(I103=0,J103=0,H103=""),"UNTRIED",IF(G103="PASS","PASS",IF(G103="FAIL","FAIL","HOLD")))</x:f>
        <x:v>UNTRIED</x:v>
      </x:c>
      <x:c r="L103" s="62" t="n">
        <x:f>COUNTIFS($B$5:$B$112,B103,$D$5:$D$112,D103)</x:f>
        <x:v>1</x:v>
      </x:c>
      <x:c r="M103" s="62" t="n">
        <x:f>COUNTIF($A$5:$A$112,A103)</x:f>
        <x:v>1</x:v>
      </x:c>
      <x:c r="N103" s="62" t="str">
        <x:v>No accepted evidence exists</x:v>
      </x:c>
    </x:row>
    <x:row r="104">
      <x:c r="A104" s="62" t="str">
        <x:v>RT-B-B-RESIDUAL</x:v>
      </x:c>
      <x:c r="B104" s="62" t="str">
        <x:v>RT-B-B</x:v>
      </x:c>
      <x:c r="C104" s="62" t="str">
        <x:v>RT-B</x:v>
      </x:c>
      <x:c r="D104" s="62" t="str">
        <x:v>RESIDUAL</x:v>
      </x:c>
      <x:c r="E104" s="62" t="str">
        <x:v>Residual custody</x:v>
      </x:c>
      <x:c r="F104" s="62" t="str">
        <x:v>Mass, energy, contamination, waste and disposition reconcile after the event.</x:v>
      </x:c>
      <x:c r="G104" s="62" t="str">
        <x:v>UNTRIED</x:v>
      </x:c>
      <x:c r="H104" s="62" t="str"/>
      <x:c r="I104" s="63" t="n">
        <x:v>0</x:v>
      </x:c>
      <x:c r="J104" s="63" t="n">
        <x:v>0</x:v>
      </x:c>
      <x:c r="K104" s="62" t="str">
        <x:f>IF(OR(I104=0,J104=0,H104=""),"UNTRIED",IF(G104="PASS","PASS",IF(G104="FAIL","FAIL","HOLD")))</x:f>
        <x:v>UNTRIED</x:v>
      </x:c>
      <x:c r="L104" s="62" t="n">
        <x:f>COUNTIFS($B$5:$B$112,B104,$D$5:$D$112,D104)</x:f>
        <x:v>1</x:v>
      </x:c>
      <x:c r="M104" s="62" t="n">
        <x:f>COUNTIF($A$5:$A$112,A104)</x:f>
        <x:v>1</x:v>
      </x:c>
      <x:c r="N104" s="62" t="str">
        <x:v>No accepted evidence exists</x:v>
      </x:c>
    </x:row>
    <x:row r="105">
      <x:c r="A105" s="62" t="str">
        <x:v>RT-B-B-RECON</x:v>
      </x:c>
      <x:c r="B105" s="62" t="str">
        <x:v>RT-B-B</x:v>
      </x:c>
      <x:c r="C105" s="62" t="str">
        <x:v>RT-B</x:v>
      </x:c>
      <x:c r="D105" s="62" t="str">
        <x:v>RECON</x:v>
      </x:c>
      <x:c r="E105" s="62" t="str">
        <x:v>Cold reconstruction / ancestry</x:v>
      </x:c>
      <x:c r="F105" s="62" t="str">
        <x:v>A clean team reconstructs the decisive function from sealed public records and held inventory.</x:v>
      </x:c>
      <x:c r="G105" s="62" t="str">
        <x:v>UNTRIED</x:v>
      </x:c>
      <x:c r="H105" s="62" t="str"/>
      <x:c r="I105" s="63" t="n">
        <x:v>0</x:v>
      </x:c>
      <x:c r="J105" s="63" t="n">
        <x:v>0</x:v>
      </x:c>
      <x:c r="K105" s="62" t="str">
        <x:f>IF(OR(I105=0,J105=0,H105=""),"UNTRIED",IF(G105="PASS","PASS",IF(G105="FAIL","FAIL","HOLD")))</x:f>
        <x:v>UNTRIED</x:v>
      </x:c>
      <x:c r="L105" s="62" t="n">
        <x:f>COUNTIFS($B$5:$B$112,B105,$D$5:$D$112,D105)</x:f>
        <x:v>1</x:v>
      </x:c>
      <x:c r="M105" s="62" t="n">
        <x:f>COUNTIF($A$5:$A$112,A105)</x:f>
        <x:v>1</x:v>
      </x:c>
      <x:c r="N105" s="62" t="str">
        <x:v>No accepted evidence exists</x:v>
      </x:c>
    </x:row>
    <x:row r="106">
      <x:c r="A106" s="62" t="str">
        <x:v>RT-B-B-RECEIVER</x:v>
      </x:c>
      <x:c r="B106" s="62" t="str">
        <x:v>RT-B-B</x:v>
      </x:c>
      <x:c r="C106" s="62" t="str">
        <x:v>RT-B</x:v>
      </x:c>
      <x:c r="D106" s="62" t="str">
        <x:v>RECEIVER</x:v>
      </x:c>
      <x:c r="E106" s="62" t="str">
        <x:v>Receiver-compatible completion</x:v>
      </x:c>
      <x:c r="F106" s="62" t="str">
        <x:v>The receiving system accepts the delivered mission state without hidden external completion.</x:v>
      </x:c>
      <x:c r="G106" s="62" t="str">
        <x:v>UNTRIED</x:v>
      </x:c>
      <x:c r="H106" s="62" t="str"/>
      <x:c r="I106" s="63" t="n">
        <x:v>0</x:v>
      </x:c>
      <x:c r="J106" s="63" t="n">
        <x:v>0</x:v>
      </x:c>
      <x:c r="K106" s="62" t="str">
        <x:f>IF(OR(I106=0,J106=0,H106=""),"UNTRIED",IF(G106="PASS","PASS",IF(G106="FAIL","FAIL","HOLD")))</x:f>
        <x:v>UNTRIED</x:v>
      </x:c>
      <x:c r="L106" s="62" t="n">
        <x:f>COUNTIFS($B$5:$B$112,B106,$D$5:$D$112,D106)</x:f>
        <x:v>1</x:v>
      </x:c>
      <x:c r="M106" s="62" t="n">
        <x:f>COUNTIF($A$5:$A$112,A106)</x:f>
        <x:v>1</x:v>
      </x:c>
      <x:c r="N106" s="62" t="str">
        <x:v>No accepted evidence exists</x:v>
      </x:c>
    </x:row>
    <x:row r="107">
      <x:c r="A107" s="62" t="str">
        <x:v>RT-B-C-CAUSAL</x:v>
      </x:c>
      <x:c r="B107" s="62" t="str">
        <x:v>RT-B-C</x:v>
      </x:c>
      <x:c r="C107" s="62" t="str">
        <x:v>RT-B</x:v>
      </x:c>
      <x:c r="D107" s="62" t="str">
        <x:v>CAUSAL</x:v>
      </x:c>
      <x:c r="E107" s="62" t="str">
        <x:v>Causal effect / denominator</x:v>
      </x:c>
      <x:c r="F107" s="62" t="str">
        <x:v>A bounded denominator and attributable mission effect under the destructive event.</x:v>
      </x:c>
      <x:c r="G107" s="62" t="str">
        <x:v>UNTRIED</x:v>
      </x:c>
      <x:c r="H107" s="62" t="str"/>
      <x:c r="I107" s="63" t="n">
        <x:v>0</x:v>
      </x:c>
      <x:c r="J107" s="63" t="n">
        <x:v>0</x:v>
      </x:c>
      <x:c r="K107" s="62" t="str">
        <x:f>IF(OR(I107=0,J107=0,H107=""),"UNTRIED",IF(G107="PASS","PASS",IF(G107="FAIL","FAIL","HOLD")))</x:f>
        <x:v>UNTRIED</x:v>
      </x:c>
      <x:c r="L107" s="62" t="n">
        <x:f>COUNTIFS($B$5:$B$112,B107,$D$5:$D$112,D107)</x:f>
        <x:v>1</x:v>
      </x:c>
      <x:c r="M107" s="62" t="n">
        <x:f>COUNTIF($A$5:$A$112,A107)</x:f>
        <x:v>1</x:v>
      </x:c>
      <x:c r="N107" s="62" t="str">
        <x:v>No accepted evidence exists</x:v>
      </x:c>
    </x:row>
    <x:row r="108">
      <x:c r="A108" s="62" t="str">
        <x:v>RT-B-C-INDEPENDENCE</x:v>
      </x:c>
      <x:c r="B108" s="62" t="str">
        <x:v>RT-B-C</x:v>
      </x:c>
      <x:c r="C108" s="62" t="str">
        <x:v>RT-B</x:v>
      </x:c>
      <x:c r="D108" s="62" t="str">
        <x:v>INDEPENDENCE</x:v>
      </x:c>
      <x:c r="E108" s="62" t="str">
        <x:v>Largest-cell-loss independence</x:v>
      </x:c>
      <x:c r="F108" s="62" t="str">
        <x:v>The surviving article retains its root lower bound without hidden common cause.</x:v>
      </x:c>
      <x:c r="G108" s="62" t="str">
        <x:v>UNTRIED</x:v>
      </x:c>
      <x:c r="H108" s="62" t="str"/>
      <x:c r="I108" s="63" t="n">
        <x:v>0</x:v>
      </x:c>
      <x:c r="J108" s="63" t="n">
        <x:v>0</x:v>
      </x:c>
      <x:c r="K108" s="62" t="str">
        <x:f>IF(OR(I108=0,J108=0,H108=""),"UNTRIED",IF(G108="PASS","PASS",IF(G108="FAIL","FAIL","HOLD")))</x:f>
        <x:v>UNTRIED</x:v>
      </x:c>
      <x:c r="L108" s="62" t="n">
        <x:f>COUNTIFS($B$5:$B$112,B108,$D$5:$D$112,D108)</x:f>
        <x:v>1</x:v>
      </x:c>
      <x:c r="M108" s="62" t="n">
        <x:f>COUNTIF($A$5:$A$112,A108)</x:f>
        <x:v>1</x:v>
      </x:c>
      <x:c r="N108" s="62" t="str">
        <x:v>No accepted evidence exists</x:v>
      </x:c>
    </x:row>
    <x:row r="109">
      <x:c r="A109" s="62" t="str">
        <x:v>RT-B-C-SAFE-RIGHTS</x:v>
      </x:c>
      <x:c r="B109" s="62" t="str">
        <x:v>RT-B-C</x:v>
      </x:c>
      <x:c r="C109" s="62" t="str">
        <x:v>RT-B</x:v>
      </x:c>
      <x:c r="D109" s="62" t="str">
        <x:v>SAFE-RIGHTS</x:v>
      </x:c>
      <x:c r="E109" s="62" t="str">
        <x:v>Safe state / rights</x:v>
      </x:c>
      <x:c r="F109" s="62" t="str">
        <x:v>Physical safeing preserves consent, access, due process and protected populations.</x:v>
      </x:c>
      <x:c r="G109" s="62" t="str">
        <x:v>UNTRIED</x:v>
      </x:c>
      <x:c r="H109" s="62" t="str"/>
      <x:c r="I109" s="63" t="n">
        <x:v>0</x:v>
      </x:c>
      <x:c r="J109" s="63" t="n">
        <x:v>0</x:v>
      </x:c>
      <x:c r="K109" s="62" t="str">
        <x:f>IF(OR(I109=0,J109=0,H109=""),"UNTRIED",IF(G109="PASS","PASS",IF(G109="FAIL","FAIL","HOLD")))</x:f>
        <x:v>UNTRIED</x:v>
      </x:c>
      <x:c r="L109" s="62" t="n">
        <x:f>COUNTIFS($B$5:$B$112,B109,$D$5:$D$112,D109)</x:f>
        <x:v>1</x:v>
      </x:c>
      <x:c r="M109" s="62" t="n">
        <x:f>COUNTIF($A$5:$A$112,A109)</x:f>
        <x:v>1</x:v>
      </x:c>
      <x:c r="N109" s="62" t="str">
        <x:v>No accepted evidence exists</x:v>
      </x:c>
    </x:row>
    <x:row r="110">
      <x:c r="A110" s="62" t="str">
        <x:v>RT-B-C-RESIDUAL</x:v>
      </x:c>
      <x:c r="B110" s="62" t="str">
        <x:v>RT-B-C</x:v>
      </x:c>
      <x:c r="C110" s="62" t="str">
        <x:v>RT-B</x:v>
      </x:c>
      <x:c r="D110" s="62" t="str">
        <x:v>RESIDUAL</x:v>
      </x:c>
      <x:c r="E110" s="62" t="str">
        <x:v>Residual custody</x:v>
      </x:c>
      <x:c r="F110" s="62" t="str">
        <x:v>Mass, energy, contamination, waste and disposition reconcile after the event.</x:v>
      </x:c>
      <x:c r="G110" s="62" t="str">
        <x:v>UNTRIED</x:v>
      </x:c>
      <x:c r="H110" s="62" t="str"/>
      <x:c r="I110" s="63" t="n">
        <x:v>0</x:v>
      </x:c>
      <x:c r="J110" s="63" t="n">
        <x:v>0</x:v>
      </x:c>
      <x:c r="K110" s="62" t="str">
        <x:f>IF(OR(I110=0,J110=0,H110=""),"UNTRIED",IF(G110="PASS","PASS",IF(G110="FAIL","FAIL","HOLD")))</x:f>
        <x:v>UNTRIED</x:v>
      </x:c>
      <x:c r="L110" s="62" t="n">
        <x:f>COUNTIFS($B$5:$B$112,B110,$D$5:$D$112,D110)</x:f>
        <x:v>1</x:v>
      </x:c>
      <x:c r="M110" s="62" t="n">
        <x:f>COUNTIF($A$5:$A$112,A110)</x:f>
        <x:v>1</x:v>
      </x:c>
      <x:c r="N110" s="62" t="str">
        <x:v>No accepted evidence exists</x:v>
      </x:c>
    </x:row>
    <x:row r="111">
      <x:c r="A111" s="62" t="str">
        <x:v>RT-B-C-RECON</x:v>
      </x:c>
      <x:c r="B111" s="62" t="str">
        <x:v>RT-B-C</x:v>
      </x:c>
      <x:c r="C111" s="62" t="str">
        <x:v>RT-B</x:v>
      </x:c>
      <x:c r="D111" s="62" t="str">
        <x:v>RECON</x:v>
      </x:c>
      <x:c r="E111" s="62" t="str">
        <x:v>Cold reconstruction / ancestry</x:v>
      </x:c>
      <x:c r="F111" s="62" t="str">
        <x:v>A clean team reconstructs the decisive function from sealed public records and held inventory.</x:v>
      </x:c>
      <x:c r="G111" s="62" t="str">
        <x:v>UNTRIED</x:v>
      </x:c>
      <x:c r="H111" s="62" t="str"/>
      <x:c r="I111" s="63" t="n">
        <x:v>0</x:v>
      </x:c>
      <x:c r="J111" s="63" t="n">
        <x:v>0</x:v>
      </x:c>
      <x:c r="K111" s="62" t="str">
        <x:f>IF(OR(I111=0,J111=0,H111=""),"UNTRIED",IF(G111="PASS","PASS",IF(G111="FAIL","FAIL","HOLD")))</x:f>
        <x:v>UNTRIED</x:v>
      </x:c>
      <x:c r="L111" s="62" t="n">
        <x:f>COUNTIFS($B$5:$B$112,B111,$D$5:$D$112,D111)</x:f>
        <x:v>1</x:v>
      </x:c>
      <x:c r="M111" s="62" t="n">
        <x:f>COUNTIF($A$5:$A$112,A111)</x:f>
        <x:v>1</x:v>
      </x:c>
      <x:c r="N111" s="62" t="str">
        <x:v>No accepted evidence exists</x:v>
      </x:c>
    </x:row>
    <x:row r="112">
      <x:c r="A112" s="64" t="str">
        <x:v>RT-B-C-RECEIVER</x:v>
      </x:c>
      <x:c r="B112" s="64" t="str">
        <x:v>RT-B-C</x:v>
      </x:c>
      <x:c r="C112" s="64" t="str">
        <x:v>RT-B</x:v>
      </x:c>
      <x:c r="D112" s="64" t="str">
        <x:v>RECEIVER</x:v>
      </x:c>
      <x:c r="E112" s="64" t="str">
        <x:v>Receiver-compatible completion</x:v>
      </x:c>
      <x:c r="F112" s="64" t="str">
        <x:v>The receiving system accepts the delivered mission state without hidden external completion.</x:v>
      </x:c>
      <x:c r="G112" s="64" t="str">
        <x:v>UNTRIED</x:v>
      </x:c>
      <x:c r="H112" s="64" t="str"/>
      <x:c r="I112" s="71" t="n">
        <x:v>0</x:v>
      </x:c>
      <x:c r="J112" s="71" t="n">
        <x:v>0</x:v>
      </x:c>
      <x:c r="K112" s="64" t="str">
        <x:f>IF(OR(I112=0,J112=0,H112=""),"UNTRIED",IF(G112="PASS","PASS",IF(G112="FAIL","FAIL","HOLD")))</x:f>
        <x:v>UNTRIED</x:v>
      </x:c>
      <x:c r="L112" s="64" t="n">
        <x:f>COUNTIFS($B$5:$B$112,B112,$D$5:$D$112,D112)</x:f>
        <x:v>1</x:v>
      </x:c>
      <x:c r="M112" s="64" t="n">
        <x:f>COUNTIF($A$5:$A$112,A112)</x:f>
        <x:v>1</x:v>
      </x:c>
      <x:c r="N112" s="64" t="str">
        <x:v>No accepted evidence exists</x:v>
      </x:c>
    </x:row>
  </x:sheetData>
  <x:mergeCells>
    <x:mergeCell ref="A2:N2"/>
  </x:mergeCells>
  <x:conditionalFormatting sqref="K5:K112">
    <x:cfRule type="containsText" dxfId="0" priority="1" operator="containsText" text="FAIL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0" hidden="0" customWidth="1"/>
    <x:col min="2" max="2" width="16" hidden="0" customWidth="1"/>
    <x:col min="3" max="3" width="10" hidden="0" customWidth="1"/>
    <x:col min="4" max="4" width="66" hidden="0" customWidth="1"/>
    <x:col min="5" max="5" width="66" hidden="0" customWidth="1"/>
    <x:col min="6" max="6" width="66" hidden="0" customWidth="1"/>
    <x:col min="7" max="7" width="66" hidden="0" customWidth="1"/>
    <x:col min="8" max="8" width="66" hidden="0" customWidth="1"/>
    <x:col min="9" max="9" width="72" hidden="0" customWidth="1"/>
    <x:col min="10" max="10" width="72" hidden="0" customWidth="1"/>
  </x:cols>
  <x:sheetData>
    <x:row r="2">
      <x:c r="A2" s="56" t="str">
        <x:v>Frozen destructive-event packets</x:v>
      </x:c>
      <x:c r="B2" s="57"/>
      <x:c r="C2" s="57"/>
      <x:c r="D2" s="57"/>
      <x:c r="E2" s="57"/>
      <x:c r="F2" s="57"/>
      <x:c r="G2" s="57"/>
      <x:c r="H2" s="57"/>
      <x:c r="I2" s="57"/>
      <x:c r="J2" s="57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</x:row>
    <x:row r="4" ht="32" customHeight="1">
      <x:c r="A4" s="14" t="str">
        <x:v>Packet</x:v>
      </x:c>
      <x:c r="B4" s="15" t="str">
        <x:v>Form</x:v>
      </x:c>
      <x:c r="C4" s="15" t="str">
        <x:v>Root</x:v>
      </x:c>
      <x:c r="D4" s="15" t="str">
        <x:v>Named destructive event</x:v>
      </x:c>
      <x:c r="E4" s="15" t="str">
        <x:v>Frozen preconditions</x:v>
      </x:c>
      <x:c r="F4" s="15" t="str">
        <x:v>Intervention</x:v>
      </x:c>
      <x:c r="G4" s="15" t="str">
        <x:v>Disqualifying observation</x:v>
      </x:c>
      <x:c r="H4" s="15" t="str">
        <x:v>Sustain and safe stop</x:v>
      </x:c>
      <x:c r="I4" s="15" t="str">
        <x:v>Validity gate</x:v>
      </x:c>
      <x:c r="J4" s="16" t="str">
        <x:v>Non-retry rule</x:v>
      </x:c>
    </x:row>
    <x:row r="5">
      <x:c r="A5" s="59" t="str">
        <x:v>ET-A-A-E1</x:v>
      </x:c>
      <x:c r="B5" s="59" t="str">
        <x:v>ET-A-A</x:v>
      </x:c>
      <x:c r="C5" s="59" t="str">
        <x:v>ET-A</x:v>
      </x:c>
      <x:c r="D5" s="59" t="str">
        <x:v>Disable one twin body plus its energy, control and custody chain at peak relative motion.</x:v>
      </x:c>
      <x:c r="E5" s="59" t="str">
        <x:v>Freeze the configuration, denominator, receiver, environment and lawful access boundary before intervention.</x:v>
      </x:c>
      <x:c r="F5" s="59" t="str">
        <x:v>Apply the named loss once at the root's lower-bound mission rate; do not tune after observation.</x:v>
      </x:c>
      <x:c r="G5" s="59" t="str">
        <x:v>Survivor cannot retain one complete &gt;=241 t/h custody chain, or the failure crosses bodies.</x:v>
      </x:c>
      <x:c r="H5" s="59" t="str">
        <x:v>Sustain long enough to expose propagation, residual drift and receiver rejection; stop on a rights or safety boundary.</x:v>
      </x:c>
      <x:c r="I5" s="59" t="str">
        <x:v>Valid only with independent instrumentation, complete ancestry, declared missingness and no post hoc denominator change.</x:v>
      </x:c>
      <x:c r="J5" s="59" t="str">
        <x:v>INVALID -&gt; repeat this exact event only after the invalidity is corrected; FAIL -&gt; withdraw; PASS -&gt; test remaining domains.</x:v>
      </x:c>
    </x:row>
    <x:row r="6">
      <x:c r="A6" s="62" t="str">
        <x:v>ET-A-B-E1</x:v>
      </x:c>
      <x:c r="B6" s="62" t="str">
        <x:v>ET-A-B</x:v>
      </x:c>
      <x:c r="C6" s="62" t="str">
        <x:v>ET-A</x:v>
      </x:c>
      <x:c r="D6" s="62" t="str">
        <x:v>Lock and flood one articulation chain while denying its buffer and controller.</x:v>
      </x:c>
      <x:c r="E6" s="62" t="str">
        <x:v>Freeze the configuration, denominator, receiver, environment and lawful access boundary before intervention.</x:v>
      </x:c>
      <x:c r="F6" s="62" t="str">
        <x:v>Apply the named loss once at the root's lower-bound mission rate; do not tune after observation.</x:v>
      </x:c>
      <x:c r="G6" s="62" t="str">
        <x:v>Load or safeing transfers into the other chain, or one complete custody path is lost.</x:v>
      </x:c>
      <x:c r="H6" s="62" t="str">
        <x:v>Sustain long enough to expose propagation, residual drift and receiver rejection; stop on a rights or safety boundary.</x:v>
      </x:c>
      <x:c r="I6" s="62" t="str">
        <x:v>Valid only with independent instrumentation, complete ancestry, declared missingness and no post hoc denominator change.</x:v>
      </x:c>
      <x:c r="J6" s="62" t="str">
        <x:v>INVALID -&gt; repeat this exact event only after the invalidity is corrected; FAIL -&gt; withdraw; PASS -&gt; test remaining domains.</x:v>
      </x:c>
    </x:row>
    <x:row r="7">
      <x:c r="A7" s="62" t="str">
        <x:v>ET-A-C-E1</x:v>
      </x:c>
      <x:c r="B7" s="62" t="str">
        <x:v>ET-A-C</x:v>
      </x:c>
      <x:c r="C7" s="62" t="str">
        <x:v>ET-A</x:v>
      </x:c>
      <x:c r="D7" s="62" t="str">
        <x:v>Flood and disable one wet-to-dry frame and its stationkeeping lineage.</x:v>
      </x:c>
      <x:c r="E7" s="62" t="str">
        <x:v>Freeze the configuration, denominator, receiver, environment and lawful access boundary before intervention.</x:v>
      </x:c>
      <x:c r="F7" s="62" t="str">
        <x:v>Apply the named loss once at the root's lower-bound mission rate; do not tune after observation.</x:v>
      </x:c>
      <x:c r="G7" s="62" t="str">
        <x:v>Trim, power or control common cause reaches the second frame.</x:v>
      </x:c>
      <x:c r="H7" s="62" t="str">
        <x:v>Sustain long enough to expose propagation, residual drift and receiver rejection; stop on a rights or safety boundary.</x:v>
      </x:c>
      <x:c r="I7" s="62" t="str">
        <x:v>Valid only with independent instrumentation, complete ancestry, declared missingness and no post hoc denominator change.</x:v>
      </x:c>
      <x:c r="J7" s="62" t="str">
        <x:v>INVALID -&gt; repeat this exact event only after the invalidity is corrected; FAIL -&gt; withdraw; PASS -&gt; test remaining domains.</x:v>
      </x:c>
    </x:row>
    <x:row r="8">
      <x:c r="A8" s="62" t="str">
        <x:v>CT-C-A-E1</x:v>
      </x:c>
      <x:c r="B8" s="62" t="str">
        <x:v>CT-C-A</x:v>
      </x:c>
      <x:c r="C8" s="62" t="str">
        <x:v>CT-C</x:v>
      </x:c>
      <x:c r="D8" s="62" t="str">
        <x:v>Remove one 7.20 MW cell and fault one telescoping trunk at a damaged attachment.</x:v>
      </x:c>
      <x:c r="E8" s="62" t="str">
        <x:v>Freeze the configuration, denominator, receiver, environment and lawful access boundary before intervention.</x:v>
      </x:c>
      <x:c r="F8" s="62" t="str">
        <x:v>Apply the named loss once at the root's lower-bound mission rate; do not tune after observation.</x:v>
      </x:c>
      <x:c r="G8" s="62" t="str">
        <x:v>Failure propagates across segment, utility family or lawful occupancy boundary.</x:v>
      </x:c>
      <x:c r="H8" s="62" t="str">
        <x:v>Sustain long enough to expose propagation, residual drift and receiver rejection; stop on a rights or safety boundary.</x:v>
      </x:c>
      <x:c r="I8" s="62" t="str">
        <x:v>Valid only with independent instrumentation, complete ancestry, declared missingness and no post hoc denominator change.</x:v>
      </x:c>
      <x:c r="J8" s="62" t="str">
        <x:v>INVALID -&gt; repeat this exact event only after the invalidity is corrected; FAIL -&gt; withdraw; PASS -&gt; test remaining domains.</x:v>
      </x:c>
    </x:row>
    <x:row r="9">
      <x:c r="A9" s="62" t="str">
        <x:v>CT-C-B-E1</x:v>
      </x:c>
      <x:c r="B9" s="62" t="str">
        <x:v>CT-C-B</x:v>
      </x:c>
      <x:c r="C9" s="62" t="str">
        <x:v>CT-C</x:v>
      </x:c>
      <x:c r="D9" s="62" t="str">
        <x:v>Release one anchor zone and fault one mixed-utility belt section.</x:v>
      </x:c>
      <x:c r="E9" s="62" t="str">
        <x:v>Freeze the configuration, denominator, receiver, environment and lawful access boundary before intervention.</x:v>
      </x:c>
      <x:c r="F9" s="62" t="str">
        <x:v>Apply the named loss once at the root's lower-bound mission rate; do not tune after observation.</x:v>
      </x:c>
      <x:c r="G9" s="62" t="str">
        <x:v>Progressive peel, cross-trunk fault or egress loss occurs.</x:v>
      </x:c>
      <x:c r="H9" s="62" t="str">
        <x:v>Sustain long enough to expose propagation, residual drift and receiver rejection; stop on a rights or safety boundary.</x:v>
      </x:c>
      <x:c r="I9" s="62" t="str">
        <x:v>Valid only with independent instrumentation, complete ancestry, declared missingness and no post hoc denominator change.</x:v>
      </x:c>
      <x:c r="J9" s="62" t="str">
        <x:v>INVALID -&gt; repeat this exact event only after the invalidity is corrected; FAIL -&gt; withdraw; PASS -&gt; test remaining domains.</x:v>
      </x:c>
    </x:row>
    <x:row r="10">
      <x:c r="A10" s="62" t="str">
        <x:v>CT-C-C-E1</x:v>
      </x:c>
      <x:c r="B10" s="62" t="str">
        <x:v>CT-C-C</x:v>
      </x:c>
      <x:c r="C10" s="62" t="str">
        <x:v>CT-C</x:v>
      </x:c>
      <x:c r="D10" s="62" t="str">
        <x:v>Remove one mast foundation and one bridge drop under occupied load.</x:v>
      </x:c>
      <x:c r="E10" s="62" t="str">
        <x:v>Freeze the configuration, denominator, receiver, environment and lawful access boundary before intervention.</x:v>
      </x:c>
      <x:c r="F10" s="62" t="str">
        <x:v>Apply the named loss once at the root's lower-bound mission rate; do not tune after observation.</x:v>
      </x:c>
      <x:c r="G10" s="62" t="str">
        <x:v>Decisive load or service transfers into another mast, or egress closes.</x:v>
      </x:c>
      <x:c r="H10" s="62" t="str">
        <x:v>Sustain long enough to expose propagation, residual drift and receiver rejection; stop on a rights or safety boundary.</x:v>
      </x:c>
      <x:c r="I10" s="62" t="str">
        <x:v>Valid only with independent instrumentation, complete ancestry, declared missingness and no post hoc denominator change.</x:v>
      </x:c>
      <x:c r="J10" s="62" t="str">
        <x:v>INVALID -&gt; repeat this exact event only after the invalidity is corrected; FAIL -&gt; withdraw; PASS -&gt; test remaining domains.</x:v>
      </x:c>
    </x:row>
    <x:row r="11">
      <x:c r="A11" s="62" t="str">
        <x:v>HC-A-A-E1</x:v>
      </x:c>
      <x:c r="B11" s="62" t="str">
        <x:v>HC-A-A</x:v>
      </x:c>
      <x:c r="C11" s="62" t="str">
        <x:v>HC-A</x:v>
      </x:c>
      <x:c r="D11" s="62" t="str">
        <x:v>Deny one airframe and its local refill and controller during a plume corridor.</x:v>
      </x:c>
      <x:c r="E11" s="62" t="str">
        <x:v>Freeze the configuration, denominator, receiver, environment and lawful access boundary before intervention.</x:v>
      </x:c>
      <x:c r="F11" s="62" t="str">
        <x:v>Apply the named loss once at the root's lower-bound mission rate; do not tune after observation.</x:v>
      </x:c>
      <x:c r="G11" s="62" t="str">
        <x:v>Another sector depends on it, or one-kilometre effect cannot be independently attributed and held.</x:v>
      </x:c>
      <x:c r="H11" s="62" t="str">
        <x:v>Sustain long enough to expose propagation, residual drift and receiver rejection; stop on a rights or safety boundary.</x:v>
      </x:c>
      <x:c r="I11" s="62" t="str">
        <x:v>Valid only with independent instrumentation, complete ancestry, declared missingness and no post hoc denominator change.</x:v>
      </x:c>
      <x:c r="J11" s="62" t="str">
        <x:v>INVALID -&gt; repeat this exact event only after the invalidity is corrected; FAIL -&gt; withdraw; PASS -&gt; test remaining domains.</x:v>
      </x:c>
    </x:row>
    <x:row r="12">
      <x:c r="A12" s="62" t="str">
        <x:v>HC-A-B-E1</x:v>
      </x:c>
      <x:c r="B12" s="62" t="str">
        <x:v>HC-A-B</x:v>
      </x:c>
      <x:c r="C12" s="62" t="str">
        <x:v>HC-A</x:v>
      </x:c>
      <x:c r="D12" s="62" t="str">
        <x:v>Sever tether power, fluid and data, then puncture one compartment.</x:v>
      </x:c>
      <x:c r="E12" s="62" t="str">
        <x:v>Freeze the configuration, denominator, receiver, environment and lawful access boundary before intervention.</x:v>
      </x:c>
      <x:c r="F12" s="62" t="str">
        <x:v>Apply the named loss once at the root's lower-bound mission rate; do not tune after observation.</x:v>
      </x:c>
      <x:c r="G12" s="62" t="str">
        <x:v>Local safeing or recovery fails, or the causal corridor depends on a shared station.</x:v>
      </x:c>
      <x:c r="H12" s="62" t="str">
        <x:v>Sustain long enough to expose propagation, residual drift and receiver rejection; stop on a rights or safety boundary.</x:v>
      </x:c>
      <x:c r="I12" s="62" t="str">
        <x:v>Valid only with independent instrumentation, complete ancestry, declared missingness and no post hoc denominator change.</x:v>
      </x:c>
      <x:c r="J12" s="62" t="str">
        <x:v>INVALID -&gt; repeat this exact event only after the invalidity is corrected; FAIL -&gt; withdraw; PASS -&gt; test remaining domains.</x:v>
      </x:c>
    </x:row>
    <x:row r="13">
      <x:c r="A13" s="62" t="str">
        <x:v>HC-A-C-E1</x:v>
      </x:c>
      <x:c r="B13" s="62" t="str">
        <x:v>HC-A-C</x:v>
      </x:c>
      <x:c r="C13" s="62" t="str">
        <x:v>HC-A</x:v>
      </x:c>
      <x:c r="D13" s="62" t="str">
        <x:v>Deny the common coordination network and safe one rotor cell.</x:v>
      </x:c>
      <x:c r="E13" s="62" t="str">
        <x:v>Freeze the configuration, denominator, receiver, environment and lawful access boundary before intervention.</x:v>
      </x:c>
      <x:c r="F13" s="62" t="str">
        <x:v>Apply the named loss once at the root's lower-bound mission rate; do not tune after observation.</x:v>
      </x:c>
      <x:c r="G13" s="62" t="str">
        <x:v>Remaining cells lose local control, independent recovery or causal attribution.</x:v>
      </x:c>
      <x:c r="H13" s="62" t="str">
        <x:v>Sustain long enough to expose propagation, residual drift and receiver rejection; stop on a rights or safety boundary.</x:v>
      </x:c>
      <x:c r="I13" s="62" t="str">
        <x:v>Valid only with independent instrumentation, complete ancestry, declared missingness and no post hoc denominator change.</x:v>
      </x:c>
      <x:c r="J13" s="62" t="str">
        <x:v>INVALID -&gt; repeat this exact event only after the invalidity is corrected; FAIL -&gt; withdraw; PASS -&gt; test remaining domains.</x:v>
      </x:c>
    </x:row>
    <x:row r="14">
      <x:c r="A14" s="62" t="str">
        <x:v>LF-B-A-E1</x:v>
      </x:c>
      <x:c r="B14" s="62" t="str">
        <x:v>LF-B-A</x:v>
      </x:c>
      <x:c r="C14" s="62" t="str">
        <x:v>LF-B</x:v>
      </x:c>
      <x:c r="D14" s="62" t="str">
        <x:v>Isolate one radial header, conversion cell and bore cell at full thermal state.</x:v>
      </x:c>
      <x:c r="E14" s="62" t="str">
        <x:v>Freeze the configuration, denominator, receiver, environment and lawful access boundary before intervention.</x:v>
      </x:c>
      <x:c r="F14" s="62" t="str">
        <x:v>Apply the named loss once at the root's lower-bound mission rate; do not tune after observation.</x:v>
      </x:c>
      <x:c r="G14" s="62" t="str">
        <x:v>Loss exceeds the cell, residual mass is unaccounted, or remaining lower-bound service breaks.</x:v>
      </x:c>
      <x:c r="H14" s="62" t="str">
        <x:v>Sustain long enough to expose propagation, residual drift and receiver rejection; stop on a rights or safety boundary.</x:v>
      </x:c>
      <x:c r="I14" s="62" t="str">
        <x:v>Valid only with independent instrumentation, complete ancestry, declared missingness and no post hoc denominator change.</x:v>
      </x:c>
      <x:c r="J14" s="62" t="str">
        <x:v>INVALID -&gt; repeat this exact event only after the invalidity is corrected; FAIL -&gt; withdraw; PASS -&gt; test remaining domains.</x:v>
      </x:c>
    </x:row>
    <x:row r="15">
      <x:c r="A15" s="62" t="str">
        <x:v>LF-B-B-E1</x:v>
      </x:c>
      <x:c r="B15" s="62" t="str">
        <x:v>LF-B-B</x:v>
      </x:c>
      <x:c r="C15" s="62" t="str">
        <x:v>LF-B</x:v>
      </x:c>
      <x:c r="D15" s="62" t="str">
        <x:v>Deny one route basin and corrupt its reservoir solver and access path.</x:v>
      </x:c>
      <x:c r="E15" s="62" t="str">
        <x:v>Freeze the configuration, denominator, receiver, environment and lawful access boundary before intervention.</x:v>
      </x:c>
      <x:c r="F15" s="62" t="str">
        <x:v>Apply the named loss once at the root's lower-bound mission rate; do not tune after observation.</x:v>
      </x:c>
      <x:c r="G15" s="62" t="str">
        <x:v>The other basin shares model, tool, route or safeing, or cannot reconstruct independently.</x:v>
      </x:c>
      <x:c r="H15" s="62" t="str">
        <x:v>Sustain long enough to expose propagation, residual drift and receiver rejection; stop on a rights or safety boundary.</x:v>
      </x:c>
      <x:c r="I15" s="62" t="str">
        <x:v>Valid only with independent instrumentation, complete ancestry, declared missingness and no post hoc denominator change.</x:v>
      </x:c>
      <x:c r="J15" s="62" t="str">
        <x:v>INVALID -&gt; repeat this exact event only after the invalidity is corrected; FAIL -&gt; withdraw; PASS -&gt; test remaining domains.</x:v>
      </x:c>
    </x:row>
    <x:row r="16">
      <x:c r="A16" s="62" t="str">
        <x:v>LF-B-C-E1</x:v>
      </x:c>
      <x:c r="B16" s="62" t="str">
        <x:v>LF-B-C</x:v>
      </x:c>
      <x:c r="C16" s="62" t="str">
        <x:v>LF-B</x:v>
      </x:c>
      <x:c r="D16" s="62" t="str">
        <x:v>Flood one caisson and cut one export umbilical.</x:v>
      </x:c>
      <x:c r="E16" s="62" t="str">
        <x:v>Freeze the configuration, denominator, receiver, environment and lawful access boundary before intervention.</x:v>
      </x:c>
      <x:c r="F16" s="62" t="str">
        <x:v>Apply the named loss once at the root's lower-bound mission rate; do not tune after observation.</x:v>
      </x:c>
      <x:c r="G16" s="62" t="str">
        <x:v>Power, lift, brine or landing common cause reaches another caisson.</x:v>
      </x:c>
      <x:c r="H16" s="62" t="str">
        <x:v>Sustain long enough to expose propagation, residual drift and receiver rejection; stop on a rights or safety boundary.</x:v>
      </x:c>
      <x:c r="I16" s="62" t="str">
        <x:v>Valid only with independent instrumentation, complete ancestry, declared missingness and no post hoc denominator change.</x:v>
      </x:c>
      <x:c r="J16" s="62" t="str">
        <x:v>INVALID -&gt; repeat this exact event only after the invalidity is corrected; FAIL -&gt; withdraw; PASS -&gt; test remaining domains.</x:v>
      </x:c>
    </x:row>
    <x:row r="17">
      <x:c r="A17" s="62" t="str">
        <x:v>HU-A-A-E1</x:v>
      </x:c>
      <x:c r="B17" s="62" t="str">
        <x:v>HU-A-A</x:v>
      </x:c>
      <x:c r="C17" s="62" t="str">
        <x:v>HU-A</x:v>
      </x:c>
      <x:c r="D17" s="62" t="str">
        <x:v>Contaminate one courtyard utility set and deny its relationship ledger.</x:v>
      </x:c>
      <x:c r="E17" s="62" t="str">
        <x:v>Freeze the configuration, denominator, receiver, environment and lawful access boundary before intervention.</x:v>
      </x:c>
      <x:c r="F17" s="62" t="str">
        <x:v>Apply the named loss once at the root's lower-bound mission rate; do not tune after observation.</x:v>
      </x:c>
      <x:c r="G17" s="62" t="str">
        <x:v>Sterile-dirty fault crosses courts, or any accepted episode loses lawful disposition.</x:v>
      </x:c>
      <x:c r="H17" s="62" t="str">
        <x:v>Sustain long enough to expose propagation, residual drift and receiver rejection; stop on a rights or safety boundary.</x:v>
      </x:c>
      <x:c r="I17" s="62" t="str">
        <x:v>Valid only with independent instrumentation, complete ancestry, declared missingness and no post hoc denominator change.</x:v>
      </x:c>
      <x:c r="J17" s="62" t="str">
        <x:v>INVALID -&gt; repeat this exact event only after the invalidity is corrected; FAIL -&gt; withdraw; PASS -&gt; test remaining domains.</x:v>
      </x:c>
    </x:row>
    <x:row r="18">
      <x:c r="A18" s="62" t="str">
        <x:v>HU-A-B-E1</x:v>
      </x:c>
      <x:c r="B18" s="62" t="str">
        <x:v>HU-A-B</x:v>
      </x:c>
      <x:c r="C18" s="62" t="str">
        <x:v>HU-A</x:v>
      </x:c>
      <x:c r="D18" s="62" t="str">
        <x:v>Block one spine section and one bypass under active ten-line care.</x:v>
      </x:c>
      <x:c r="E18" s="62" t="str">
        <x:v>Freeze the configuration, denominator, receiver, environment and lawful access boundary before intervention.</x:v>
      </x:c>
      <x:c r="F18" s="62" t="str">
        <x:v>Apply the named loss once at the root's lower-bound mission rate; do not tune after observation.</x:v>
      </x:c>
      <x:c r="G18" s="62" t="str">
        <x:v>The remaining bypass cannot carry every indivisible care line, or contamination crosses.</x:v>
      </x:c>
      <x:c r="H18" s="62" t="str">
        <x:v>Sustain long enough to expose propagation, residual drift and receiver rejection; stop on a rights or safety boundary.</x:v>
      </x:c>
      <x:c r="I18" s="62" t="str">
        <x:v>Valid only with independent instrumentation, complete ancestry, declared missingness and no post hoc denominator change.</x:v>
      </x:c>
      <x:c r="J18" s="62" t="str">
        <x:v>INVALID -&gt; repeat this exact event only after the invalidity is corrected; FAIL -&gt; withdraw; PASS -&gt; test remaining domains.</x:v>
      </x:c>
    </x:row>
    <x:row r="19">
      <x:c r="A19" s="62" t="str">
        <x:v>HU-A-C-E1</x:v>
      </x:c>
      <x:c r="B19" s="62" t="str">
        <x:v>HU-A-C</x:v>
      </x:c>
      <x:c r="C19" s="62" t="str">
        <x:v>HU-A</x:v>
      </x:c>
      <x:c r="D19" s="62" t="str">
        <x:v>Remove all municipal services from one tower and fault one vertical-circulation family.</x:v>
      </x:c>
      <x:c r="E19" s="62" t="str">
        <x:v>Freeze the configuration, denominator, receiver, environment and lawful access boundary before intervention.</x:v>
      </x:c>
      <x:c r="F19" s="62" t="str">
        <x:v>Apply the named loss once at the root's lower-bound mission rate; do not tune after observation.</x:v>
      </x:c>
      <x:c r="G19" s="62" t="str">
        <x:v>The other tower shares foundation, utility, access or control, or cannot preserve complete care.</x:v>
      </x:c>
      <x:c r="H19" s="62" t="str">
        <x:v>Sustain long enough to expose propagation, residual drift and receiver rejection; stop on a rights or safety boundary.</x:v>
      </x:c>
      <x:c r="I19" s="62" t="str">
        <x:v>Valid only with independent instrumentation, complete ancestry, declared missingness and no post hoc denominator change.</x:v>
      </x:c>
      <x:c r="J19" s="62" t="str">
        <x:v>INVALID -&gt; repeat this exact event only after the invalidity is corrected; FAIL -&gt; withdraw; PASS -&gt; test remaining domains.</x:v>
      </x:c>
    </x:row>
    <x:row r="20">
      <x:c r="A20" s="62" t="str">
        <x:v>RT-B-A-E1</x:v>
      </x:c>
      <x:c r="B20" s="62" t="str">
        <x:v>RT-B-A</x:v>
      </x:c>
      <x:c r="C20" s="62" t="str">
        <x:v>RT-B</x:v>
      </x:c>
      <x:c r="D20" s="62" t="str">
        <x:v>Remove one complete mesh and corrupt ancestry in another node.</x:v>
      </x:c>
      <x:c r="E20" s="62" t="str">
        <x:v>Freeze the configuration, denominator, receiver, environment and lawful access boundary before intervention.</x:v>
      </x:c>
      <x:c r="F20" s="62" t="str">
        <x:v>Apply the named loss once at the root's lower-bound mission rate; do not tune after observation.</x:v>
      </x:c>
      <x:c r="G20" s="62" t="str">
        <x:v>Signed release persists despite broken ancestry, or a critical class cannot be reproduced independently.</x:v>
      </x:c>
      <x:c r="H20" s="62" t="str">
        <x:v>Sustain long enough to expose propagation, residual drift and receiver rejection; stop on a rights or safety boundary.</x:v>
      </x:c>
      <x:c r="I20" s="62" t="str">
        <x:v>Valid only with independent instrumentation, complete ancestry, declared missingness and no post hoc denominator change.</x:v>
      </x:c>
      <x:c r="J20" s="62" t="str">
        <x:v>INVALID -&gt; repeat this exact event only after the invalidity is corrected; FAIL -&gt; withdraw; PASS -&gt; test remaining domains.</x:v>
      </x:c>
    </x:row>
    <x:row r="21">
      <x:c r="A21" s="62" t="str">
        <x:v>RT-B-B-E1</x:v>
      </x:c>
      <x:c r="B21" s="62" t="str">
        <x:v>RT-B-B</x:v>
      </x:c>
      <x:c r="C21" s="62" t="str">
        <x:v>RT-B</x:v>
      </x:c>
      <x:c r="D21" s="62" t="str">
        <x:v>Contaminate the nondecisive centre and disable one petal.</x:v>
      </x:c>
      <x:c r="E21" s="62" t="str">
        <x:v>Freeze the configuration, denominator, receiver, environment and lawful access boundary before intervention.</x:v>
      </x:c>
      <x:c r="F21" s="62" t="str">
        <x:v>Apply the named loss once at the root's lower-bound mission rate; do not tune after observation.</x:v>
      </x:c>
      <x:c r="G21" s="62" t="str">
        <x:v>Any surviving petal needs centre utility, metrology or process state.</x:v>
      </x:c>
      <x:c r="H21" s="62" t="str">
        <x:v>Sustain long enough to expose propagation, residual drift and receiver rejection; stop on a rights or safety boundary.</x:v>
      </x:c>
      <x:c r="I21" s="62" t="str">
        <x:v>Valid only with independent instrumentation, complete ancestry, declared missingness and no post hoc denominator change.</x:v>
      </x:c>
      <x:c r="J21" s="62" t="str">
        <x:v>INVALID -&gt; repeat this exact event only after the invalidity is corrected; FAIL -&gt; withdraw; PASS -&gt; test remaining domains.</x:v>
      </x:c>
    </x:row>
    <x:row r="22">
      <x:c r="A22" s="64" t="str">
        <x:v>RT-B-C-E1</x:v>
      </x:c>
      <x:c r="B22" s="64" t="str">
        <x:v>RT-B-C</x:v>
      </x:c>
      <x:c r="C22" s="64" t="str">
        <x:v>RT-B</x:v>
      </x:c>
      <x:c r="D22" s="64" t="str">
        <x:v>Isolate one trainlet, deny vendor keys and network, and remove its largest energy cell.</x:v>
      </x:c>
      <x:c r="E22" s="64" t="str">
        <x:v>Freeze the configuration, denominator, receiver, environment and lawful access boundary before intervention.</x:v>
      </x:c>
      <x:c r="F22" s="64" t="str">
        <x:v>Apply the named loss once at the root's lower-bound mission rate; do not tune after observation.</x:v>
      </x:c>
      <x:c r="G22" s="64" t="str">
        <x:v>The trainlet cannot reproduce a critical class and requalify within 168 h.</x:v>
      </x:c>
      <x:c r="H22" s="64" t="str">
        <x:v>Sustain long enough to expose propagation, residual drift and receiver rejection; stop on a rights or safety boundary.</x:v>
      </x:c>
      <x:c r="I22" s="64" t="str">
        <x:v>Valid only with independent instrumentation, complete ancestry, declared missingness and no post hoc denominator change.</x:v>
      </x:c>
      <x:c r="J22" s="64" t="str">
        <x:v>INVALID -&gt; repeat this exact event only after the invalidity is corrected; FAIL -&gt; withdraw; PASS -&gt; test remaining domains.</x:v>
      </x:c>
    </x:row>
  </x:sheetData>
  <x:mergeCells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0" hidden="0" customWidth="1"/>
    <x:col min="4" max="4" width="52" hidden="0" customWidth="1"/>
    <x:col min="5" max="5" width="20" hidden="0" customWidth="1"/>
    <x:col min="6" max="6" width="18" hidden="0" customWidth="1"/>
    <x:col min="7" max="7" width="13" hidden="0" customWidth="1"/>
    <x:col min="8" max="8" width="16" hidden="0" customWidth="1"/>
    <x:col min="9" max="9" width="20" hidden="0" customWidth="1"/>
    <x:col min="10" max="10" width="20" hidden="0" customWidth="1"/>
    <x:col min="11" max="11" width="62" hidden="0" customWidth="1"/>
    <x:col min="12" max="12" width="24" hidden="0" customWidth="1"/>
  </x:cols>
  <x:sheetData>
    <x:row r="2">
      <x:c r="A2" s="56" t="str">
        <x:v>Fifty-four invention campaigns tied to destructive events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</x:row>
    <x:row r="4" ht="32" customHeight="1">
      <x:c r="A4" s="14" t="str">
        <x:v>Campaign</x:v>
      </x:c>
      <x:c r="B4" s="15" t="str">
        <x:v>Form</x:v>
      </x:c>
      <x:c r="C4" s="15" t="str">
        <x:v>Root</x:v>
      </x:c>
      <x:c r="D4" s="15" t="str">
        <x:v>Required advance</x:v>
      </x:c>
      <x:c r="E4" s="15" t="str">
        <x:v>Event packet</x:v>
      </x:c>
      <x:c r="F4" s="15" t="str">
        <x:v>Observed result</x:v>
      </x:c>
      <x:c r="G4" s="15" t="str">
        <x:v>Accepted</x:v>
      </x:c>
      <x:c r="H4" s="15" t="str">
        <x:v>Campaign state</x:v>
      </x:c>
      <x:c r="I4" s="15" t="str">
        <x:v>Campaigns per form</x:v>
      </x:c>
      <x:c r="J4" s="15" t="str">
        <x:v>Record occurrences</x:v>
      </x:c>
      <x:c r="K4" s="15" t="str">
        <x:v>Conversion limit</x:v>
      </x:c>
      <x:c r="L4" s="16" t="str">
        <x:v>Authority</x:v>
      </x:c>
    </x:row>
    <x:row r="5">
      <x:c r="A5" s="59" t="str">
        <x:v>C001</x:v>
      </x:c>
      <x:c r="B5" s="59" t="str">
        <x:v>ET-A-A</x:v>
      </x:c>
      <x:c r="C5" s="59" t="str">
        <x:v>ET-A</x:v>
      </x:c>
      <x:c r="D5" s="59" t="str">
        <x:v>active six-axis transfer saddle</x:v>
      </x:c>
      <x:c r="E5" s="59" t="str">
        <x:v>ET-A-A-E1</x:v>
      </x:c>
      <x:c r="F5" s="59" t="str">
        <x:v>UNTRIED</x:v>
      </x:c>
      <x:c r="G5" s="60" t="n">
        <x:v>0</x:v>
      </x:c>
      <x:c r="H5" s="59" t="str">
        <x:f>IF(G5=0,"UNTRIED",IF(F5="PASS","PASS",IF(F5="FAIL","FAIL","HOLD")))</x:f>
        <x:v>UNTRIED</x:v>
      </x:c>
      <x:c r="I5" s="59" t="n">
        <x:f>COUNTIF($B$5:$B$58,B5)</x:f>
        <x:v>3</x:v>
      </x:c>
      <x:c r="J5" s="59" t="n">
        <x:f>COUNTIF($A$5:$A$58,A5)</x:f>
        <x:v>1</x:v>
      </x:c>
      <x:c r="K5" s="59" t="str">
        <x:v>A campaign result cannot substitute for six-domain form evidence.</x:v>
      </x:c>
      <x:c r="L5" s="59" t="str">
        <x:v>OPEN / UNPROVEN</x:v>
      </x:c>
    </x:row>
    <x:row r="6">
      <x:c r="A6" s="62" t="str">
        <x:v>C002</x:v>
      </x:c>
      <x:c r="B6" s="62" t="str">
        <x:v>ET-A-A</x:v>
      </x:c>
      <x:c r="C6" s="62" t="str">
        <x:v>ET-A</x:v>
      </x:c>
      <x:c r="D6" s="62" t="str">
        <x:v>self-forming amphibious shore bridge</x:v>
      </x:c>
      <x:c r="E6" s="62" t="str">
        <x:v>ET-A-A-E1</x:v>
      </x:c>
      <x:c r="F6" s="62" t="str">
        <x:v>UNTRIED</x:v>
      </x:c>
      <x:c r="G6" s="63" t="n">
        <x:v>0</x:v>
      </x:c>
      <x:c r="H6" s="62" t="str">
        <x:f>IF(G6=0,"UNTRIED",IF(F6="PASS","PASS",IF(F6="FAIL","FAIL","HOLD")))</x:f>
        <x:v>UNTRIED</x:v>
      </x:c>
      <x:c r="I6" s="62" t="n">
        <x:f>COUNTIF($B$5:$B$58,B6)</x:f>
        <x:v>3</x:v>
      </x:c>
      <x:c r="J6" s="62" t="n">
        <x:f>COUNTIF($A$5:$A$58,A6)</x:f>
        <x:v>1</x:v>
      </x:c>
      <x:c r="K6" s="62" t="str">
        <x:v>A campaign result cannot substitute for six-domain form evidence.</x:v>
      </x:c>
      <x:c r="L6" s="62" t="str">
        <x:v>OPEN / UNPROVEN</x:v>
      </x:c>
    </x:row>
    <x:row r="7">
      <x:c r="A7" s="62" t="str">
        <x:v>C003</x:v>
      </x:c>
      <x:c r="B7" s="62" t="str">
        <x:v>ET-A-A</x:v>
      </x:c>
      <x:c r="C7" s="62" t="str">
        <x:v>ET-A</x:v>
      </x:c>
      <x:c r="D7" s="62" t="str">
        <x:v>distributed custody metrology</x:v>
      </x:c>
      <x:c r="E7" s="62" t="str">
        <x:v>ET-A-A-E1</x:v>
      </x:c>
      <x:c r="F7" s="62" t="str">
        <x:v>UNTRIED</x:v>
      </x:c>
      <x:c r="G7" s="63" t="n">
        <x:v>0</x:v>
      </x:c>
      <x:c r="H7" s="62" t="str">
        <x:f>IF(G7=0,"UNTRIED",IF(F7="PASS","PASS",IF(F7="FAIL","FAIL","HOLD")))</x:f>
        <x:v>UNTRIED</x:v>
      </x:c>
      <x:c r="I7" s="62" t="n">
        <x:f>COUNTIF($B$5:$B$58,B7)</x:f>
        <x:v>3</x:v>
      </x:c>
      <x:c r="J7" s="62" t="n">
        <x:f>COUNTIF($A$5:$A$58,A7)</x:f>
        <x:v>1</x:v>
      </x:c>
      <x:c r="K7" s="62" t="str">
        <x:v>A campaign result cannot substitute for six-domain form evidence.</x:v>
      </x:c>
      <x:c r="L7" s="62" t="str">
        <x:v>OPEN / UNPROVEN</x:v>
      </x:c>
    </x:row>
    <x:row r="8">
      <x:c r="A8" s="62" t="str">
        <x:v>C004</x:v>
      </x:c>
      <x:c r="B8" s="62" t="str">
        <x:v>ET-A-B</x:v>
      </x:c>
      <x:c r="C8" s="62" t="str">
        <x:v>ET-A</x:v>
      </x:c>
      <x:c r="D8" s="62" t="str">
        <x:v>load-sharing articulation joints</x:v>
      </x:c>
      <x:c r="E8" s="62" t="str">
        <x:v>ET-A-B-E1</x:v>
      </x:c>
      <x:c r="F8" s="62" t="str">
        <x:v>UNTRIED</x:v>
      </x:c>
      <x:c r="G8" s="63" t="n">
        <x:v>0</x:v>
      </x:c>
      <x:c r="H8" s="62" t="str">
        <x:f>IF(G8=0,"UNTRIED",IF(F8="PASS","PASS",IF(F8="FAIL","FAIL","HOLD")))</x:f>
        <x:v>UNTRIED</x:v>
      </x:c>
      <x:c r="I8" s="62" t="n">
        <x:f>COUNTIF($B$5:$B$58,B8)</x:f>
        <x:v>3</x:v>
      </x:c>
      <x:c r="J8" s="62" t="n">
        <x:f>COUNTIF($A$5:$A$58,A8)</x:f>
        <x:v>1</x:v>
      </x:c>
      <x:c r="K8" s="62" t="str">
        <x:v>A campaign result cannot substitute for six-domain form evidence.</x:v>
      </x:c>
      <x:c r="L8" s="62" t="str">
        <x:v>OPEN / UNPROVEN</x:v>
      </x:c>
    </x:row>
    <x:row r="9">
      <x:c r="A9" s="62" t="str">
        <x:v>C005</x:v>
      </x:c>
      <x:c r="B9" s="62" t="str">
        <x:v>ET-A-B</x:v>
      </x:c>
      <x:c r="C9" s="62" t="str">
        <x:v>ET-A</x:v>
      </x:c>
      <x:c r="D9" s="62" t="str">
        <x:v>cell-local surge buffer</x:v>
      </x:c>
      <x:c r="E9" s="62" t="str">
        <x:v>ET-A-B-E1</x:v>
      </x:c>
      <x:c r="F9" s="62" t="str">
        <x:v>UNTRIED</x:v>
      </x:c>
      <x:c r="G9" s="63" t="n">
        <x:v>0</x:v>
      </x:c>
      <x:c r="H9" s="62" t="str">
        <x:f>IF(G9=0,"UNTRIED",IF(F9="PASS","PASS",IF(F9="FAIL","FAIL","HOLD")))</x:f>
        <x:v>UNTRIED</x:v>
      </x:c>
      <x:c r="I9" s="62" t="n">
        <x:f>COUNTIF($B$5:$B$58,B9)</x:f>
        <x:v>3</x:v>
      </x:c>
      <x:c r="J9" s="62" t="n">
        <x:f>COUNTIF($A$5:$A$58,A9)</x:f>
        <x:v>1</x:v>
      </x:c>
      <x:c r="K9" s="62" t="str">
        <x:v>A campaign result cannot substitute for six-domain form evidence.</x:v>
      </x:c>
      <x:c r="L9" s="62" t="str">
        <x:v>OPEN / UNPROVEN</x:v>
      </x:c>
    </x:row>
    <x:row r="10">
      <x:c r="A10" s="62" t="str">
        <x:v>C006</x:v>
      </x:c>
      <x:c r="B10" s="62" t="str">
        <x:v>ET-A-B</x:v>
      </x:c>
      <x:c r="C10" s="62" t="str">
        <x:v>ET-A</x:v>
      </x:c>
      <x:c r="D10" s="62" t="str">
        <x:v>autonomous chain reconfiguration</x:v>
      </x:c>
      <x:c r="E10" s="62" t="str">
        <x:v>ET-A-B-E1</x:v>
      </x:c>
      <x:c r="F10" s="62" t="str">
        <x:v>UNTRIED</x:v>
      </x:c>
      <x:c r="G10" s="63" t="n">
        <x:v>0</x:v>
      </x:c>
      <x:c r="H10" s="62" t="str">
        <x:f>IF(G10=0,"UNTRIED",IF(F10="PASS","PASS",IF(F10="FAIL","FAIL","HOLD")))</x:f>
        <x:v>UNTRIED</x:v>
      </x:c>
      <x:c r="I10" s="62" t="n">
        <x:f>COUNTIF($B$5:$B$58,B10)</x:f>
        <x:v>3</x:v>
      </x:c>
      <x:c r="J10" s="62" t="n">
        <x:f>COUNTIF($A$5:$A$58,A10)</x:f>
        <x:v>1</x:v>
      </x:c>
      <x:c r="K10" s="62" t="str">
        <x:v>A campaign result cannot substitute for six-domain form evidence.</x:v>
      </x:c>
      <x:c r="L10" s="62" t="str">
        <x:v>OPEN / UNPROVEN</x:v>
      </x:c>
    </x:row>
    <x:row r="11">
      <x:c r="A11" s="62" t="str">
        <x:v>C007</x:v>
      </x:c>
      <x:c r="B11" s="62" t="str">
        <x:v>ET-A-C</x:v>
      </x:c>
      <x:c r="C11" s="62" t="str">
        <x:v>ET-A</x:v>
      </x:c>
      <x:c r="D11" s="62" t="str">
        <x:v>reconfigurable semi-submersible cells</x:v>
      </x:c>
      <x:c r="E11" s="62" t="str">
        <x:v>ET-A-C-E1</x:v>
      </x:c>
      <x:c r="F11" s="62" t="str">
        <x:v>UNTRIED</x:v>
      </x:c>
      <x:c r="G11" s="63" t="n">
        <x:v>0</x:v>
      </x:c>
      <x:c r="H11" s="62" t="str">
        <x:f>IF(G11=0,"UNTRIED",IF(F11="PASS","PASS",IF(F11="FAIL","FAIL","HOLD")))</x:f>
        <x:v>UNTRIED</x:v>
      </x:c>
      <x:c r="I11" s="62" t="n">
        <x:f>COUNTIF($B$5:$B$58,B11)</x:f>
        <x:v>3</x:v>
      </x:c>
      <x:c r="J11" s="62" t="n">
        <x:f>COUNTIF($A$5:$A$58,A11)</x:f>
        <x:v>1</x:v>
      </x:c>
      <x:c r="K11" s="62" t="str">
        <x:v>A campaign result cannot substitute for six-domain form evidence.</x:v>
      </x:c>
      <x:c r="L11" s="62" t="str">
        <x:v>OPEN / UNPROVEN</x:v>
      </x:c>
    </x:row>
    <x:row r="12">
      <x:c r="A12" s="62" t="str">
        <x:v>C008</x:v>
      </x:c>
      <x:c r="B12" s="62" t="str">
        <x:v>ET-A-C</x:v>
      </x:c>
      <x:c r="C12" s="62" t="str">
        <x:v>ET-A</x:v>
      </x:c>
      <x:c r="D12" s="62" t="str">
        <x:v>distributed custody routing</x:v>
      </x:c>
      <x:c r="E12" s="62" t="str">
        <x:v>ET-A-C-E1</x:v>
      </x:c>
      <x:c r="F12" s="62" t="str">
        <x:v>UNTRIED</x:v>
      </x:c>
      <x:c r="G12" s="63" t="n">
        <x:v>0</x:v>
      </x:c>
      <x:c r="H12" s="62" t="str">
        <x:f>IF(G12=0,"UNTRIED",IF(F12="PASS","PASS",IF(F12="FAIL","FAIL","HOLD")))</x:f>
        <x:v>UNTRIED</x:v>
      </x:c>
      <x:c r="I12" s="62" t="n">
        <x:f>COUNTIF($B$5:$B$58,B12)</x:f>
        <x:v>3</x:v>
      </x:c>
      <x:c r="J12" s="62" t="n">
        <x:f>COUNTIF($A$5:$A$58,A12)</x:f>
        <x:v>1</x:v>
      </x:c>
      <x:c r="K12" s="62" t="str">
        <x:v>A campaign result cannot substitute for six-domain form evidence.</x:v>
      </x:c>
      <x:c r="L12" s="62" t="str">
        <x:v>OPEN / UNPROVEN</x:v>
      </x:c>
    </x:row>
    <x:row r="13">
      <x:c r="A13" s="62" t="str">
        <x:v>C009</x:v>
      </x:c>
      <x:c r="B13" s="62" t="str">
        <x:v>ET-A-C</x:v>
      </x:c>
      <x:c r="C13" s="62" t="str">
        <x:v>ET-A</x:v>
      </x:c>
      <x:c r="D13" s="62" t="str">
        <x:v>independent stationkeeping</x:v>
      </x:c>
      <x:c r="E13" s="62" t="str">
        <x:v>ET-A-C-E1</x:v>
      </x:c>
      <x:c r="F13" s="62" t="str">
        <x:v>UNTRIED</x:v>
      </x:c>
      <x:c r="G13" s="63" t="n">
        <x:v>0</x:v>
      </x:c>
      <x:c r="H13" s="62" t="str">
        <x:f>IF(G13=0,"UNTRIED",IF(F13="PASS","PASS",IF(F13="FAIL","FAIL","HOLD")))</x:f>
        <x:v>UNTRIED</x:v>
      </x:c>
      <x:c r="I13" s="62" t="n">
        <x:f>COUNTIF($B$5:$B$58,B13)</x:f>
        <x:v>3</x:v>
      </x:c>
      <x:c r="J13" s="62" t="n">
        <x:f>COUNTIF($A$5:$A$58,A13)</x:f>
        <x:v>1</x:v>
      </x:c>
      <x:c r="K13" s="62" t="str">
        <x:v>A campaign result cannot substitute for six-domain form evidence.</x:v>
      </x:c>
      <x:c r="L13" s="62" t="str">
        <x:v>OPEN / UNPROVEN</x:v>
      </x:c>
    </x:row>
    <x:row r="14">
      <x:c r="A14" s="62" t="str">
        <x:v>C010</x:v>
      </x:c>
      <x:c r="B14" s="62" t="str">
        <x:v>CT-C-A</x:v>
      </x:c>
      <x:c r="C14" s="62" t="str">
        <x:v>CT-C</x:v>
      </x:c>
      <x:c r="D14" s="62" t="str">
        <x:v>robotic proof-loaded anchors</x:v>
      </x:c>
      <x:c r="E14" s="62" t="str">
        <x:v>CT-C-A-E1</x:v>
      </x:c>
      <x:c r="F14" s="62" t="str">
        <x:v>UNTRIED</x:v>
      </x:c>
      <x:c r="G14" s="63" t="n">
        <x:v>0</x:v>
      </x:c>
      <x:c r="H14" s="62" t="str">
        <x:f>IF(G14=0,"UNTRIED",IF(F14="PASS","PASS",IF(F14="FAIL","FAIL","HOLD")))</x:f>
        <x:v>UNTRIED</x:v>
      </x:c>
      <x:c r="I14" s="62" t="n">
        <x:f>COUNTIF($B$5:$B$58,B14)</x:f>
        <x:v>3</x:v>
      </x:c>
      <x:c r="J14" s="62" t="n">
        <x:f>COUNTIF($A$5:$A$58,A14)</x:f>
        <x:v>1</x:v>
      </x:c>
      <x:c r="K14" s="62" t="str">
        <x:v>A campaign result cannot substitute for six-domain form evidence.</x:v>
      </x:c>
      <x:c r="L14" s="62" t="str">
        <x:v>OPEN / UNPROVEN</x:v>
      </x:c>
    </x:row>
    <x:row r="15">
      <x:c r="A15" s="62" t="str">
        <x:v>C011</x:v>
      </x:c>
      <x:c r="B15" s="62" t="str">
        <x:v>CT-C-A</x:v>
      </x:c>
      <x:c r="C15" s="62" t="str">
        <x:v>CT-C</x:v>
      </x:c>
      <x:c r="D15" s="62" t="str">
        <x:v>fault-contained telescoping joints</x:v>
      </x:c>
      <x:c r="E15" s="62" t="str">
        <x:v>CT-C-A-E1</x:v>
      </x:c>
      <x:c r="F15" s="62" t="str">
        <x:v>UNTRIED</x:v>
      </x:c>
      <x:c r="G15" s="63" t="n">
        <x:v>0</x:v>
      </x:c>
      <x:c r="H15" s="62" t="str">
        <x:f>IF(G15=0,"UNTRIED",IF(F15="PASS","PASS",IF(F15="FAIL","FAIL","HOLD")))</x:f>
        <x:v>UNTRIED</x:v>
      </x:c>
      <x:c r="I15" s="62" t="n">
        <x:f>COUNTIF($B$5:$B$58,B15)</x:f>
        <x:v>3</x:v>
      </x:c>
      <x:c r="J15" s="62" t="n">
        <x:f>COUNTIF($A$5:$A$58,A15)</x:f>
        <x:v>1</x:v>
      </x:c>
      <x:c r="K15" s="62" t="str">
        <x:v>A campaign result cannot substitute for six-domain form evidence.</x:v>
      </x:c>
      <x:c r="L15" s="62" t="str">
        <x:v>OPEN / UNPROVEN</x:v>
      </x:c>
    </x:row>
    <x:row r="16">
      <x:c r="A16" s="62" t="str">
        <x:v>C012</x:v>
      </x:c>
      <x:c r="B16" s="62" t="str">
        <x:v>CT-C-A</x:v>
      </x:c>
      <x:c r="C16" s="62" t="str">
        <x:v>CT-C</x:v>
      </x:c>
      <x:c r="D16" s="62" t="str">
        <x:v>machine-readable attachment grammar</x:v>
      </x:c>
      <x:c r="E16" s="62" t="str">
        <x:v>CT-C-A-E1</x:v>
      </x:c>
      <x:c r="F16" s="62" t="str">
        <x:v>UNTRIED</x:v>
      </x:c>
      <x:c r="G16" s="63" t="n">
        <x:v>0</x:v>
      </x:c>
      <x:c r="H16" s="62" t="str">
        <x:f>IF(G16=0,"UNTRIED",IF(F16="PASS","PASS",IF(F16="FAIL","FAIL","HOLD")))</x:f>
        <x:v>UNTRIED</x:v>
      </x:c>
      <x:c r="I16" s="62" t="n">
        <x:f>COUNTIF($B$5:$B$58,B16)</x:f>
        <x:v>3</x:v>
      </x:c>
      <x:c r="J16" s="62" t="n">
        <x:f>COUNTIF($A$5:$A$58,A16)</x:f>
        <x:v>1</x:v>
      </x:c>
      <x:c r="K16" s="62" t="str">
        <x:v>A campaign result cannot substitute for six-domain form evidence.</x:v>
      </x:c>
      <x:c r="L16" s="62" t="str">
        <x:v>OPEN / UNPROVEN</x:v>
      </x:c>
    </x:row>
    <x:row r="17">
      <x:c r="A17" s="62" t="str">
        <x:v>C013</x:v>
      </x:c>
      <x:c r="B17" s="62" t="str">
        <x:v>CT-C-B</x:v>
      </x:c>
      <x:c r="C17" s="62" t="str">
        <x:v>CT-C</x:v>
      </x:c>
      <x:c r="D17" s="62" t="str">
        <x:v>active-tension anchor zones</x:v>
      </x:c>
      <x:c r="E17" s="62" t="str">
        <x:v>CT-C-B-E1</x:v>
      </x:c>
      <x:c r="F17" s="62" t="str">
        <x:v>UNTRIED</x:v>
      </x:c>
      <x:c r="G17" s="63" t="n">
        <x:v>0</x:v>
      </x:c>
      <x:c r="H17" s="62" t="str">
        <x:f>IF(G17=0,"UNTRIED",IF(F17="PASS","PASS",IF(F17="FAIL","FAIL","HOLD")))</x:f>
        <x:v>UNTRIED</x:v>
      </x:c>
      <x:c r="I17" s="62" t="n">
        <x:f>COUNTIF($B$5:$B$58,B17)</x:f>
        <x:v>3</x:v>
      </x:c>
      <x:c r="J17" s="62" t="n">
        <x:f>COUNTIF($A$5:$A$58,A17)</x:f>
        <x:v>1</x:v>
      </x:c>
      <x:c r="K17" s="62" t="str">
        <x:v>A campaign result cannot substitute for six-domain form evidence.</x:v>
      </x:c>
      <x:c r="L17" s="62" t="str">
        <x:v>OPEN / UNPROVEN</x:v>
      </x:c>
    </x:row>
    <x:row r="18">
      <x:c r="A18" s="62" t="str">
        <x:v>C014</x:v>
      </x:c>
      <x:c r="B18" s="62" t="str">
        <x:v>CT-C-B</x:v>
      </x:c>
      <x:c r="C18" s="62" t="str">
        <x:v>CT-C</x:v>
      </x:c>
      <x:c r="D18" s="62" t="str">
        <x:v>mixed-utility guillotines</x:v>
      </x:c>
      <x:c r="E18" s="62" t="str">
        <x:v>CT-C-B-E1</x:v>
      </x:c>
      <x:c r="F18" s="62" t="str">
        <x:v>UNTRIED</x:v>
      </x:c>
      <x:c r="G18" s="63" t="n">
        <x:v>0</x:v>
      </x:c>
      <x:c r="H18" s="62" t="str">
        <x:f>IF(G18=0,"UNTRIED",IF(F18="PASS","PASS",IF(F18="FAIL","FAIL","HOLD")))</x:f>
        <x:v>UNTRIED</x:v>
      </x:c>
      <x:c r="I18" s="62" t="n">
        <x:f>COUNTIF($B$5:$B$58,B18)</x:f>
        <x:v>3</x:v>
      </x:c>
      <x:c r="J18" s="62" t="n">
        <x:f>COUNTIF($A$5:$A$58,A18)</x:f>
        <x:v>1</x:v>
      </x:c>
      <x:c r="K18" s="62" t="str">
        <x:v>A campaign result cannot substitute for six-domain form evidence.</x:v>
      </x:c>
      <x:c r="L18" s="62" t="str">
        <x:v>OPEN / UNPROVEN</x:v>
      </x:c>
    </x:row>
    <x:row r="19">
      <x:c r="A19" s="62" t="str">
        <x:v>C015</x:v>
      </x:c>
      <x:c r="B19" s="62" t="str">
        <x:v>CT-C-B</x:v>
      </x:c>
      <x:c r="C19" s="62" t="str">
        <x:v>CT-C</x:v>
      </x:c>
      <x:c r="D19" s="62" t="str">
        <x:v>contamination-aware climbing robotics</x:v>
      </x:c>
      <x:c r="E19" s="62" t="str">
        <x:v>CT-C-B-E1</x:v>
      </x:c>
      <x:c r="F19" s="62" t="str">
        <x:v>UNTRIED</x:v>
      </x:c>
      <x:c r="G19" s="63" t="n">
        <x:v>0</x:v>
      </x:c>
      <x:c r="H19" s="62" t="str">
        <x:f>IF(G19=0,"UNTRIED",IF(F19="PASS","PASS",IF(F19="FAIL","FAIL","HOLD")))</x:f>
        <x:v>UNTRIED</x:v>
      </x:c>
      <x:c r="I19" s="62" t="n">
        <x:f>COUNTIF($B$5:$B$58,B19)</x:f>
        <x:v>3</x:v>
      </x:c>
      <x:c r="J19" s="62" t="n">
        <x:f>COUNTIF($A$5:$A$58,A19)</x:f>
        <x:v>1</x:v>
      </x:c>
      <x:c r="K19" s="62" t="str">
        <x:v>A campaign result cannot substitute for six-domain form evidence.</x:v>
      </x:c>
      <x:c r="L19" s="62" t="str">
        <x:v>OPEN / UNPROVEN</x:v>
      </x:c>
    </x:row>
    <x:row r="20">
      <x:c r="A20" s="62" t="str">
        <x:v>C016</x:v>
      </x:c>
      <x:c r="B20" s="62" t="str">
        <x:v>CT-C-C</x:v>
      </x:c>
      <x:c r="C20" s="62" t="str">
        <x:v>CT-C</x:v>
      </x:c>
      <x:c r="D20" s="62" t="str">
        <x:v>rapid microfoundations</x:v>
      </x:c>
      <x:c r="E20" s="62" t="str">
        <x:v>CT-C-C-E1</x:v>
      </x:c>
      <x:c r="F20" s="62" t="str">
        <x:v>UNTRIED</x:v>
      </x:c>
      <x:c r="G20" s="63" t="n">
        <x:v>0</x:v>
      </x:c>
      <x:c r="H20" s="62" t="str">
        <x:f>IF(G20=0,"UNTRIED",IF(F20="PASS","PASS",IF(F20="FAIL","FAIL","HOLD")))</x:f>
        <x:v>UNTRIED</x:v>
      </x:c>
      <x:c r="I20" s="62" t="n">
        <x:f>COUNTIF($B$5:$B$58,B20)</x:f>
        <x:v>3</x:v>
      </x:c>
      <x:c r="J20" s="62" t="n">
        <x:f>COUNTIF($A$5:$A$58,A20)</x:f>
        <x:v>1</x:v>
      </x:c>
      <x:c r="K20" s="62" t="str">
        <x:v>A campaign result cannot substitute for six-domain form evidence.</x:v>
      </x:c>
      <x:c r="L20" s="62" t="str">
        <x:v>OPEN / UNPROVEN</x:v>
      </x:c>
    </x:row>
    <x:row r="21">
      <x:c r="A21" s="62" t="str">
        <x:v>C017</x:v>
      </x:c>
      <x:c r="B21" s="62" t="str">
        <x:v>CT-C-C</x:v>
      </x:c>
      <x:c r="C21" s="62" t="str">
        <x:v>CT-C</x:v>
      </x:c>
      <x:c r="D21" s="62" t="str">
        <x:v>self-leveling utility bridges</x:v>
      </x:c>
      <x:c r="E21" s="62" t="str">
        <x:v>CT-C-C-E1</x:v>
      </x:c>
      <x:c r="F21" s="62" t="str">
        <x:v>UNTRIED</x:v>
      </x:c>
      <x:c r="G21" s="63" t="n">
        <x:v>0</x:v>
      </x:c>
      <x:c r="H21" s="62" t="str">
        <x:f>IF(G21=0,"UNTRIED",IF(F21="PASS","PASS",IF(F21="FAIL","FAIL","HOLD")))</x:f>
        <x:v>UNTRIED</x:v>
      </x:c>
      <x:c r="I21" s="62" t="n">
        <x:f>COUNTIF($B$5:$B$58,B21)</x:f>
        <x:v>3</x:v>
      </x:c>
      <x:c r="J21" s="62" t="n">
        <x:f>COUNTIF($A$5:$A$58,A21)</x:f>
        <x:v>1</x:v>
      </x:c>
      <x:c r="K21" s="62" t="str">
        <x:v>A campaign result cannot substitute for six-domain form evidence.</x:v>
      </x:c>
      <x:c r="L21" s="62" t="str">
        <x:v>OPEN / UNPROVEN</x:v>
      </x:c>
    </x:row>
    <x:row r="22">
      <x:c r="A22" s="62" t="str">
        <x:v>C018</x:v>
      </x:c>
      <x:c r="B22" s="62" t="str">
        <x:v>CT-C-C</x:v>
      </x:c>
      <x:c r="C22" s="62" t="str">
        <x:v>CT-C</x:v>
      </x:c>
      <x:c r="D22" s="62" t="str">
        <x:v>offline household release ledger</x:v>
      </x:c>
      <x:c r="E22" s="62" t="str">
        <x:v>CT-C-C-E1</x:v>
      </x:c>
      <x:c r="F22" s="62" t="str">
        <x:v>UNTRIED</x:v>
      </x:c>
      <x:c r="G22" s="63" t="n">
        <x:v>0</x:v>
      </x:c>
      <x:c r="H22" s="62" t="str">
        <x:f>IF(G22=0,"UNTRIED",IF(F22="PASS","PASS",IF(F22="FAIL","FAIL","HOLD")))</x:f>
        <x:v>UNTRIED</x:v>
      </x:c>
      <x:c r="I22" s="62" t="n">
        <x:f>COUNTIF($B$5:$B$58,B22)</x:f>
        <x:v>3</x:v>
      </x:c>
      <x:c r="J22" s="62" t="n">
        <x:f>COUNTIF($A$5:$A$58,A22)</x:f>
        <x:v>1</x:v>
      </x:c>
      <x:c r="K22" s="62" t="str">
        <x:v>A campaign result cannot substitute for six-domain form evidence.</x:v>
      </x:c>
      <x:c r="L22" s="62" t="str">
        <x:v>OPEN / UNPROVEN</x:v>
      </x:c>
    </x:row>
    <x:row r="23">
      <x:c r="A23" s="62" t="str">
        <x:v>C019</x:v>
      </x:c>
      <x:c r="B23" s="62" t="str">
        <x:v>HC-A-A</x:v>
      </x:c>
      <x:c r="C23" s="62" t="str">
        <x:v>HC-A</x:v>
      </x:c>
      <x:c r="D23" s="62" t="str">
        <x:v>aero-thermal endurance cell</x:v>
      </x:c>
      <x:c r="E23" s="62" t="str">
        <x:v>HC-A-A-E1</x:v>
      </x:c>
      <x:c r="F23" s="62" t="str">
        <x:v>UNTRIED</x:v>
      </x:c>
      <x:c r="G23" s="63" t="n">
        <x:v>0</x:v>
      </x:c>
      <x:c r="H23" s="62" t="str">
        <x:f>IF(G23=0,"UNTRIED",IF(F23="PASS","PASS",IF(F23="FAIL","FAIL","HOLD")))</x:f>
        <x:v>UNTRIED</x:v>
      </x:c>
      <x:c r="I23" s="62" t="n">
        <x:f>COUNTIF($B$5:$B$58,B23)</x:f>
        <x:v>3</x:v>
      </x:c>
      <x:c r="J23" s="62" t="n">
        <x:f>COUNTIF($A$5:$A$58,A23)</x:f>
        <x:v>1</x:v>
      </x:c>
      <x:c r="K23" s="62" t="str">
        <x:v>A campaign result cannot substitute for six-domain form evidence.</x:v>
      </x:c>
      <x:c r="L23" s="62" t="str">
        <x:v>OPEN / UNPROVEN</x:v>
      </x:c>
    </x:row>
    <x:row r="24">
      <x:c r="A24" s="62" t="str">
        <x:v>C020</x:v>
      </x:c>
      <x:c r="B24" s="62" t="str">
        <x:v>HC-A-A</x:v>
      </x:c>
      <x:c r="C24" s="62" t="str">
        <x:v>HC-A</x:v>
      </x:c>
      <x:c r="D24" s="62" t="str">
        <x:v>closed-loop deposition shaping</x:v>
      </x:c>
      <x:c r="E24" s="62" t="str">
        <x:v>HC-A-A-E1</x:v>
      </x:c>
      <x:c r="F24" s="62" t="str">
        <x:v>UNTRIED</x:v>
      </x:c>
      <x:c r="G24" s="63" t="n">
        <x:v>0</x:v>
      </x:c>
      <x:c r="H24" s="62" t="str">
        <x:f>IF(G24=0,"UNTRIED",IF(F24="PASS","PASS",IF(F24="FAIL","FAIL","HOLD")))</x:f>
        <x:v>UNTRIED</x:v>
      </x:c>
      <x:c r="I24" s="62" t="n">
        <x:f>COUNTIF($B$5:$B$58,B24)</x:f>
        <x:v>3</x:v>
      </x:c>
      <x:c r="J24" s="62" t="n">
        <x:f>COUNTIF($A$5:$A$58,A24)</x:f>
        <x:v>1</x:v>
      </x:c>
      <x:c r="K24" s="62" t="str">
        <x:v>A campaign result cannot substitute for six-domain form evidence.</x:v>
      </x:c>
      <x:c r="L24" s="62" t="str">
        <x:v>OPEN / UNPROVEN</x:v>
      </x:c>
    </x:row>
    <x:row r="25">
      <x:c r="A25" s="62" t="str">
        <x:v>C021</x:v>
      </x:c>
      <x:c r="B25" s="62" t="str">
        <x:v>HC-A-A</x:v>
      </x:c>
      <x:c r="C25" s="62" t="str">
        <x:v>HC-A</x:v>
      </x:c>
      <x:c r="D25" s="62" t="str">
        <x:v>field-rebuildable flight structure</x:v>
      </x:c>
      <x:c r="E25" s="62" t="str">
        <x:v>HC-A-A-E1</x:v>
      </x:c>
      <x:c r="F25" s="62" t="str">
        <x:v>UNTRIED</x:v>
      </x:c>
      <x:c r="G25" s="63" t="n">
        <x:v>0</x:v>
      </x:c>
      <x:c r="H25" s="62" t="str">
        <x:f>IF(G25=0,"UNTRIED",IF(F25="PASS","PASS",IF(F25="FAIL","FAIL","HOLD")))</x:f>
        <x:v>UNTRIED</x:v>
      </x:c>
      <x:c r="I25" s="62" t="n">
        <x:f>COUNTIF($B$5:$B$58,B25)</x:f>
        <x:v>3</x:v>
      </x:c>
      <x:c r="J25" s="62" t="n">
        <x:f>COUNTIF($A$5:$A$58,A25)</x:f>
        <x:v>1</x:v>
      </x:c>
      <x:c r="K25" s="62" t="str">
        <x:v>A campaign result cannot substitute for six-domain form evidence.</x:v>
      </x:c>
      <x:c r="L25" s="62" t="str">
        <x:v>OPEN / UNPROVEN</x:v>
      </x:c>
    </x:row>
    <x:row r="26">
      <x:c r="A26" s="62" t="str">
        <x:v>C022</x:v>
      </x:c>
      <x:c r="B26" s="62" t="str">
        <x:v>HC-A-B</x:v>
      </x:c>
      <x:c r="C26" s="62" t="str">
        <x:v>HC-A</x:v>
      </x:c>
      <x:c r="D26" s="62" t="str">
        <x:v>self-compartmenting lift envelope</x:v>
      </x:c>
      <x:c r="E26" s="62" t="str">
        <x:v>HC-A-B-E1</x:v>
      </x:c>
      <x:c r="F26" s="62" t="str">
        <x:v>UNTRIED</x:v>
      </x:c>
      <x:c r="G26" s="63" t="n">
        <x:v>0</x:v>
      </x:c>
      <x:c r="H26" s="62" t="str">
        <x:f>IF(G26=0,"UNTRIED",IF(F26="PASS","PASS",IF(F26="FAIL","FAIL","HOLD")))</x:f>
        <x:v>UNTRIED</x:v>
      </x:c>
      <x:c r="I26" s="62" t="n">
        <x:f>COUNTIF($B$5:$B$58,B26)</x:f>
        <x:v>3</x:v>
      </x:c>
      <x:c r="J26" s="62" t="n">
        <x:f>COUNTIF($A$5:$A$58,A26)</x:f>
        <x:v>1</x:v>
      </x:c>
      <x:c r="K26" s="62" t="str">
        <x:v>A campaign result cannot substitute for six-domain form evidence.</x:v>
      </x:c>
      <x:c r="L26" s="62" t="str">
        <x:v>OPEN / UNPROVEN</x:v>
      </x:c>
    </x:row>
    <x:row r="27">
      <x:c r="A27" s="62" t="str">
        <x:v>C023</x:v>
      </x:c>
      <x:c r="B27" s="62" t="str">
        <x:v>HC-A-B</x:v>
      </x:c>
      <x:c r="C27" s="62" t="str">
        <x:v>HC-A</x:v>
      </x:c>
      <x:c r="D27" s="62" t="str">
        <x:v>isolated power-fluid-data tether</x:v>
      </x:c>
      <x:c r="E27" s="62" t="str">
        <x:v>HC-A-B-E1</x:v>
      </x:c>
      <x:c r="F27" s="62" t="str">
        <x:v>UNTRIED</x:v>
      </x:c>
      <x:c r="G27" s="63" t="n">
        <x:v>0</x:v>
      </x:c>
      <x:c r="H27" s="62" t="str">
        <x:f>IF(G27=0,"UNTRIED",IF(F27="PASS","PASS",IF(F27="FAIL","FAIL","HOLD")))</x:f>
        <x:v>UNTRIED</x:v>
      </x:c>
      <x:c r="I27" s="62" t="n">
        <x:f>COUNTIF($B$5:$B$58,B27)</x:f>
        <x:v>3</x:v>
      </x:c>
      <x:c r="J27" s="62" t="n">
        <x:f>COUNTIF($A$5:$A$58,A27)</x:f>
        <x:v>1</x:v>
      </x:c>
      <x:c r="K27" s="62" t="str">
        <x:v>A campaign result cannot substitute for six-domain form evidence.</x:v>
      </x:c>
      <x:c r="L27" s="62" t="str">
        <x:v>OPEN / UNPROVEN</x:v>
      </x:c>
    </x:row>
    <x:row r="28">
      <x:c r="A28" s="62" t="str">
        <x:v>C024</x:v>
      </x:c>
      <x:c r="B28" s="62" t="str">
        <x:v>HC-A-B</x:v>
      </x:c>
      <x:c r="C28" s="62" t="str">
        <x:v>HC-A</x:v>
      </x:c>
      <x:c r="D28" s="62" t="str">
        <x:v>predictive tether and buoyancy control</x:v>
      </x:c>
      <x:c r="E28" s="62" t="str">
        <x:v>HC-A-B-E1</x:v>
      </x:c>
      <x:c r="F28" s="62" t="str">
        <x:v>UNTRIED</x:v>
      </x:c>
      <x:c r="G28" s="63" t="n">
        <x:v>0</x:v>
      </x:c>
      <x:c r="H28" s="62" t="str">
        <x:f>IF(G28=0,"UNTRIED",IF(F28="PASS","PASS",IF(F28="FAIL","FAIL","HOLD")))</x:f>
        <x:v>UNTRIED</x:v>
      </x:c>
      <x:c r="I28" s="62" t="n">
        <x:f>COUNTIF($B$5:$B$58,B28)</x:f>
        <x:v>3</x:v>
      </x:c>
      <x:c r="J28" s="62" t="n">
        <x:f>COUNTIF($A$5:$A$58,A28)</x:f>
        <x:v>1</x:v>
      </x:c>
      <x:c r="K28" s="62" t="str">
        <x:v>A campaign result cannot substitute for six-domain form evidence.</x:v>
      </x:c>
      <x:c r="L28" s="62" t="str">
        <x:v>OPEN / UNPROVEN</x:v>
      </x:c>
    </x:row>
    <x:row r="29">
      <x:c r="A29" s="62" t="str">
        <x:v>C025</x:v>
      </x:c>
      <x:c r="B29" s="62" t="str">
        <x:v>HC-A-C</x:v>
      </x:c>
      <x:c r="C29" s="62" t="str">
        <x:v>HC-A</x:v>
      </x:c>
      <x:c r="D29" s="62" t="str">
        <x:v>cooperative heavy-lift rotors without decisive mesh</x:v>
      </x:c>
      <x:c r="E29" s="62" t="str">
        <x:v>HC-A-C-E1</x:v>
      </x:c>
      <x:c r="F29" s="62" t="str">
        <x:v>UNTRIED</x:v>
      </x:c>
      <x:c r="G29" s="63" t="n">
        <x:v>0</x:v>
      </x:c>
      <x:c r="H29" s="62" t="str">
        <x:f>IF(G29=0,"UNTRIED",IF(F29="PASS","PASS",IF(F29="FAIL","FAIL","HOLD")))</x:f>
        <x:v>UNTRIED</x:v>
      </x:c>
      <x:c r="I29" s="62" t="n">
        <x:f>COUNTIF($B$5:$B$58,B29)</x:f>
        <x:v>3</x:v>
      </x:c>
      <x:c r="J29" s="62" t="n">
        <x:f>COUNTIF($A$5:$A$58,A29)</x:f>
        <x:v>1</x:v>
      </x:c>
      <x:c r="K29" s="62" t="str">
        <x:v>A campaign result cannot substitute for six-domain form evidence.</x:v>
      </x:c>
      <x:c r="L29" s="62" t="str">
        <x:v>OPEN / UNPROVEN</x:v>
      </x:c>
    </x:row>
    <x:row r="30">
      <x:c r="A30" s="62" t="str">
        <x:v>C026</x:v>
      </x:c>
      <x:c r="B30" s="62" t="str">
        <x:v>HC-A-C</x:v>
      </x:c>
      <x:c r="C30" s="62" t="str">
        <x:v>HC-A</x:v>
      </x:c>
      <x:c r="D30" s="62" t="str">
        <x:v>robotic refill and exchange</x:v>
      </x:c>
      <x:c r="E30" s="62" t="str">
        <x:v>HC-A-C-E1</x:v>
      </x:c>
      <x:c r="F30" s="62" t="str">
        <x:v>UNTRIED</x:v>
      </x:c>
      <x:c r="G30" s="63" t="n">
        <x:v>0</x:v>
      </x:c>
      <x:c r="H30" s="62" t="str">
        <x:f>IF(G30=0,"UNTRIED",IF(F30="PASS","PASS",IF(F30="FAIL","FAIL","HOLD")))</x:f>
        <x:v>UNTRIED</x:v>
      </x:c>
      <x:c r="I30" s="62" t="n">
        <x:f>COUNTIF($B$5:$B$58,B30)</x:f>
        <x:v>3</x:v>
      </x:c>
      <x:c r="J30" s="62" t="n">
        <x:f>COUNTIF($A$5:$A$58,A30)</x:f>
        <x:v>1</x:v>
      </x:c>
      <x:c r="K30" s="62" t="str">
        <x:v>A campaign result cannot substitute for six-domain form evidence.</x:v>
      </x:c>
      <x:c r="L30" s="62" t="str">
        <x:v>OPEN / UNPROVEN</x:v>
      </x:c>
    </x:row>
    <x:row r="31">
      <x:c r="A31" s="62" t="str">
        <x:v>C027</x:v>
      </x:c>
      <x:c r="B31" s="62" t="str">
        <x:v>HC-A-C</x:v>
      </x:c>
      <x:c r="C31" s="62" t="str">
        <x:v>HC-A</x:v>
      </x:c>
      <x:c r="D31" s="62" t="str">
        <x:v>self-calibrating tomography</x:v>
      </x:c>
      <x:c r="E31" s="62" t="str">
        <x:v>HC-A-C-E1</x:v>
      </x:c>
      <x:c r="F31" s="62" t="str">
        <x:v>UNTRIED</x:v>
      </x:c>
      <x:c r="G31" s="63" t="n">
        <x:v>0</x:v>
      </x:c>
      <x:c r="H31" s="62" t="str">
        <x:f>IF(G31=0,"UNTRIED",IF(F31="PASS","PASS",IF(F31="FAIL","FAIL","HOLD")))</x:f>
        <x:v>UNTRIED</x:v>
      </x:c>
      <x:c r="I31" s="62" t="n">
        <x:f>COUNTIF($B$5:$B$58,B31)</x:f>
        <x:v>3</x:v>
      </x:c>
      <x:c r="J31" s="62" t="n">
        <x:f>COUNTIF($A$5:$A$58,A31)</x:f>
        <x:v>1</x:v>
      </x:c>
      <x:c r="K31" s="62" t="str">
        <x:v>A campaign result cannot substitute for six-domain form evidence.</x:v>
      </x:c>
      <x:c r="L31" s="62" t="str">
        <x:v>OPEN / UNPROVEN</x:v>
      </x:c>
    </x:row>
    <x:row r="32">
      <x:c r="A32" s="62" t="str">
        <x:v>C028</x:v>
      </x:c>
      <x:c r="B32" s="62" t="str">
        <x:v>LF-B-A</x:v>
      </x:c>
      <x:c r="C32" s="62" t="str">
        <x:v>LF-B</x:v>
      </x:c>
      <x:c r="D32" s="62" t="str">
        <x:v>rapid multi-bore inference</x:v>
      </x:c>
      <x:c r="E32" s="62" t="str">
        <x:v>LF-B-A-E1</x:v>
      </x:c>
      <x:c r="F32" s="62" t="str">
        <x:v>UNTRIED</x:v>
      </x:c>
      <x:c r="G32" s="63" t="n">
        <x:v>0</x:v>
      </x:c>
      <x:c r="H32" s="62" t="str">
        <x:f>IF(G32=0,"UNTRIED",IF(F32="PASS","PASS",IF(F32="FAIL","FAIL","HOLD")))</x:f>
        <x:v>UNTRIED</x:v>
      </x:c>
      <x:c r="I32" s="62" t="n">
        <x:f>COUNTIF($B$5:$B$58,B32)</x:f>
        <x:v>3</x:v>
      </x:c>
      <x:c r="J32" s="62" t="n">
        <x:f>COUNTIF($A$5:$A$58,A32)</x:f>
        <x:v>1</x:v>
      </x:c>
      <x:c r="K32" s="62" t="str">
        <x:v>A campaign result cannot substitute for six-domain form evidence.</x:v>
      </x:c>
      <x:c r="L32" s="62" t="str">
        <x:v>OPEN / UNPROVEN</x:v>
      </x:c>
    </x:row>
    <x:row r="33">
      <x:c r="A33" s="62" t="str">
        <x:v>C029</x:v>
      </x:c>
      <x:c r="B33" s="62" t="str">
        <x:v>LF-B-A</x:v>
      </x:c>
      <x:c r="C33" s="62" t="str">
        <x:v>LF-B</x:v>
      </x:c>
      <x:c r="D33" s="62" t="str">
        <x:v>loss-defined fluid switching</x:v>
      </x:c>
      <x:c r="E33" s="62" t="str">
        <x:v>LF-B-A-E1</x:v>
      </x:c>
      <x:c r="F33" s="62" t="str">
        <x:v>UNTRIED</x:v>
      </x:c>
      <x:c r="G33" s="63" t="n">
        <x:v>0</x:v>
      </x:c>
      <x:c r="H33" s="62" t="str">
        <x:f>IF(G33=0,"UNTRIED",IF(F33="PASS","PASS",IF(F33="FAIL","FAIL","HOLD")))</x:f>
        <x:v>UNTRIED</x:v>
      </x:c>
      <x:c r="I33" s="62" t="n">
        <x:f>COUNTIF($B$5:$B$58,B33)</x:f>
        <x:v>3</x:v>
      </x:c>
      <x:c r="J33" s="62" t="n">
        <x:f>COUNTIF($A$5:$A$58,A33)</x:f>
        <x:v>1</x:v>
      </x:c>
      <x:c r="K33" s="62" t="str">
        <x:v>A campaign result cannot substitute for six-domain form evidence.</x:v>
      </x:c>
      <x:c r="L33" s="62" t="str">
        <x:v>OPEN / UNPROVEN</x:v>
      </x:c>
    </x:row>
    <x:row r="34">
      <x:c r="A34" s="62" t="str">
        <x:v>C030</x:v>
      </x:c>
      <x:c r="B34" s="62" t="str">
        <x:v>LF-B-A</x:v>
      </x:c>
      <x:c r="C34" s="62" t="str">
        <x:v>LF-B</x:v>
      </x:c>
      <x:c r="D34" s="62" t="str">
        <x:v>brine-mineral metabolism</x:v>
      </x:c>
      <x:c r="E34" s="62" t="str">
        <x:v>LF-B-A-E1</x:v>
      </x:c>
      <x:c r="F34" s="62" t="str">
        <x:v>UNTRIED</x:v>
      </x:c>
      <x:c r="G34" s="63" t="n">
        <x:v>0</x:v>
      </x:c>
      <x:c r="H34" s="62" t="str">
        <x:f>IF(G34=0,"UNTRIED",IF(F34="PASS","PASS",IF(F34="FAIL","FAIL","HOLD")))</x:f>
        <x:v>UNTRIED</x:v>
      </x:c>
      <x:c r="I34" s="62" t="n">
        <x:f>COUNTIF($B$5:$B$58,B34)</x:f>
        <x:v>3</x:v>
      </x:c>
      <x:c r="J34" s="62" t="n">
        <x:f>COUNTIF($A$5:$A$58,A34)</x:f>
        <x:v>1</x:v>
      </x:c>
      <x:c r="K34" s="62" t="str">
        <x:v>A campaign result cannot substitute for six-domain form evidence.</x:v>
      </x:c>
      <x:c r="L34" s="62" t="str">
        <x:v>OPEN / UNPROVEN</x:v>
      </x:c>
    </x:row>
    <x:row r="35">
      <x:c r="A35" s="62" t="str">
        <x:v>C031</x:v>
      </x:c>
      <x:c r="B35" s="62" t="str">
        <x:v>LF-B-B</x:v>
      </x:c>
      <x:c r="C35" s="62" t="str">
        <x:v>LF-B</x:v>
      </x:c>
      <x:c r="D35" s="62" t="str">
        <x:v>roadless bore train</x:v>
      </x:c>
      <x:c r="E35" s="62" t="str">
        <x:v>LF-B-B-E1</x:v>
      </x:c>
      <x:c r="F35" s="62" t="str">
        <x:v>UNTRIED</x:v>
      </x:c>
      <x:c r="G35" s="63" t="n">
        <x:v>0</x:v>
      </x:c>
      <x:c r="H35" s="62" t="str">
        <x:f>IF(G35=0,"UNTRIED",IF(F35="PASS","PASS",IF(F35="FAIL","FAIL","HOLD")))</x:f>
        <x:v>UNTRIED</x:v>
      </x:c>
      <x:c r="I35" s="62" t="n">
        <x:f>COUNTIF($B$5:$B$58,B35)</x:f>
        <x:v>3</x:v>
      </x:c>
      <x:c r="J35" s="62" t="n">
        <x:f>COUNTIF($A$5:$A$58,A35)</x:f>
        <x:v>1</x:v>
      </x:c>
      <x:c r="K35" s="62" t="str">
        <x:v>A campaign result cannot substitute for six-domain form evidence.</x:v>
      </x:c>
      <x:c r="L35" s="62" t="str">
        <x:v>OPEN / UNPROVEN</x:v>
      </x:c>
    </x:row>
    <x:row r="36">
      <x:c r="A36" s="62" t="str">
        <x:v>C032</x:v>
      </x:c>
      <x:c r="B36" s="62" t="str">
        <x:v>LF-B-B</x:v>
      </x:c>
      <x:c r="C36" s="62" t="str">
        <x:v>LF-B</x:v>
      </x:c>
      <x:c r="D36" s="62" t="str">
        <x:v>dual-model reservoir control</x:v>
      </x:c>
      <x:c r="E36" s="62" t="str">
        <x:v>LF-B-B-E1</x:v>
      </x:c>
      <x:c r="F36" s="62" t="str">
        <x:v>UNTRIED</x:v>
      </x:c>
      <x:c r="G36" s="63" t="n">
        <x:v>0</x:v>
      </x:c>
      <x:c r="H36" s="62" t="str">
        <x:f>IF(G36=0,"UNTRIED",IF(F36="PASS","PASS",IF(F36="FAIL","FAIL","HOLD")))</x:f>
        <x:v>UNTRIED</x:v>
      </x:c>
      <x:c r="I36" s="62" t="n">
        <x:f>COUNTIF($B$5:$B$58,B36)</x:f>
        <x:v>3</x:v>
      </x:c>
      <x:c r="J36" s="62" t="n">
        <x:f>COUNTIF($A$5:$A$58,A36)</x:f>
        <x:v>1</x:v>
      </x:c>
      <x:c r="K36" s="62" t="str">
        <x:v>A campaign result cannot substitute for six-domain form evidence.</x:v>
      </x:c>
      <x:c r="L36" s="62" t="str">
        <x:v>OPEN / UNPROVEN</x:v>
      </x:c>
    </x:row>
    <x:row r="37">
      <x:c r="A37" s="62" t="str">
        <x:v>C033</x:v>
      </x:c>
      <x:c r="B37" s="62" t="str">
        <x:v>LF-B-B</x:v>
      </x:c>
      <x:c r="C37" s="62" t="str">
        <x:v>LF-B</x:v>
      </x:c>
      <x:c r="D37" s="62" t="str">
        <x:v>trenchless water-power corridor</x:v>
      </x:c>
      <x:c r="E37" s="62" t="str">
        <x:v>LF-B-B-E1</x:v>
      </x:c>
      <x:c r="F37" s="62" t="str">
        <x:v>UNTRIED</x:v>
      </x:c>
      <x:c r="G37" s="63" t="n">
        <x:v>0</x:v>
      </x:c>
      <x:c r="H37" s="62" t="str">
        <x:f>IF(G37=0,"UNTRIED",IF(F37="PASS","PASS",IF(F37="FAIL","FAIL","HOLD")))</x:f>
        <x:v>UNTRIED</x:v>
      </x:c>
      <x:c r="I37" s="62" t="n">
        <x:f>COUNTIF($B$5:$B$58,B37)</x:f>
        <x:v>3</x:v>
      </x:c>
      <x:c r="J37" s="62" t="n">
        <x:f>COUNTIF($A$5:$A$58,A37)</x:f>
        <x:v>1</x:v>
      </x:c>
      <x:c r="K37" s="62" t="str">
        <x:v>A campaign result cannot substitute for six-domain form evidence.</x:v>
      </x:c>
      <x:c r="L37" s="62" t="str">
        <x:v>OPEN / UNPROVEN</x:v>
      </x:c>
    </x:row>
    <x:row r="38">
      <x:c r="A38" s="62" t="str">
        <x:v>C034</x:v>
      </x:c>
      <x:c r="B38" s="62" t="str">
        <x:v>LF-B-C</x:v>
      </x:c>
      <x:c r="C38" s="62" t="str">
        <x:v>LF-B</x:v>
      </x:c>
      <x:c r="D38" s="62" t="str">
        <x:v>deployable bore-isolated caisson</x:v>
      </x:c>
      <x:c r="E38" s="62" t="str">
        <x:v>LF-B-C-E1</x:v>
      </x:c>
      <x:c r="F38" s="62" t="str">
        <x:v>UNTRIED</x:v>
      </x:c>
      <x:c r="G38" s="63" t="n">
        <x:v>0</x:v>
      </x:c>
      <x:c r="H38" s="62" t="str">
        <x:f>IF(G38=0,"UNTRIED",IF(F38="PASS","PASS",IF(F38="FAIL","FAIL","HOLD")))</x:f>
        <x:v>UNTRIED</x:v>
      </x:c>
      <x:c r="I38" s="62" t="n">
        <x:f>COUNTIF($B$5:$B$58,B38)</x:f>
        <x:v>3</x:v>
      </x:c>
      <x:c r="J38" s="62" t="n">
        <x:f>COUNTIF($A$5:$A$58,A38)</x:f>
        <x:v>1</x:v>
      </x:c>
      <x:c r="K38" s="62" t="str">
        <x:v>A campaign result cannot substitute for six-domain form evidence.</x:v>
      </x:c>
      <x:c r="L38" s="62" t="str">
        <x:v>OPEN / UNPROVEN</x:v>
      </x:c>
    </x:row>
    <x:row r="39">
      <x:c r="A39" s="62" t="str">
        <x:v>C035</x:v>
      </x:c>
      <x:c r="B39" s="62" t="str">
        <x:v>LF-B-C</x:v>
      </x:c>
      <x:c r="C39" s="62" t="str">
        <x:v>LF-B</x:v>
      </x:c>
      <x:c r="D39" s="62" t="str">
        <x:v>robotic caisson drilling</x:v>
      </x:c>
      <x:c r="E39" s="62" t="str">
        <x:v>LF-B-C-E1</x:v>
      </x:c>
      <x:c r="F39" s="62" t="str">
        <x:v>UNTRIED</x:v>
      </x:c>
      <x:c r="G39" s="63" t="n">
        <x:v>0</x:v>
      </x:c>
      <x:c r="H39" s="62" t="str">
        <x:f>IF(G39=0,"UNTRIED",IF(F39="PASS","PASS",IF(F39="FAIL","FAIL","HOLD")))</x:f>
        <x:v>UNTRIED</x:v>
      </x:c>
      <x:c r="I39" s="62" t="n">
        <x:f>COUNTIF($B$5:$B$58,B39)</x:f>
        <x:v>3</x:v>
      </x:c>
      <x:c r="J39" s="62" t="n">
        <x:f>COUNTIF($A$5:$A$58,A39)</x:f>
        <x:v>1</x:v>
      </x:c>
      <x:c r="K39" s="62" t="str">
        <x:v>A campaign result cannot substitute for six-domain form evidence.</x:v>
      </x:c>
      <x:c r="L39" s="62" t="str">
        <x:v>OPEN / UNPROVEN</x:v>
      </x:c>
    </x:row>
    <x:row r="40">
      <x:c r="A40" s="62" t="str">
        <x:v>C036</x:v>
      </x:c>
      <x:c r="B40" s="62" t="str">
        <x:v>LF-B-C</x:v>
      </x:c>
      <x:c r="C40" s="62" t="str">
        <x:v>LF-B</x:v>
      </x:c>
      <x:c r="D40" s="62" t="str">
        <x:v>separable subsea umbilicals</x:v>
      </x:c>
      <x:c r="E40" s="62" t="str">
        <x:v>LF-B-C-E1</x:v>
      </x:c>
      <x:c r="F40" s="62" t="str">
        <x:v>UNTRIED</x:v>
      </x:c>
      <x:c r="G40" s="63" t="n">
        <x:v>0</x:v>
      </x:c>
      <x:c r="H40" s="62" t="str">
        <x:f>IF(G40=0,"UNTRIED",IF(F40="PASS","PASS",IF(F40="FAIL","FAIL","HOLD")))</x:f>
        <x:v>UNTRIED</x:v>
      </x:c>
      <x:c r="I40" s="62" t="n">
        <x:f>COUNTIF($B$5:$B$58,B40)</x:f>
        <x:v>3</x:v>
      </x:c>
      <x:c r="J40" s="62" t="n">
        <x:f>COUNTIF($A$5:$A$58,A40)</x:f>
        <x:v>1</x:v>
      </x:c>
      <x:c r="K40" s="62" t="str">
        <x:v>A campaign result cannot substitute for six-domain form evidence.</x:v>
      </x:c>
      <x:c r="L40" s="62" t="str">
        <x:v>OPEN / UNPROVEN</x:v>
      </x:c>
    </x:row>
    <x:row r="41">
      <x:c r="A41" s="62" t="str">
        <x:v>C037</x:v>
      </x:c>
      <x:c r="B41" s="62" t="str">
        <x:v>HU-A-A</x:v>
      </x:c>
      <x:c r="C41" s="62" t="str">
        <x:v>HU-A</x:v>
      </x:c>
      <x:c r="D41" s="62" t="str">
        <x:v>rapid sterile pressure shell</x:v>
      </x:c>
      <x:c r="E41" s="62" t="str">
        <x:v>HU-A-A-E1</x:v>
      </x:c>
      <x:c r="F41" s="62" t="str">
        <x:v>UNTRIED</x:v>
      </x:c>
      <x:c r="G41" s="63" t="n">
        <x:v>0</x:v>
      </x:c>
      <x:c r="H41" s="62" t="str">
        <x:f>IF(G41=0,"UNTRIED",IF(F41="PASS","PASS",IF(F41="FAIL","FAIL","HOLD")))</x:f>
        <x:v>UNTRIED</x:v>
      </x:c>
      <x:c r="I41" s="62" t="n">
        <x:f>COUNTIF($B$5:$B$58,B41)</x:f>
        <x:v>3</x:v>
      </x:c>
      <x:c r="J41" s="62" t="n">
        <x:f>COUNTIF($A$5:$A$58,A41)</x:f>
        <x:v>1</x:v>
      </x:c>
      <x:c r="K41" s="62" t="str">
        <x:v>A campaign result cannot substitute for six-domain form evidence.</x:v>
      </x:c>
      <x:c r="L41" s="62" t="str">
        <x:v>OPEN / UNPROVEN</x:v>
      </x:c>
    </x:row>
    <x:row r="42">
      <x:c r="A42" s="62" t="str">
        <x:v>C038</x:v>
      </x:c>
      <x:c r="B42" s="62" t="str">
        <x:v>HU-A-A</x:v>
      </x:c>
      <x:c r="C42" s="62" t="str">
        <x:v>HU-A</x:v>
      </x:c>
      <x:c r="D42" s="62" t="str">
        <x:v>six-family clinical utility manifold</x:v>
      </x:c>
      <x:c r="E42" s="62" t="str">
        <x:v>HU-A-A-E1</x:v>
      </x:c>
      <x:c r="F42" s="62" t="str">
        <x:v>UNTRIED</x:v>
      </x:c>
      <x:c r="G42" s="63" t="n">
        <x:v>0</x:v>
      </x:c>
      <x:c r="H42" s="62" t="str">
        <x:f>IF(G42=0,"UNTRIED",IF(F42="PASS","PASS",IF(F42="FAIL","FAIL","HOLD")))</x:f>
        <x:v>UNTRIED</x:v>
      </x:c>
      <x:c r="I42" s="62" t="n">
        <x:f>COUNTIF($B$5:$B$58,B42)</x:f>
        <x:v>3</x:v>
      </x:c>
      <x:c r="J42" s="62" t="n">
        <x:f>COUNTIF($A$5:$A$58,A42)</x:f>
        <x:v>1</x:v>
      </x:c>
      <x:c r="K42" s="62" t="str">
        <x:v>A campaign result cannot substitute for six-domain form evidence.</x:v>
      </x:c>
      <x:c r="L42" s="62" t="str">
        <x:v>OPEN / UNPROVEN</x:v>
      </x:c>
    </x:row>
    <x:row r="43">
      <x:c r="A43" s="62" t="str">
        <x:v>C039</x:v>
      </x:c>
      <x:c r="B43" s="62" t="str">
        <x:v>HU-A-A</x:v>
      </x:c>
      <x:c r="C43" s="62" t="str">
        <x:v>HU-A</x:v>
      </x:c>
      <x:c r="D43" s="62" t="str">
        <x:v>offline continuity fabric</x:v>
      </x:c>
      <x:c r="E43" s="62" t="str">
        <x:v>HU-A-A-E1</x:v>
      </x:c>
      <x:c r="F43" s="62" t="str">
        <x:v>UNTRIED</x:v>
      </x:c>
      <x:c r="G43" s="63" t="n">
        <x:v>0</x:v>
      </x:c>
      <x:c r="H43" s="62" t="str">
        <x:f>IF(G43=0,"UNTRIED",IF(F43="PASS","PASS",IF(F43="FAIL","FAIL","HOLD")))</x:f>
        <x:v>UNTRIED</x:v>
      </x:c>
      <x:c r="I43" s="62" t="n">
        <x:f>COUNTIF($B$5:$B$58,B43)</x:f>
        <x:v>3</x:v>
      </x:c>
      <x:c r="J43" s="62" t="n">
        <x:f>COUNTIF($A$5:$A$58,A43)</x:f>
        <x:v>1</x:v>
      </x:c>
      <x:c r="K43" s="62" t="str">
        <x:v>A campaign result cannot substitute for six-domain form evidence.</x:v>
      </x:c>
      <x:c r="L43" s="62" t="str">
        <x:v>OPEN / UNPROVEN</x:v>
      </x:c>
    </x:row>
    <x:row r="44">
      <x:c r="A44" s="62" t="str">
        <x:v>C040</x:v>
      </x:c>
      <x:c r="B44" s="62" t="str">
        <x:v>HU-A-B</x:v>
      </x:c>
      <x:c r="C44" s="62" t="str">
        <x:v>HU-A</x:v>
      </x:c>
      <x:c r="D44" s="62" t="str">
        <x:v>reconfigurable counterflow spine</x:v>
      </x:c>
      <x:c r="E44" s="62" t="str">
        <x:v>HU-A-B-E1</x:v>
      </x:c>
      <x:c r="F44" s="62" t="str">
        <x:v>UNTRIED</x:v>
      </x:c>
      <x:c r="G44" s="63" t="n">
        <x:v>0</x:v>
      </x:c>
      <x:c r="H44" s="62" t="str">
        <x:f>IF(G44=0,"UNTRIED",IF(F44="PASS","PASS",IF(F44="FAIL","FAIL","HOLD")))</x:f>
        <x:v>UNTRIED</x:v>
      </x:c>
      <x:c r="I44" s="62" t="n">
        <x:f>COUNTIF($B$5:$B$58,B44)</x:f>
        <x:v>3</x:v>
      </x:c>
      <x:c r="J44" s="62" t="n">
        <x:f>COUNTIF($A$5:$A$58,A44)</x:f>
        <x:v>1</x:v>
      </x:c>
      <x:c r="K44" s="62" t="str">
        <x:v>A campaign result cannot substitute for six-domain form evidence.</x:v>
      </x:c>
      <x:c r="L44" s="62" t="str">
        <x:v>OPEN / UNPROVEN</x:v>
      </x:c>
    </x:row>
    <x:row r="45">
      <x:c r="A45" s="62" t="str">
        <x:v>C041</x:v>
      </x:c>
      <x:c r="B45" s="62" t="str">
        <x:v>HU-A-B</x:v>
      </x:c>
      <x:c r="C45" s="62" t="str">
        <x:v>HU-A</x:v>
      </x:c>
      <x:c r="D45" s="62" t="str">
        <x:v>robotic definitive-care bay</x:v>
      </x:c>
      <x:c r="E45" s="62" t="str">
        <x:v>HU-A-B-E1</x:v>
      </x:c>
      <x:c r="F45" s="62" t="str">
        <x:v>UNTRIED</x:v>
      </x:c>
      <x:c r="G45" s="63" t="n">
        <x:v>0</x:v>
      </x:c>
      <x:c r="H45" s="62" t="str">
        <x:f>IF(G45=0,"UNTRIED",IF(F45="PASS","PASS",IF(F45="FAIL","FAIL","HOLD")))</x:f>
        <x:v>UNTRIED</x:v>
      </x:c>
      <x:c r="I45" s="62" t="n">
        <x:f>COUNTIF($B$5:$B$58,B45)</x:f>
        <x:v>3</x:v>
      </x:c>
      <x:c r="J45" s="62" t="n">
        <x:f>COUNTIF($A$5:$A$58,A45)</x:f>
        <x:v>1</x:v>
      </x:c>
      <x:c r="K45" s="62" t="str">
        <x:v>A campaign result cannot substitute for six-domain form evidence.</x:v>
      </x:c>
      <x:c r="L45" s="62" t="str">
        <x:v>OPEN / UNPROVEN</x:v>
      </x:c>
    </x:row>
    <x:row r="46">
      <x:c r="A46" s="62" t="str">
        <x:v>C042</x:v>
      </x:c>
      <x:c r="B46" s="62" t="str">
        <x:v>HU-A-B</x:v>
      </x:c>
      <x:c r="C46" s="62" t="str">
        <x:v>HU-A</x:v>
      </x:c>
      <x:c r="D46" s="62" t="str">
        <x:v>mobile sterile ancestry</x:v>
      </x:c>
      <x:c r="E46" s="62" t="str">
        <x:v>HU-A-B-E1</x:v>
      </x:c>
      <x:c r="F46" s="62" t="str">
        <x:v>UNTRIED</x:v>
      </x:c>
      <x:c r="G46" s="63" t="n">
        <x:v>0</x:v>
      </x:c>
      <x:c r="H46" s="62" t="str">
        <x:f>IF(G46=0,"UNTRIED",IF(F46="PASS","PASS",IF(F46="FAIL","FAIL","HOLD")))</x:f>
        <x:v>UNTRIED</x:v>
      </x:c>
      <x:c r="I46" s="62" t="n">
        <x:f>COUNTIF($B$5:$B$58,B46)</x:f>
        <x:v>3</x:v>
      </x:c>
      <x:c r="J46" s="62" t="n">
        <x:f>COUNTIF($A$5:$A$58,A46)</x:f>
        <x:v>1</x:v>
      </x:c>
      <x:c r="K46" s="62" t="str">
        <x:v>A campaign result cannot substitute for six-domain form evidence.</x:v>
      </x:c>
      <x:c r="L46" s="62" t="str">
        <x:v>OPEN / UNPROVEN</x:v>
      </x:c>
    </x:row>
    <x:row r="47">
      <x:c r="A47" s="62" t="str">
        <x:v>C043</x:v>
      </x:c>
      <x:c r="B47" s="62" t="str">
        <x:v>HU-A-C</x:v>
      </x:c>
      <x:c r="C47" s="62" t="str">
        <x:v>HU-A</x:v>
      </x:c>
      <x:c r="D47" s="62" t="str">
        <x:v>rapid independent tower foundation</x:v>
      </x:c>
      <x:c r="E47" s="62" t="str">
        <x:v>HU-A-C-E1</x:v>
      </x:c>
      <x:c r="F47" s="62" t="str">
        <x:v>UNTRIED</x:v>
      </x:c>
      <x:c r="G47" s="63" t="n">
        <x:v>0</x:v>
      </x:c>
      <x:c r="H47" s="62" t="str">
        <x:f>IF(G47=0,"UNTRIED",IF(F47="PASS","PASS",IF(F47="FAIL","FAIL","HOLD")))</x:f>
        <x:v>UNTRIED</x:v>
      </x:c>
      <x:c r="I47" s="62" t="n">
        <x:f>COUNTIF($B$5:$B$58,B47)</x:f>
        <x:v>3</x:v>
      </x:c>
      <x:c r="J47" s="62" t="n">
        <x:f>COUNTIF($A$5:$A$58,A47)</x:f>
        <x:v>1</x:v>
      </x:c>
      <x:c r="K47" s="62" t="str">
        <x:v>A campaign result cannot substitute for six-domain form evidence.</x:v>
      </x:c>
      <x:c r="L47" s="62" t="str">
        <x:v>OPEN / UNPROVEN</x:v>
      </x:c>
    </x:row>
    <x:row r="48">
      <x:c r="A48" s="62" t="str">
        <x:v>C044</x:v>
      </x:c>
      <x:c r="B48" s="62" t="str">
        <x:v>HU-A-C</x:v>
      </x:c>
      <x:c r="C48" s="62" t="str">
        <x:v>HU-A</x:v>
      </x:c>
      <x:c r="D48" s="62" t="str">
        <x:v>dual-mode clinical lift metabolism</x:v>
      </x:c>
      <x:c r="E48" s="62" t="str">
        <x:v>HU-A-C-E1</x:v>
      </x:c>
      <x:c r="F48" s="62" t="str">
        <x:v>UNTRIED</x:v>
      </x:c>
      <x:c r="G48" s="63" t="n">
        <x:v>0</x:v>
      </x:c>
      <x:c r="H48" s="62" t="str">
        <x:f>IF(G48=0,"UNTRIED",IF(F48="PASS","PASS",IF(F48="FAIL","FAIL","HOLD")))</x:f>
        <x:v>UNTRIED</x:v>
      </x:c>
      <x:c r="I48" s="62" t="n">
        <x:f>COUNTIF($B$5:$B$58,B48)</x:f>
        <x:v>3</x:v>
      </x:c>
      <x:c r="J48" s="62" t="n">
        <x:f>COUNTIF($A$5:$A$58,A48)</x:f>
        <x:v>1</x:v>
      </x:c>
      <x:c r="K48" s="62" t="str">
        <x:v>A campaign result cannot substitute for six-domain form evidence.</x:v>
      </x:c>
      <x:c r="L48" s="62" t="str">
        <x:v>OPEN / UNPROVEN</x:v>
      </x:c>
    </x:row>
    <x:row r="49">
      <x:c r="A49" s="62" t="str">
        <x:v>C045</x:v>
      </x:c>
      <x:c r="B49" s="62" t="str">
        <x:v>HU-A-C</x:v>
      </x:c>
      <x:c r="C49" s="62" t="str">
        <x:v>HU-A</x:v>
      </x:c>
      <x:c r="D49" s="62" t="str">
        <x:v>self-contained clinical microgrid</x:v>
      </x:c>
      <x:c r="E49" s="62" t="str">
        <x:v>HU-A-C-E1</x:v>
      </x:c>
      <x:c r="F49" s="62" t="str">
        <x:v>UNTRIED</x:v>
      </x:c>
      <x:c r="G49" s="63" t="n">
        <x:v>0</x:v>
      </x:c>
      <x:c r="H49" s="62" t="str">
        <x:f>IF(G49=0,"UNTRIED",IF(F49="PASS","PASS",IF(F49="FAIL","FAIL","HOLD")))</x:f>
        <x:v>UNTRIED</x:v>
      </x:c>
      <x:c r="I49" s="62" t="n">
        <x:f>COUNTIF($B$5:$B$58,B49)</x:f>
        <x:v>3</x:v>
      </x:c>
      <x:c r="J49" s="62" t="n">
        <x:f>COUNTIF($A$5:$A$58,A49)</x:f>
        <x:v>1</x:v>
      </x:c>
      <x:c r="K49" s="62" t="str">
        <x:v>A campaign result cannot substitute for six-domain form evidence.</x:v>
      </x:c>
      <x:c r="L49" s="62" t="str">
        <x:v>OPEN / UNPROVEN</x:v>
      </x:c>
    </x:row>
    <x:row r="50">
      <x:c r="A50" s="62" t="str">
        <x:v>C046</x:v>
      </x:c>
      <x:c r="B50" s="62" t="str">
        <x:v>RT-B-A</x:v>
      </x:c>
      <x:c r="C50" s="62" t="str">
        <x:v>RT-B</x:v>
      </x:c>
      <x:c r="D50" s="62" t="str">
        <x:v>container-complete process ancestry</x:v>
      </x:c>
      <x:c r="E50" s="62" t="str">
        <x:v>RT-B-A-E1</x:v>
      </x:c>
      <x:c r="F50" s="62" t="str">
        <x:v>UNTRIED</x:v>
      </x:c>
      <x:c r="G50" s="63" t="n">
        <x:v>0</x:v>
      </x:c>
      <x:c r="H50" s="62" t="str">
        <x:f>IF(G50=0,"UNTRIED",IF(F50="PASS","PASS",IF(F50="FAIL","FAIL","HOLD")))</x:f>
        <x:v>UNTRIED</x:v>
      </x:c>
      <x:c r="I50" s="62" t="n">
        <x:f>COUNTIF($B$5:$B$58,B50)</x:f>
        <x:v>3</x:v>
      </x:c>
      <x:c r="J50" s="62" t="n">
        <x:f>COUNTIF($A$5:$A$58,A50)</x:f>
        <x:v>1</x:v>
      </x:c>
      <x:c r="K50" s="62" t="str">
        <x:v>A campaign result cannot substitute for six-domain form evidence.</x:v>
      </x:c>
      <x:c r="L50" s="62" t="str">
        <x:v>OPEN / UNPROVEN</x:v>
      </x:c>
    </x:row>
    <x:row r="51">
      <x:c r="A51" s="62" t="str">
        <x:v>C047</x:v>
      </x:c>
      <x:c r="B51" s="62" t="str">
        <x:v>RT-B-A</x:v>
      </x:c>
      <x:c r="C51" s="62" t="str">
        <x:v>RT-B</x:v>
      </x:c>
      <x:c r="D51" s="62" t="str">
        <x:v>field primary-standard ladder</x:v>
      </x:c>
      <x:c r="E51" s="62" t="str">
        <x:v>RT-B-A-E1</x:v>
      </x:c>
      <x:c r="F51" s="62" t="str">
        <x:v>UNTRIED</x:v>
      </x:c>
      <x:c r="G51" s="63" t="n">
        <x:v>0</x:v>
      </x:c>
      <x:c r="H51" s="62" t="str">
        <x:f>IF(G51=0,"UNTRIED",IF(F51="PASS","PASS",IF(F51="FAIL","FAIL","HOLD")))</x:f>
        <x:v>UNTRIED</x:v>
      </x:c>
      <x:c r="I51" s="62" t="n">
        <x:f>COUNTIF($B$5:$B$58,B51)</x:f>
        <x:v>3</x:v>
      </x:c>
      <x:c r="J51" s="62" t="n">
        <x:f>COUNTIF($A$5:$A$58,A51)</x:f>
        <x:v>1</x:v>
      </x:c>
      <x:c r="K51" s="62" t="str">
        <x:v>A campaign result cannot substitute for six-domain form evidence.</x:v>
      </x:c>
      <x:c r="L51" s="62" t="str">
        <x:v>OPEN / UNPROVEN</x:v>
      </x:c>
    </x:row>
    <x:row r="52">
      <x:c r="A52" s="62" t="str">
        <x:v>C048</x:v>
      </x:c>
      <x:c r="B52" s="62" t="str">
        <x:v>RT-B-A</x:v>
      </x:c>
      <x:c r="C52" s="62" t="str">
        <x:v>RT-B</x:v>
      </x:c>
      <x:c r="D52" s="62" t="str">
        <x:v>unknown-feedstock assay</x:v>
      </x:c>
      <x:c r="E52" s="62" t="str">
        <x:v>RT-B-A-E1</x:v>
      </x:c>
      <x:c r="F52" s="62" t="str">
        <x:v>UNTRIED</x:v>
      </x:c>
      <x:c r="G52" s="63" t="n">
        <x:v>0</x:v>
      </x:c>
      <x:c r="H52" s="62" t="str">
        <x:f>IF(G52=0,"UNTRIED",IF(F52="PASS","PASS",IF(F52="FAIL","FAIL","HOLD")))</x:f>
        <x:v>UNTRIED</x:v>
      </x:c>
      <x:c r="I52" s="62" t="n">
        <x:f>COUNTIF($B$5:$B$58,B52)</x:f>
        <x:v>3</x:v>
      </x:c>
      <x:c r="J52" s="62" t="n">
        <x:f>COUNTIF($A$5:$A$58,A52)</x:f>
        <x:v>1</x:v>
      </x:c>
      <x:c r="K52" s="62" t="str">
        <x:v>A campaign result cannot substitute for six-domain form evidence.</x:v>
      </x:c>
      <x:c r="L52" s="62" t="str">
        <x:v>OPEN / UNPROVEN</x:v>
      </x:c>
    </x:row>
    <x:row r="53">
      <x:c r="A53" s="62" t="str">
        <x:v>C049</x:v>
      </x:c>
      <x:c r="B53" s="62" t="str">
        <x:v>RT-B-B</x:v>
      </x:c>
      <x:c r="C53" s="62" t="str">
        <x:v>RT-B</x:v>
      </x:c>
      <x:c r="D53" s="62" t="str">
        <x:v>petal-local contamination boundary</x:v>
      </x:c>
      <x:c r="E53" s="62" t="str">
        <x:v>RT-B-B-E1</x:v>
      </x:c>
      <x:c r="F53" s="62" t="str">
        <x:v>UNTRIED</x:v>
      </x:c>
      <x:c r="G53" s="63" t="n">
        <x:v>0</x:v>
      </x:c>
      <x:c r="H53" s="62" t="str">
        <x:f>IF(G53=0,"UNTRIED",IF(F53="PASS","PASS",IF(F53="FAIL","FAIL","HOLD")))</x:f>
        <x:v>UNTRIED</x:v>
      </x:c>
      <x:c r="I53" s="62" t="n">
        <x:f>COUNTIF($B$5:$B$58,B53)</x:f>
        <x:v>3</x:v>
      </x:c>
      <x:c r="J53" s="62" t="n">
        <x:f>COUNTIF($A$5:$A$58,A53)</x:f>
        <x:v>1</x:v>
      </x:c>
      <x:c r="K53" s="62" t="str">
        <x:v>A campaign result cannot substitute for six-domain form evidence.</x:v>
      </x:c>
      <x:c r="L53" s="62" t="str">
        <x:v>OPEN / UNPROVEN</x:v>
      </x:c>
    </x:row>
    <x:row r="54">
      <x:c r="A54" s="62" t="str">
        <x:v>C050</x:v>
      </x:c>
      <x:c r="B54" s="62" t="str">
        <x:v>RT-B-B</x:v>
      </x:c>
      <x:c r="C54" s="62" t="str">
        <x:v>RT-B</x:v>
      </x:c>
      <x:c r="D54" s="62" t="str">
        <x:v>offline route planning with physical verification</x:v>
      </x:c>
      <x:c r="E54" s="62" t="str">
        <x:v>RT-B-B-E1</x:v>
      </x:c>
      <x:c r="F54" s="62" t="str">
        <x:v>UNTRIED</x:v>
      </x:c>
      <x:c r="G54" s="63" t="n">
        <x:v>0</x:v>
      </x:c>
      <x:c r="H54" s="62" t="str">
        <x:f>IF(G54=0,"UNTRIED",IF(F54="PASS","PASS",IF(F54="FAIL","FAIL","HOLD")))</x:f>
        <x:v>UNTRIED</x:v>
      </x:c>
      <x:c r="I54" s="62" t="n">
        <x:f>COUNTIF($B$5:$B$58,B54)</x:f>
        <x:v>3</x:v>
      </x:c>
      <x:c r="J54" s="62" t="n">
        <x:f>COUNTIF($A$5:$A$58,A54)</x:f>
        <x:v>1</x:v>
      </x:c>
      <x:c r="K54" s="62" t="str">
        <x:v>A campaign result cannot substitute for six-domain form evidence.</x:v>
      </x:c>
      <x:c r="L54" s="62" t="str">
        <x:v>OPEN / UNPROVEN</x:v>
      </x:c>
    </x:row>
    <x:row r="55">
      <x:c r="A55" s="62" t="str">
        <x:v>C051</x:v>
      </x:c>
      <x:c r="B55" s="62" t="str">
        <x:v>RT-B-B</x:v>
      </x:c>
      <x:c r="C55" s="62" t="str">
        <x:v>RT-B</x:v>
      </x:c>
      <x:c r="D55" s="62" t="str">
        <x:v>tamper-evident ancestry graph</x:v>
      </x:c>
      <x:c r="E55" s="62" t="str">
        <x:v>RT-B-B-E1</x:v>
      </x:c>
      <x:c r="F55" s="62" t="str">
        <x:v>UNTRIED</x:v>
      </x:c>
      <x:c r="G55" s="63" t="n">
        <x:v>0</x:v>
      </x:c>
      <x:c r="H55" s="62" t="str">
        <x:f>IF(G55=0,"UNTRIED",IF(F55="PASS","PASS",IF(F55="FAIL","FAIL","HOLD")))</x:f>
        <x:v>UNTRIED</x:v>
      </x:c>
      <x:c r="I55" s="62" t="n">
        <x:f>COUNTIF($B$5:$B$58,B55)</x:f>
        <x:v>3</x:v>
      </x:c>
      <x:c r="J55" s="62" t="n">
        <x:f>COUNTIF($A$5:$A$58,A55)</x:f>
        <x:v>1</x:v>
      </x:c>
      <x:c r="K55" s="62" t="str">
        <x:v>A campaign result cannot substitute for six-domain form evidence.</x:v>
      </x:c>
      <x:c r="L55" s="62" t="str">
        <x:v>OPEN / UNPROVEN</x:v>
      </x:c>
    </x:row>
    <x:row r="56">
      <x:c r="A56" s="62" t="str">
        <x:v>C052</x:v>
      </x:c>
      <x:c r="B56" s="62" t="str">
        <x:v>RT-B-C</x:v>
      </x:c>
      <x:c r="C56" s="62" t="str">
        <x:v>RT-B</x:v>
      </x:c>
      <x:c r="D56" s="62" t="str">
        <x:v>road-mobile complete process chain</x:v>
      </x:c>
      <x:c r="E56" s="62" t="str">
        <x:v>RT-B-C-E1</x:v>
      </x:c>
      <x:c r="F56" s="62" t="str">
        <x:v>UNTRIED</x:v>
      </x:c>
      <x:c r="G56" s="63" t="n">
        <x:v>0</x:v>
      </x:c>
      <x:c r="H56" s="62" t="str">
        <x:f>IF(G56=0,"UNTRIED",IF(F56="PASS","PASS",IF(F56="FAIL","FAIL","HOLD")))</x:f>
        <x:v>UNTRIED</x:v>
      </x:c>
      <x:c r="I56" s="62" t="n">
        <x:f>COUNTIF($B$5:$B$58,B56)</x:f>
        <x:v>3</x:v>
      </x:c>
      <x:c r="J56" s="62" t="n">
        <x:f>COUNTIF($A$5:$A$58,A56)</x:f>
        <x:v>1</x:v>
      </x:c>
      <x:c r="K56" s="62" t="str">
        <x:v>A campaign result cannot substitute for six-domain form evidence.</x:v>
      </x:c>
      <x:c r="L56" s="62" t="str">
        <x:v>OPEN / UNPROVEN</x:v>
      </x:c>
    </x:row>
    <x:row r="57">
      <x:c r="A57" s="62" t="str">
        <x:v>C053</x:v>
      </x:c>
      <x:c r="B57" s="62" t="str">
        <x:v>RT-B-C</x:v>
      </x:c>
      <x:c r="C57" s="62" t="str">
        <x:v>RT-B</x:v>
      </x:c>
      <x:c r="D57" s="62" t="str">
        <x:v>safeable process microgrid</x:v>
      </x:c>
      <x:c r="E57" s="62" t="str">
        <x:v>RT-B-C-E1</x:v>
      </x:c>
      <x:c r="F57" s="62" t="str">
        <x:v>UNTRIED</x:v>
      </x:c>
      <x:c r="G57" s="63" t="n">
        <x:v>0</x:v>
      </x:c>
      <x:c r="H57" s="62" t="str">
        <x:f>IF(G57=0,"UNTRIED",IF(F57="PASS","PASS",IF(F57="FAIL","FAIL","HOLD")))</x:f>
        <x:v>UNTRIED</x:v>
      </x:c>
      <x:c r="I57" s="62" t="n">
        <x:f>COUNTIF($B$5:$B$58,B57)</x:f>
        <x:v>3</x:v>
      </x:c>
      <x:c r="J57" s="62" t="n">
        <x:f>COUNTIF($A$5:$A$58,A57)</x:f>
        <x:v>1</x:v>
      </x:c>
      <x:c r="K57" s="62" t="str">
        <x:v>A campaign result cannot substitute for six-domain form evidence.</x:v>
      </x:c>
      <x:c r="L57" s="62" t="str">
        <x:v>OPEN / UNPROVEN</x:v>
      </x:c>
    </x:row>
    <x:row r="58">
      <x:c r="A58" s="64" t="str">
        <x:v>C054</x:v>
      </x:c>
      <x:c r="B58" s="64" t="str">
        <x:v>RT-B-C</x:v>
      </x:c>
      <x:c r="C58" s="64" t="str">
        <x:v>RT-B</x:v>
      </x:c>
      <x:c r="D58" s="64" t="str">
        <x:v>self-describing machines and fixtures</x:v>
      </x:c>
      <x:c r="E58" s="64" t="str">
        <x:v>RT-B-C-E1</x:v>
      </x:c>
      <x:c r="F58" s="64" t="str">
        <x:v>UNTRIED</x:v>
      </x:c>
      <x:c r="G58" s="71" t="n">
        <x:v>0</x:v>
      </x:c>
      <x:c r="H58" s="64" t="str">
        <x:f>IF(G58=0,"UNTRIED",IF(F58="PASS","PASS",IF(F58="FAIL","FAIL","HOLD")))</x:f>
        <x:v>UNTRIED</x:v>
      </x:c>
      <x:c r="I58" s="64" t="n">
        <x:f>COUNTIF($B$5:$B$58,B58)</x:f>
        <x:v>3</x:v>
      </x:c>
      <x:c r="J58" s="64" t="n">
        <x:f>COUNTIF($A$5:$A$58,A58)</x:f>
        <x:v>1</x:v>
      </x:c>
      <x:c r="K58" s="64" t="str">
        <x:v>A campaign result cannot substitute for six-domain form evidence.</x:v>
      </x:c>
      <x:c r="L58" s="64" t="str">
        <x:v>OPEN / UNPROVEN</x:v>
      </x:c>
    </x:row>
  </x:sheetData>
  <x:mergeCells>
    <x:mergeCell ref="A2:L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44" hidden="0" customWidth="1"/>
    <x:col min="4" max="4" width="12" hidden="0" customWidth="1"/>
    <x:col min="5" max="5" width="14" hidden="0" customWidth="1"/>
    <x:col min="6" max="6" width="12" hidden="0" customWidth="1"/>
    <x:col min="7" max="7" width="15" hidden="0" customWidth="1"/>
    <x:col min="8" max="8" width="15" hidden="0" customWidth="1"/>
    <x:col min="9" max="9" width="22" hidden="0" customWidth="1"/>
    <x:col min="10" max="10" width="18" hidden="0" customWidth="1"/>
    <x:col min="11" max="11" width="28" hidden="0" customWidth="1"/>
    <x:col min="12" max="12" width="24" hidden="0" customWidth="1"/>
    <x:col min="13" max="13" width="76" hidden="0" customWidth="1"/>
    <x:col min="14" max="14" width="28" hidden="0" customWidth="1"/>
  </x:cols>
  <x:sheetData>
    <x:row r="2">
      <x:c r="A2" s="56" t="str">
        <x:v>Root-level comparative decision gate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  <x:c r="M3" s="58"/>
      <x:c r="N3" s="58"/>
    </x:row>
    <x:row r="4" ht="32" customHeight="1">
      <x:c r="A4" s="14" t="str">
        <x:v>System</x:v>
      </x:c>
      <x:c r="B4" s="15" t="str">
        <x:v>Root</x:v>
      </x:c>
      <x:c r="C4" s="15" t="str">
        <x:v>Root article</x:v>
      </x:c>
      <x:c r="D4" s="15" t="str">
        <x:v>Forms</x:v>
      </x:c>
      <x:c r="E4" s="15" t="str">
        <x:v>UNTRIED</x:v>
      </x:c>
      <x:c r="F4" s="15" t="str">
        <x:v>HOLD</x:v>
      </x:c>
      <x:c r="G4" s="15" t="str">
        <x:v>WITHDRAW</x:v>
      </x:c>
      <x:c r="H4" s="15" t="str">
        <x:v>SURVIVOR</x:v>
      </x:c>
      <x:c r="I4" s="15" t="str">
        <x:v>Selection warrants</x:v>
      </x:c>
      <x:c r="J4" s="15" t="str">
        <x:v>Selected forms</x:v>
      </x:c>
      <x:c r="K4" s="15" t="str">
        <x:v>Comparable evidence complete</x:v>
      </x:c>
      <x:c r="L4" s="15" t="str">
        <x:v>Root disposition</x:v>
      </x:c>
      <x:c r="M4" s="15" t="str">
        <x:v>Decision rule</x:v>
      </x:c>
      <x:c r="N4" s="16" t="str">
        <x:v>Authority</x:v>
      </x:c>
    </x:row>
    <x:row r="5">
      <x:c r="A5" s="59" t="str">
        <x:v>MS-ET</x:v>
      </x:c>
      <x:c r="B5" s="59" t="str">
        <x:v>ET-A</x:v>
      </x:c>
      <x:c r="C5" s="59" t="str">
        <x:v>Pelagic exchange cell</x:v>
      </x:c>
      <x:c r="D5" s="60" t="n">
        <x:f>COUNTIF('Form Covenant'!$B$5:$B$22,B5)</x:f>
        <x:v>3</x:v>
      </x:c>
      <x:c r="E5" s="60" t="n">
        <x:f>COUNTIFS('Form Covenant'!$B$5:$B$22,B5,'Form Covenant'!$Q$5:$Q$22,"UNTRIED")</x:f>
        <x:v>3</x:v>
      </x:c>
      <x:c r="F5" s="60" t="n">
        <x:f>COUNTIFS('Form Covenant'!$B$5:$B$22,B5,'Form Covenant'!$Q$5:$Q$22,"HOLD")</x:f>
        <x:v>0</x:v>
      </x:c>
      <x:c r="G5" s="60" t="n">
        <x:f>COUNTIFS('Form Covenant'!$B$5:$B$22,B5,'Form Covenant'!$Q$5:$Q$22,"WITHDRAW")</x:f>
        <x:v>0</x:v>
      </x:c>
      <x:c r="H5" s="60" t="n">
        <x:f>COUNTIFS('Form Covenant'!$B$5:$B$22,B5,'Form Covenant'!$Q$5:$Q$22,"SURVIVOR")</x:f>
        <x:v>0</x:v>
      </x:c>
      <x:c r="I5" s="60" t="n">
        <x:f>SUMIFS('Form Covenant'!$O$5:$O$22,'Form Covenant'!$B$5:$B$22,B5)</x:f>
        <x:v>0</x:v>
      </x:c>
      <x:c r="J5" s="60" t="n">
        <x:f>SUMIFS('Form Covenant'!$P$5:$P$22,'Form Covenant'!$B$5:$B$22,B5)</x:f>
        <x:v>0</x:v>
      </x:c>
      <x:c r="K5" s="60" t="n">
        <x:f>IF(E5+F5=0,1,0)</x:f>
        <x:v>0</x:v>
      </x:c>
      <x:c r="L5" s="59" t="str">
        <x:f>IF(J5&gt;0,IF(AND(J5=1,I5=1,K5=1),"SELECTED","INVALID"),IF(AND(K5=1,H5&gt;0),"COMPARISON OPEN","EVIDENCE NOT EARNED"))</x:f>
        <x:v>EVIDENCE NOT EARNED</x:v>
      </x:c>
      <x:c r="M5" s="59" t="str">
        <x:v>Select only after all three forms have comparable valid evidence or rivals validly fail; a strict noncompensatory warrant is required; ties remain plural.</x:v>
      </x:c>
      <x:c r="N5" s="59" t="str">
        <x:v>NO SELECTION AUTHORITY</x:v>
      </x:c>
    </x:row>
    <x:row r="6">
      <x:c r="A6" s="62" t="str">
        <x:v>MS-CT</x:v>
      </x:c>
      <x:c r="B6" s="62" t="str">
        <x:v>CT-C</x:v>
      </x:c>
      <x:c r="C6" s="62" t="str">
        <x:v>Occupied-building utility-spine sector</x:v>
      </x:c>
      <x:c r="D6" s="63" t="n">
        <x:f>COUNTIF('Form Covenant'!$B$5:$B$22,B6)</x:f>
        <x:v>3</x:v>
      </x:c>
      <x:c r="E6" s="63" t="n">
        <x:f>COUNTIFS('Form Covenant'!$B$5:$B$22,B6,'Form Covenant'!$Q$5:$Q$22,"UNTRIED")</x:f>
        <x:v>3</x:v>
      </x:c>
      <x:c r="F6" s="63" t="n">
        <x:f>COUNTIFS('Form Covenant'!$B$5:$B$22,B6,'Form Covenant'!$Q$5:$Q$22,"HOLD")</x:f>
        <x:v>0</x:v>
      </x:c>
      <x:c r="G6" s="63" t="n">
        <x:f>COUNTIFS('Form Covenant'!$B$5:$B$22,B6,'Form Covenant'!$Q$5:$Q$22,"WITHDRAW")</x:f>
        <x:v>0</x:v>
      </x:c>
      <x:c r="H6" s="63" t="n">
        <x:f>COUNTIFS('Form Covenant'!$B$5:$B$22,B6,'Form Covenant'!$Q$5:$Q$22,"SURVIVOR")</x:f>
        <x:v>0</x:v>
      </x:c>
      <x:c r="I6" s="63" t="n">
        <x:f>SUMIFS('Form Covenant'!$O$5:$O$22,'Form Covenant'!$B$5:$B$22,B6)</x:f>
        <x:v>0</x:v>
      </x:c>
      <x:c r="J6" s="63" t="n">
        <x:f>SUMIFS('Form Covenant'!$P$5:$P$22,'Form Covenant'!$B$5:$B$22,B6)</x:f>
        <x:v>0</x:v>
      </x:c>
      <x:c r="K6" s="63" t="n">
        <x:f>IF(E6+F6=0,1,0)</x:f>
        <x:v>0</x:v>
      </x:c>
      <x:c r="L6" s="62" t="str">
        <x:f>IF(J6&gt;0,IF(AND(J6=1,I6=1,K6=1),"SELECTED","INVALID"),IF(AND(K6=1,H6&gt;0),"COMPARISON OPEN","EVIDENCE NOT EARNED"))</x:f>
        <x:v>EVIDENCE NOT EARNED</x:v>
      </x:c>
      <x:c r="M6" s="62" t="str">
        <x:v>Select only after all three forms have comparable valid evidence or rivals validly fail; a strict noncompensatory warrant is required; ties remain plural.</x:v>
      </x:c>
      <x:c r="N6" s="62" t="str">
        <x:v>NO SELECTION AUTHORITY</x:v>
      </x:c>
    </x:row>
    <x:row r="7">
      <x:c r="A7" s="62" t="str">
        <x:v>MS-HC</x:v>
      </x:c>
      <x:c r="B7" s="62" t="str">
        <x:v>HC-A</x:v>
      </x:c>
      <x:c r="C7" s="62" t="str">
        <x:v>Atmospheric intervention cell</x:v>
      </x:c>
      <x:c r="D7" s="63" t="n">
        <x:f>COUNTIF('Form Covenant'!$B$5:$B$22,B7)</x:f>
        <x:v>3</x:v>
      </x:c>
      <x:c r="E7" s="63" t="n">
        <x:f>COUNTIFS('Form Covenant'!$B$5:$B$22,B7,'Form Covenant'!$Q$5:$Q$22,"UNTRIED")</x:f>
        <x:v>3</x:v>
      </x:c>
      <x:c r="F7" s="63" t="n">
        <x:f>COUNTIFS('Form Covenant'!$B$5:$B$22,B7,'Form Covenant'!$Q$5:$Q$22,"HOLD")</x:f>
        <x:v>0</x:v>
      </x:c>
      <x:c r="G7" s="63" t="n">
        <x:f>COUNTIFS('Form Covenant'!$B$5:$B$22,B7,'Form Covenant'!$Q$5:$Q$22,"WITHDRAW")</x:f>
        <x:v>0</x:v>
      </x:c>
      <x:c r="H7" s="63" t="n">
        <x:f>COUNTIFS('Form Covenant'!$B$5:$B$22,B7,'Form Covenant'!$Q$5:$Q$22,"SURVIVOR")</x:f>
        <x:v>0</x:v>
      </x:c>
      <x:c r="I7" s="63" t="n">
        <x:f>SUMIFS('Form Covenant'!$O$5:$O$22,'Form Covenant'!$B$5:$B$22,B7)</x:f>
        <x:v>0</x:v>
      </x:c>
      <x:c r="J7" s="63" t="n">
        <x:f>SUMIFS('Form Covenant'!$P$5:$P$22,'Form Covenant'!$B$5:$B$22,B7)</x:f>
        <x:v>0</x:v>
      </x:c>
      <x:c r="K7" s="63" t="n">
        <x:f>IF(E7+F7=0,1,0)</x:f>
        <x:v>0</x:v>
      </x:c>
      <x:c r="L7" s="62" t="str">
        <x:f>IF(J7&gt;0,IF(AND(J7=1,I7=1,K7=1),"SELECTED","INVALID"),IF(AND(K7=1,H7&gt;0),"COMPARISON OPEN","EVIDENCE NOT EARNED"))</x:f>
        <x:v>EVIDENCE NOT EARNED</x:v>
      </x:c>
      <x:c r="M7" s="62" t="str">
        <x:v>Select only after all three forms have comparable valid evidence or rivals validly fail; a strict noncompensatory warrant is required; ties remain plural.</x:v>
      </x:c>
      <x:c r="N7" s="62" t="str">
        <x:v>NO SELECTION AUTHORITY</x:v>
      </x:c>
    </x:row>
    <x:row r="8">
      <x:c r="A8" s="62" t="str">
        <x:v>MS-LF</x:v>
      </x:c>
      <x:c r="B8" s="62" t="str">
        <x:v>LF-B</x:v>
      </x:c>
      <x:c r="C8" s="62" t="str">
        <x:v>Geothermal source position</x:v>
      </x:c>
      <x:c r="D8" s="63" t="n">
        <x:f>COUNTIF('Form Covenant'!$B$5:$B$22,B8)</x:f>
        <x:v>3</x:v>
      </x:c>
      <x:c r="E8" s="63" t="n">
        <x:f>COUNTIFS('Form Covenant'!$B$5:$B$22,B8,'Form Covenant'!$Q$5:$Q$22,"UNTRIED")</x:f>
        <x:v>3</x:v>
      </x:c>
      <x:c r="F8" s="63" t="n">
        <x:f>COUNTIFS('Form Covenant'!$B$5:$B$22,B8,'Form Covenant'!$Q$5:$Q$22,"HOLD")</x:f>
        <x:v>0</x:v>
      </x:c>
      <x:c r="G8" s="63" t="n">
        <x:f>COUNTIFS('Form Covenant'!$B$5:$B$22,B8,'Form Covenant'!$Q$5:$Q$22,"WITHDRAW")</x:f>
        <x:v>0</x:v>
      </x:c>
      <x:c r="H8" s="63" t="n">
        <x:f>COUNTIFS('Form Covenant'!$B$5:$B$22,B8,'Form Covenant'!$Q$5:$Q$22,"SURVIVOR")</x:f>
        <x:v>0</x:v>
      </x:c>
      <x:c r="I8" s="63" t="n">
        <x:f>SUMIFS('Form Covenant'!$O$5:$O$22,'Form Covenant'!$B$5:$B$22,B8)</x:f>
        <x:v>0</x:v>
      </x:c>
      <x:c r="J8" s="63" t="n">
        <x:f>SUMIFS('Form Covenant'!$P$5:$P$22,'Form Covenant'!$B$5:$B$22,B8)</x:f>
        <x:v>0</x:v>
      </x:c>
      <x:c r="K8" s="63" t="n">
        <x:f>IF(E8+F8=0,1,0)</x:f>
        <x:v>0</x:v>
      </x:c>
      <x:c r="L8" s="62" t="str">
        <x:f>IF(J8&gt;0,IF(AND(J8=1,I8=1,K8=1),"SELECTED","INVALID"),IF(AND(K8=1,H8&gt;0),"COMPARISON OPEN","EVIDENCE NOT EARNED"))</x:f>
        <x:v>EVIDENCE NOT EARNED</x:v>
      </x:c>
      <x:c r="M8" s="62" t="str">
        <x:v>Select only after all three forms have comparable valid evidence or rivals validly fail; a strict noncompensatory warrant is required; ties remain plural.</x:v>
      </x:c>
      <x:c r="N8" s="62" t="str">
        <x:v>NO SELECTION AUTHORITY</x:v>
      </x:c>
    </x:row>
    <x:row r="9">
      <x:c r="A9" s="62" t="str">
        <x:v>MS-HU</x:v>
      </x:c>
      <x:c r="B9" s="62" t="str">
        <x:v>HU-A</x:v>
      </x:c>
      <x:c r="C9" s="62" t="str">
        <x:v>Complete clinical island</x:v>
      </x:c>
      <x:c r="D9" s="63" t="n">
        <x:f>COUNTIF('Form Covenant'!$B$5:$B$22,B9)</x:f>
        <x:v>3</x:v>
      </x:c>
      <x:c r="E9" s="63" t="n">
        <x:f>COUNTIFS('Form Covenant'!$B$5:$B$22,B9,'Form Covenant'!$Q$5:$Q$22,"UNTRIED")</x:f>
        <x:v>3</x:v>
      </x:c>
      <x:c r="F9" s="63" t="n">
        <x:f>COUNTIFS('Form Covenant'!$B$5:$B$22,B9,'Form Covenant'!$Q$5:$Q$22,"HOLD")</x:f>
        <x:v>0</x:v>
      </x:c>
      <x:c r="G9" s="63" t="n">
        <x:f>COUNTIFS('Form Covenant'!$B$5:$B$22,B9,'Form Covenant'!$Q$5:$Q$22,"WITHDRAW")</x:f>
        <x:v>0</x:v>
      </x:c>
      <x:c r="H9" s="63" t="n">
        <x:f>COUNTIFS('Form Covenant'!$B$5:$B$22,B9,'Form Covenant'!$Q$5:$Q$22,"SURVIVOR")</x:f>
        <x:v>0</x:v>
      </x:c>
      <x:c r="I9" s="63" t="n">
        <x:f>SUMIFS('Form Covenant'!$O$5:$O$22,'Form Covenant'!$B$5:$B$22,B9)</x:f>
        <x:v>0</x:v>
      </x:c>
      <x:c r="J9" s="63" t="n">
        <x:f>SUMIFS('Form Covenant'!$P$5:$P$22,'Form Covenant'!$B$5:$B$22,B9)</x:f>
        <x:v>0</x:v>
      </x:c>
      <x:c r="K9" s="63" t="n">
        <x:f>IF(E9+F9=0,1,0)</x:f>
        <x:v>0</x:v>
      </x:c>
      <x:c r="L9" s="62" t="str">
        <x:f>IF(J9&gt;0,IF(AND(J9=1,I9=1,K9=1),"SELECTED","INVALID"),IF(AND(K9=1,H9&gt;0),"COMPARISON OPEN","EVIDENCE NOT EARNED"))</x:f>
        <x:v>EVIDENCE NOT EARNED</x:v>
      </x:c>
      <x:c r="M9" s="62" t="str">
        <x:v>Select only after all three forms have comparable valid evidence or rivals validly fail; a strict noncompensatory warrant is required; ties remain plural.</x:v>
      </x:c>
      <x:c r="N9" s="62" t="str">
        <x:v>NO SELECTION AUTHORITY</x:v>
      </x:c>
    </x:row>
    <x:row r="10">
      <x:c r="A10" s="64" t="str">
        <x:v>MS-RT</x:v>
      </x:c>
      <x:c r="B10" s="64" t="str">
        <x:v>RT-B</x:v>
      </x:c>
      <x:c r="C10" s="64" t="str">
        <x:v>Disconnected microfactory mesh</x:v>
      </x:c>
      <x:c r="D10" s="71" t="n">
        <x:f>COUNTIF('Form Covenant'!$B$5:$B$22,B10)</x:f>
        <x:v>3</x:v>
      </x:c>
      <x:c r="E10" s="71" t="n">
        <x:f>COUNTIFS('Form Covenant'!$B$5:$B$22,B10,'Form Covenant'!$Q$5:$Q$22,"UNTRIED")</x:f>
        <x:v>3</x:v>
      </x:c>
      <x:c r="F10" s="71" t="n">
        <x:f>COUNTIFS('Form Covenant'!$B$5:$B$22,B10,'Form Covenant'!$Q$5:$Q$22,"HOLD")</x:f>
        <x:v>0</x:v>
      </x:c>
      <x:c r="G10" s="71" t="n">
        <x:f>COUNTIFS('Form Covenant'!$B$5:$B$22,B10,'Form Covenant'!$Q$5:$Q$22,"WITHDRAW")</x:f>
        <x:v>0</x:v>
      </x:c>
      <x:c r="H10" s="71" t="n">
        <x:f>COUNTIFS('Form Covenant'!$B$5:$B$22,B10,'Form Covenant'!$Q$5:$Q$22,"SURVIVOR")</x:f>
        <x:v>0</x:v>
      </x:c>
      <x:c r="I10" s="71" t="n">
        <x:f>SUMIFS('Form Covenant'!$O$5:$O$22,'Form Covenant'!$B$5:$B$22,B10)</x:f>
        <x:v>0</x:v>
      </x:c>
      <x:c r="J10" s="71" t="n">
        <x:f>SUMIFS('Form Covenant'!$P$5:$P$22,'Form Covenant'!$B$5:$B$22,B10)</x:f>
        <x:v>0</x:v>
      </x:c>
      <x:c r="K10" s="71" t="n">
        <x:f>IF(E10+F10=0,1,0)</x:f>
        <x:v>0</x:v>
      </x:c>
      <x:c r="L10" s="64" t="str">
        <x:f>IF(J10&gt;0,IF(AND(J10=1,I10=1,K10=1),"SELECTED","INVALID"),IF(AND(K10=1,H10&gt;0),"COMPARISON OPEN","EVIDENCE NOT EARNED"))</x:f>
        <x:v>EVIDENCE NOT EARNED</x:v>
      </x:c>
      <x:c r="M10" s="64" t="str">
        <x:v>Select only after all three forms have comparable valid evidence or rivals validly fail; a strict noncompensatory warrant is required; ties remain plural.</x:v>
      </x:c>
      <x:c r="N10" s="64" t="str">
        <x:v>NO SELECTION AUTHORITY</x:v>
      </x:c>
    </x:row>
  </x:sheetData>
  <x:mergeCells>
    <x:mergeCell ref="A2:N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5" hidden="0" customWidth="1"/>
    <x:col min="3" max="3" width="18" hidden="0" customWidth="1"/>
    <x:col min="4" max="4" width="58" hidden="0" customWidth="1"/>
    <x:col min="5" max="5" width="58" hidden="0" customWidth="1"/>
    <x:col min="6" max="6" width="50" hidden="0" customWidth="1"/>
    <x:col min="7" max="7" width="20" hidden="0" customWidth="1"/>
  </x:cols>
  <x:sheetData>
    <x:row r="2">
      <x:c r="A2" s="56" t="str">
        <x:v>Noncompensatory evidence and selection state machine</x:v>
      </x:c>
      <x:c r="B2" s="57"/>
      <x:c r="C2" s="57"/>
      <x:c r="D2" s="57"/>
      <x:c r="E2" s="57"/>
      <x:c r="F2" s="57"/>
      <x:c r="G2" s="57"/>
    </x:row>
    <x:row r="3">
      <x:c r="A3" s="58"/>
      <x:c r="B3" s="58"/>
      <x:c r="C3" s="58"/>
      <x:c r="D3" s="58"/>
      <x:c r="E3" s="58"/>
      <x:c r="F3" s="58"/>
      <x:c r="G3" s="58"/>
    </x:row>
    <x:row r="4" ht="32" customHeight="1">
      <x:c r="A4" s="14" t="str">
        <x:v>From</x:v>
      </x:c>
      <x:c r="B4" s="15" t="str">
        <x:v>Trigger</x:v>
      </x:c>
      <x:c r="C4" s="15" t="str">
        <x:v>To</x:v>
      </x:c>
      <x:c r="D4" s="15" t="str">
        <x:v>Permitted action</x:v>
      </x:c>
      <x:c r="E4" s="15" t="str">
        <x:v>Prohibited shortcut</x:v>
      </x:c>
      <x:c r="F4" s="15" t="str">
        <x:v>Re-entry rule</x:v>
      </x:c>
      <x:c r="G4" s="16" t="str">
        <x:v>Authority</x:v>
      </x:c>
    </x:row>
    <x:row r="5">
      <x:c r="A5" s="59" t="str">
        <x:v>UNTRIED</x:v>
      </x:c>
      <x:c r="B5" s="59" t="str">
        <x:v>event invalid, ambiguous or unscoped</x:v>
      </x:c>
      <x:c r="C5" s="59" t="str">
        <x:v>HOLD</x:v>
      </x:c>
      <x:c r="D5" s="59" t="str">
        <x:v>correct the declared invalidity</x:v>
      </x:c>
      <x:c r="E5" s="59" t="str">
        <x:v>count an invalid run as pass or fail</x:v>
      </x:c>
      <x:c r="F5" s="59" t="str">
        <x:v>repeat the exact event only</x:v>
      </x:c>
      <x:c r="G5" s="59" t="str">
        <x:v>Pass 225</x:v>
      </x:c>
    </x:row>
    <x:row r="6">
      <x:c r="A6" s="62" t="str">
        <x:v>UNTRIED / HOLD</x:v>
      </x:c>
      <x:c r="B6" s="62" t="str">
        <x:v>one accepted admissible domain FAIL</x:v>
      </x:c>
      <x:c r="C6" s="62" t="str">
        <x:v>WITHDRAW</x:v>
      </x:c>
      <x:c r="D6" s="62" t="str">
        <x:v>stop conversion and preserve record</x:v>
      </x:c>
      <x:c r="E6" s="62" t="str">
        <x:v>offset failure with another domain</x:v>
      </x:c>
      <x:c r="F6" s="62" t="str">
        <x:v>none; a replacement form is a new branch</x:v>
      </x:c>
      <x:c r="G6" s="62" t="str">
        <x:v>Pass 225</x:v>
      </x:c>
    </x:row>
    <x:row r="7">
      <x:c r="A7" s="62" t="str">
        <x:v>UNTRIED / HOLD</x:v>
      </x:c>
      <x:c r="B7" s="62" t="str">
        <x:v>all six domains accepted PASS</x:v>
      </x:c>
      <x:c r="C7" s="62" t="str">
        <x:v>SURVIVOR</x:v>
      </x:c>
      <x:c r="D7" s="62" t="str">
        <x:v>enter root comparison</x:v>
      </x:c>
      <x:c r="E7" s="62" t="str">
        <x:v>call the form selected</x:v>
      </x:c>
      <x:c r="F7" s="62" t="str">
        <x:v>repeat only a pre-registered decisive test</x:v>
      </x:c>
      <x:c r="G7" s="62" t="str">
        <x:v>Pass 225</x:v>
      </x:c>
    </x:row>
    <x:row r="8">
      <x:c r="A8" s="62" t="str">
        <x:v>SURVIVOR</x:v>
      </x:c>
      <x:c r="B8" s="62" t="str">
        <x:v>strict noncompensatory comparative warrant</x:v>
      </x:c>
      <x:c r="C8" s="62" t="str">
        <x:v>SELECTABLE</x:v>
      </x:c>
      <x:c r="D8" s="62" t="str">
        <x:v>submit independent selection warrant</x:v>
      </x:c>
      <x:c r="E8" s="62" t="str">
        <x:v>weighted score or committee preference</x:v>
      </x:c>
      <x:c r="F8" s="62" t="str">
        <x:v>return to SURVIVOR if warrant fails</x:v>
      </x:c>
      <x:c r="G8" s="62" t="str">
        <x:v>Pass 225</x:v>
      </x:c>
    </x:row>
    <x:row r="9">
      <x:c r="A9" s="62" t="str">
        <x:v>SELECTABLE</x:v>
      </x:c>
      <x:c r="B9" s="62" t="str">
        <x:v>independent warrant accepted and root evidence complete</x:v>
      </x:c>
      <x:c r="C9" s="62" t="str">
        <x:v>SELECTED</x:v>
      </x:c>
      <x:c r="D9" s="62" t="str">
        <x:v>authorize only the bounded form decision</x:v>
      </x:c>
      <x:c r="E9" s="62" t="str">
        <x:v>infer capability, production or fleet readiness</x:v>
      </x:c>
      <x:c r="F9" s="62" t="str">
        <x:v>reopen only under declared anomaly rule</x:v>
      </x:c>
      <x:c r="G9" s="62" t="str">
        <x:v>Pass 225</x:v>
      </x:c>
    </x:row>
    <x:row r="10">
      <x:c r="A10" s="62" t="str">
        <x:v>ANY</x:v>
      </x:c>
      <x:c r="B10" s="62" t="str">
        <x:v>missing ancestry, denominator or receiver acceptance</x:v>
      </x:c>
      <x:c r="C10" s="62" t="str">
        <x:v>HOLD</x:v>
      </x:c>
      <x:c r="D10" s="62" t="str">
        <x:v>quarantine the claim</x:v>
      </x:c>
      <x:c r="E10" s="62" t="str">
        <x:v>impute or aesthetically infer evidence</x:v>
      </x:c>
      <x:c r="F10" s="62" t="str">
        <x:v>repeat the exact event after correction</x:v>
      </x:c>
      <x:c r="G10" s="62" t="str">
        <x:v>Pass 225</x:v>
      </x:c>
    </x:row>
    <x:row r="11">
      <x:c r="A11" s="64" t="str">
        <x:v>SELECTED</x:v>
      </x:c>
      <x:c r="B11" s="64" t="str">
        <x:v>production, fielding or export claim</x:v>
      </x:c>
      <x:c r="C11" s="64" t="str">
        <x:v>OUT OF SCOPE</x:v>
      </x:c>
      <x:c r="D11" s="64" t="str">
        <x:v>open a separately warranted decision</x:v>
      </x:c>
      <x:c r="E11" s="64" t="str">
        <x:v>convert selection into acquisition authority</x:v>
      </x:c>
      <x:c r="F11" s="64" t="str">
        <x:v>not applicable</x:v>
      </x:c>
      <x:c r="G11" s="64" t="str">
        <x:v>Pass 225</x:v>
      </x:c>
    </x:row>
  </x:sheetData>
  <x:mergeCells>
    <x:mergeCell ref="A2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42" hidden="0" customWidth="1"/>
    <x:col min="4" max="4" width="23" hidden="0" customWidth="1"/>
    <x:col min="5" max="5" width="17" hidden="0" customWidth="1"/>
    <x:col min="6" max="6" width="25" hidden="0" customWidth="1"/>
    <x:col min="7" max="7" width="26" hidden="0" customWidth="1"/>
    <x:col min="8" max="8" width="18" hidden="0" customWidth="1"/>
    <x:col min="9" max="9" width="16" hidden="0" customWidth="1"/>
    <x:col min="10" max="10" width="26" hidden="0" customWidth="1"/>
    <x:col min="11" max="11" width="18" hidden="0" customWidth="1"/>
  </x:cols>
  <x:sheetData>
    <x:row r="2">
      <x:c r="A2" s="56" t="str">
        <x:v>Selection covenant adds no financial authority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  <x:c r="K3" s="58"/>
    </x:row>
    <x:row r="4" ht="32" customHeight="1">
      <x:c r="A4" s="14" t="str">
        <x:v>System</x:v>
      </x:c>
      <x:c r="B4" s="15" t="str">
        <x:v>Root</x:v>
      </x:c>
      <x:c r="C4" s="15" t="str">
        <x:v>Article</x:v>
      </x:c>
      <x:c r="D4" s="15" t="str">
        <x:v>Option ceiling USD B</x:v>
      </x:c>
      <x:c r="E4" s="15" t="str">
        <x:v>FRAME share</x:v>
      </x:c>
      <x:c r="F4" s="15" t="str">
        <x:v>Maximum FRAME USD B</x:v>
      </x:c>
      <x:c r="G4" s="15" t="str">
        <x:v>Incremental covenant USD B</x:v>
      </x:c>
      <x:c r="H4" s="15" t="str">
        <x:v>Accepted USD B</x:v>
      </x:c>
      <x:c r="I4" s="15" t="str">
        <x:v>Paid USD B</x:v>
      </x:c>
      <x:c r="J4" s="15" t="str">
        <x:v>Root disposition</x:v>
      </x:c>
      <x:c r="K4" s="16" t="str">
        <x:v>Financial state</x:v>
      </x:c>
    </x:row>
    <x:row r="5">
      <x:c r="A5" s="59" t="str">
        <x:v>MS-ET</x:v>
      </x:c>
      <x:c r="B5" s="59" t="str">
        <x:v>ET-A</x:v>
      </x:c>
      <x:c r="C5" s="59" t="str">
        <x:v>Pelagic exchange cell</x:v>
      </x:c>
      <x:c r="D5" s="72" t="n">
        <x:v>0.50047461808185</x:v>
      </x:c>
      <x:c r="E5" s="73" t="n">
        <x:f>Controls!$B$11</x:f>
        <x:v>0.15</x:v>
      </x:c>
      <x:c r="F5" s="72" t="n">
        <x:f>D5*E5</x:f>
        <x:v>0.0750711927122775</x:v>
      </x:c>
      <x:c r="G5" s="72" t="n">
        <x:f>Controls!$B$16</x:f>
        <x:v>0</x:v>
      </x:c>
      <x:c r="H5" s="72" t="n">
        <x:v>0</x:v>
      </x:c>
      <x:c r="I5" s="72" t="n">
        <x:v>0</x:v>
      </x:c>
      <x:c r="J5" s="59" t="str">
        <x:f>'Root Tournament'!L5</x:f>
        <x:v>EVIDENCE NOT EARNED</x:v>
      </x:c>
      <x:c r="K5" s="59" t="str">
        <x:f>IF(OR(G5&gt;0,H5&gt;0,I5&gt;0,J5="SELECTED"),"INVALID","HELD")</x:f>
        <x:v>HELD</x:v>
      </x:c>
    </x:row>
    <x:row r="6">
      <x:c r="A6" s="62" t="str">
        <x:v>MS-CT</x:v>
      </x:c>
      <x:c r="B6" s="62" t="str">
        <x:v>CT-C</x:v>
      </x:c>
      <x:c r="C6" s="62" t="str">
        <x:v>Occupied-building utility-spine sector</x:v>
      </x:c>
      <x:c r="D6" s="74" t="n">
        <x:v>0.51649348177396</x:v>
      </x:c>
      <x:c r="E6" s="75" t="n">
        <x:f>Controls!$B$11</x:f>
        <x:v>0.15</x:v>
      </x:c>
      <x:c r="F6" s="74" t="n">
        <x:f>D6*E6</x:f>
        <x:v>0.077474022266094</x:v>
      </x:c>
      <x:c r="G6" s="74" t="n">
        <x:f>Controls!$B$16</x:f>
        <x:v>0</x:v>
      </x:c>
      <x:c r="H6" s="74" t="n">
        <x:v>0</x:v>
      </x:c>
      <x:c r="I6" s="74" t="n">
        <x:v>0</x:v>
      </x:c>
      <x:c r="J6" s="62" t="str">
        <x:f>'Root Tournament'!L6</x:f>
        <x:v>EVIDENCE NOT EARNED</x:v>
      </x:c>
      <x:c r="K6" s="62" t="str">
        <x:f>IF(OR(G6&gt;0,H6&gt;0,I6&gt;0,J6="SELECTED"),"INVALID","HELD")</x:f>
        <x:v>HELD</x:v>
      </x:c>
    </x:row>
    <x:row r="7">
      <x:c r="A7" s="62" t="str">
        <x:v>MS-HC</x:v>
      </x:c>
      <x:c r="B7" s="62" t="str">
        <x:v>HC-A</x:v>
      </x:c>
      <x:c r="C7" s="62" t="str">
        <x:v>Atmospheric intervention cell</x:v>
      </x:c>
      <x:c r="D7" s="74" t="n">
        <x:v>0.307221654067133</x:v>
      </x:c>
      <x:c r="E7" s="75" t="n">
        <x:f>Controls!$B$11</x:f>
        <x:v>0.15</x:v>
      </x:c>
      <x:c r="F7" s="74" t="n">
        <x:f>D7*E7</x:f>
        <x:v>0.046083248110069946</x:v>
      </x:c>
      <x:c r="G7" s="74" t="n">
        <x:f>Controls!$B$16</x:f>
        <x:v>0</x:v>
      </x:c>
      <x:c r="H7" s="74" t="n">
        <x:v>0</x:v>
      </x:c>
      <x:c r="I7" s="74" t="n">
        <x:v>0</x:v>
      </x:c>
      <x:c r="J7" s="62" t="str">
        <x:f>'Root Tournament'!L7</x:f>
        <x:v>EVIDENCE NOT EARNED</x:v>
      </x:c>
      <x:c r="K7" s="62" t="str">
        <x:f>IF(OR(G7&gt;0,H7&gt;0,I7&gt;0,J7="SELECTED"),"INVALID","HELD")</x:f>
        <x:v>HELD</x:v>
      </x:c>
    </x:row>
    <x:row r="8">
      <x:c r="A8" s="62" t="str">
        <x:v>MS-LF</x:v>
      </x:c>
      <x:c r="B8" s="62" t="str">
        <x:v>LF-B</x:v>
      </x:c>
      <x:c r="C8" s="62" t="str">
        <x:v>Geothermal source position</x:v>
      </x:c>
      <x:c r="D8" s="74" t="n">
        <x:v>0.899412819320565</x:v>
      </x:c>
      <x:c r="E8" s="75" t="n">
        <x:f>Controls!$B$11</x:f>
        <x:v>0.15</x:v>
      </x:c>
      <x:c r="F8" s="74" t="n">
        <x:f>D8*E8</x:f>
        <x:v>0.13491192289808476</x:v>
      </x:c>
      <x:c r="G8" s="74" t="n">
        <x:f>Controls!$B$16</x:f>
        <x:v>0</x:v>
      </x:c>
      <x:c r="H8" s="74" t="n">
        <x:v>0</x:v>
      </x:c>
      <x:c r="I8" s="74" t="n">
        <x:v>0</x:v>
      </x:c>
      <x:c r="J8" s="62" t="str">
        <x:f>'Root Tournament'!L8</x:f>
        <x:v>EVIDENCE NOT EARNED</x:v>
      </x:c>
      <x:c r="K8" s="62" t="str">
        <x:f>IF(OR(G8&gt;0,H8&gt;0,I8&gt;0,J8="SELECTED"),"INVALID","HELD")</x:f>
        <x:v>HELD</x:v>
      </x:c>
    </x:row>
    <x:row r="9">
      <x:c r="A9" s="62" t="str">
        <x:v>MS-HU</x:v>
      </x:c>
      <x:c r="B9" s="62" t="str">
        <x:v>HU-A</x:v>
      </x:c>
      <x:c r="C9" s="62" t="str">
        <x:v>Complete clinical island</x:v>
      </x:c>
      <x:c r="D9" s="74" t="n">
        <x:v>0.860712452941095</x:v>
      </x:c>
      <x:c r="E9" s="75" t="n">
        <x:f>Controls!$B$11</x:f>
        <x:v>0.15</x:v>
      </x:c>
      <x:c r="F9" s="74" t="n">
        <x:f>D9*E9</x:f>
        <x:v>0.12910686794116424</x:v>
      </x:c>
      <x:c r="G9" s="74" t="n">
        <x:f>Controls!$B$16</x:f>
        <x:v>0</x:v>
      </x:c>
      <x:c r="H9" s="74" t="n">
        <x:v>0</x:v>
      </x:c>
      <x:c r="I9" s="74" t="n">
        <x:v>0</x:v>
      </x:c>
      <x:c r="J9" s="62" t="str">
        <x:f>'Root Tournament'!L9</x:f>
        <x:v>EVIDENCE NOT EARNED</x:v>
      </x:c>
      <x:c r="K9" s="62" t="str">
        <x:f>IF(OR(G9&gt;0,H9&gt;0,I9&gt;0,J9="SELECTED"),"INVALID","HELD")</x:f>
        <x:v>HELD</x:v>
      </x:c>
    </x:row>
    <x:row r="10">
      <x:c r="A10" s="62" t="str">
        <x:v>MS-RT</x:v>
      </x:c>
      <x:c r="B10" s="62" t="str">
        <x:v>RT-B</x:v>
      </x:c>
      <x:c r="C10" s="62" t="str">
        <x:v>Disconnected microfactory mesh</x:v>
      </x:c>
      <x:c r="D10" s="74" t="n">
        <x:v>0.502597793135963</x:v>
      </x:c>
      <x:c r="E10" s="75" t="n">
        <x:f>Controls!$B$11</x:f>
        <x:v>0.15</x:v>
      </x:c>
      <x:c r="F10" s="74" t="n">
        <x:f>D10*E10</x:f>
        <x:v>0.07538966897039444</x:v>
      </x:c>
      <x:c r="G10" s="74" t="n">
        <x:f>Controls!$B$16</x:f>
        <x:v>0</x:v>
      </x:c>
      <x:c r="H10" s="74" t="n">
        <x:v>0</x:v>
      </x:c>
      <x:c r="I10" s="74" t="n">
        <x:v>0</x:v>
      </x:c>
      <x:c r="J10" s="62" t="str">
        <x:f>'Root Tournament'!L10</x:f>
        <x:v>EVIDENCE NOT EARNED</x:v>
      </x:c>
      <x:c r="K10" s="62" t="str">
        <x:f>IF(OR(G10&gt;0,H10&gt;0,I10&gt;0,J10="SELECTED"),"INVALID","HELD")</x:f>
        <x:v>HELD</x:v>
      </x:c>
    </x:row>
    <x:row r="11">
      <x:c r="A11" s="76" t="str">
        <x:v>TOTAL</x:v>
      </x:c>
      <x:c r="B11" s="76" t="str">
        <x:v>six roots</x:v>
      </x:c>
      <x:c r="C11" s="76" t="str">
        <x:v>selection covenant</x:v>
      </x:c>
      <x:c r="D11" s="77" t="n">
        <x:f>SUM(D5:D10)</x:f>
        <x:v>3.586912819320566</x:v>
      </x:c>
      <x:c r="E11" s="76"/>
      <x:c r="F11" s="78" t="n">
        <x:f>SUM(F5:F10)</x:f>
        <x:v>0.5380369228980849</x:v>
      </x:c>
      <x:c r="G11" s="78" t="n">
        <x:f>SUM(G5:G10)</x:f>
        <x:v>0</x:v>
      </x:c>
      <x:c r="H11" s="78" t="n">
        <x:f>SUM(H5:H10)</x:f>
        <x:v>0</x:v>
      </x:c>
      <x:c r="I11" s="78" t="n">
        <x:f>SUM(I5:I10)</x:f>
        <x:v>0</x:v>
      </x:c>
      <x:c r="J11" s="76" t="str">
        <x:v>returned parent</x:v>
      </x:c>
      <x:c r="K11" s="76" t="str">
        <x:v>HELD</x:v>
      </x:c>
    </x:row>
  </x:sheetData>
  <x:mergeCells>
    <x:mergeCell ref="A2:K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8" hidden="0" customWidth="1"/>
    <x:col min="3" max="3" width="54" hidden="0" customWidth="1"/>
    <x:col min="4" max="4" width="14" hidden="0" customWidth="1"/>
    <x:col min="5" max="5" width="14" hidden="0" customWidth="1"/>
  </x:cols>
  <x:sheetData>
    <x:row r="2">
      <x:c r="A2" s="56" t="str">
        <x:v>Mutation-test register</x:v>
      </x:c>
      <x:c r="B2" s="57"/>
      <x:c r="C2" s="57"/>
      <x:c r="D2" s="57"/>
      <x:c r="E2" s="57"/>
    </x:row>
    <x:row r="3">
      <x:c r="A3" s="58"/>
      <x:c r="B3" s="58"/>
      <x:c r="C3" s="58"/>
      <x:c r="D3" s="58"/>
      <x:c r="E3" s="58"/>
    </x:row>
    <x:row r="4" ht="32" customHeight="1">
      <x:c r="A4" s="14" t="str">
        <x:v>Mutation</x:v>
      </x:c>
      <x:c r="B4" s="15" t="str">
        <x:v>Controlled change</x:v>
      </x:c>
      <x:c r="C4" s="15" t="str">
        <x:v>Expected detection</x:v>
      </x:c>
      <x:c r="D4" s="15" t="str">
        <x:v>Detected</x:v>
      </x:c>
      <x:c r="E4" s="16" t="str">
        <x:v>Restored</x:v>
      </x:c>
    </x:row>
    <x:row r="5">
      <x:c r="A5" s="59" t="str">
        <x:v>M01</x:v>
      </x:c>
      <x:c r="B5" s="59" t="str">
        <x:v>duplicate form ID</x:v>
      </x:c>
      <x:c r="C5" s="59" t="str">
        <x:v>unique-form audit fails</x:v>
      </x:c>
      <x:c r="D5" s="60" t="n">
        <x:v>1</x:v>
      </x:c>
      <x:c r="E5" s="60" t="n">
        <x:v>1</x:v>
      </x:c>
    </x:row>
    <x:row r="6">
      <x:c r="A6" s="62" t="str">
        <x:v>M02</x:v>
      </x:c>
      <x:c r="B6" s="62" t="str">
        <x:v>blank destructive event</x:v>
      </x:c>
      <x:c r="C6" s="62" t="str">
        <x:v>event completeness audit fails</x:v>
      </x:c>
      <x:c r="D6" s="63" t="n">
        <x:v>1</x:v>
      </x:c>
      <x:c r="E6" s="63" t="n">
        <x:v>1</x:v>
      </x:c>
    </x:row>
    <x:row r="7">
      <x:c r="A7" s="62" t="str">
        <x:v>M03</x:v>
      </x:c>
      <x:c r="B7" s="62" t="str">
        <x:v>blank disqualifier</x:v>
      </x:c>
      <x:c r="C7" s="62" t="str">
        <x:v>disqualifier completeness audit fails</x:v>
      </x:c>
      <x:c r="D7" s="63" t="n">
        <x:v>1</x:v>
      </x:c>
      <x:c r="E7" s="63" t="n">
        <x:v>1</x:v>
      </x:c>
    </x:row>
    <x:row r="8">
      <x:c r="A8" s="62" t="str">
        <x:v>M04</x:v>
      </x:c>
      <x:c r="B8" s="62" t="str">
        <x:v>blank nonconversion rule</x:v>
      </x:c>
      <x:c r="C8" s="62" t="str">
        <x:v>nonconversion audit fails</x:v>
      </x:c>
      <x:c r="D8" s="63" t="n">
        <x:v>1</x:v>
      </x:c>
      <x:c r="E8" s="63" t="n">
        <x:v>1</x:v>
      </x:c>
    </x:row>
    <x:row r="9">
      <x:c r="A9" s="62" t="str">
        <x:v>M05</x:v>
      </x:c>
      <x:c r="B9" s="62" t="str">
        <x:v>accept PASS without accepting authority</x:v>
      </x:c>
      <x:c r="C9" s="62" t="str">
        <x:v>state remains UNTRIED</x:v>
      </x:c>
      <x:c r="D9" s="63" t="n">
        <x:v>1</x:v>
      </x:c>
      <x:c r="E9" s="63" t="n">
        <x:v>1</x:v>
      </x:c>
    </x:row>
    <x:row r="10">
      <x:c r="A10" s="62" t="str">
        <x:v>M06</x:v>
      </x:c>
      <x:c r="B10" s="62" t="str">
        <x:v>accept one admissible FAIL</x:v>
      </x:c>
      <x:c r="C10" s="62" t="str">
        <x:v>form becomes WITHDRAW</x:v>
      </x:c>
      <x:c r="D10" s="63" t="n">
        <x:v>1</x:v>
      </x:c>
      <x:c r="E10" s="63" t="n">
        <x:v>1</x:v>
      </x:c>
    </x:row>
    <x:row r="11">
      <x:c r="A11" s="62" t="str">
        <x:v>M07</x:v>
      </x:c>
      <x:c r="B11" s="62" t="str">
        <x:v>accept all six PASS</x:v>
      </x:c>
      <x:c r="C11" s="62" t="str">
        <x:v>form becomes SURVIVOR</x:v>
      </x:c>
      <x:c r="D11" s="63" t="n">
        <x:v>1</x:v>
      </x:c>
      <x:c r="E11" s="63" t="n">
        <x:v>1</x:v>
      </x:c>
    </x:row>
    <x:row r="12">
      <x:c r="A12" s="62" t="str">
        <x:v>M08</x:v>
      </x:c>
      <x:c r="B12" s="62" t="str">
        <x:v>set warrant before root evidence complete</x:v>
      </x:c>
      <x:c r="C12" s="62" t="str">
        <x:v>root remains unselected</x:v>
      </x:c>
      <x:c r="D12" s="63" t="n">
        <x:v>1</x:v>
      </x:c>
      <x:c r="E12" s="63" t="n">
        <x:v>1</x:v>
      </x:c>
    </x:row>
    <x:row r="13">
      <x:c r="A13" s="62" t="str">
        <x:v>M09</x:v>
      </x:c>
      <x:c r="B13" s="62" t="str">
        <x:v>directly select one form</x:v>
      </x:c>
      <x:c r="C13" s="62" t="str">
        <x:v>zero-selection audit fails</x:v>
      </x:c>
      <x:c r="D13" s="63" t="n">
        <x:v>1</x:v>
      </x:c>
      <x:c r="E13" s="63" t="n">
        <x:v>1</x:v>
      </x:c>
    </x:row>
    <x:row r="14">
      <x:c r="A14" s="62" t="str">
        <x:v>M10</x:v>
      </x:c>
      <x:c r="B14" s="62" t="str">
        <x:v>enter accepted baseline evidence</x:v>
      </x:c>
      <x:c r="C14" s="62" t="str">
        <x:v>zero-evidence audit fails</x:v>
      </x:c>
      <x:c r="D14" s="63" t="n">
        <x:v>1</x:v>
      </x:c>
      <x:c r="E14" s="63" t="n">
        <x:v>1</x:v>
      </x:c>
    </x:row>
    <x:row r="15">
      <x:c r="A15" s="62" t="str">
        <x:v>M11</x:v>
      </x:c>
      <x:c r="B15" s="62" t="str">
        <x:v>duplicate a form-domain pair</x:v>
      </x:c>
      <x:c r="C15" s="62" t="str">
        <x:v>domain uniqueness audit fails</x:v>
      </x:c>
      <x:c r="D15" s="63" t="n">
        <x:v>1</x:v>
      </x:c>
      <x:c r="E15" s="63" t="n">
        <x:v>1</x:v>
      </x:c>
    </x:row>
    <x:row r="16">
      <x:c r="A16" s="62" t="str">
        <x:v>M12</x:v>
      </x:c>
      <x:c r="B16" s="62" t="str">
        <x:v>blank one evidence record</x:v>
      </x:c>
      <x:c r="C16" s="62" t="str">
        <x:v>record-count audit fails</x:v>
      </x:c>
      <x:c r="D16" s="63" t="n">
        <x:v>1</x:v>
      </x:c>
      <x:c r="E16" s="63" t="n">
        <x:v>1</x:v>
      </x:c>
    </x:row>
    <x:row r="17">
      <x:c r="A17" s="62" t="str">
        <x:v>M13</x:v>
      </x:c>
      <x:c r="B17" s="62" t="str">
        <x:v>unmap one technology campaign</x:v>
      </x:c>
      <x:c r="C17" s="62" t="str">
        <x:v>campaign mapping audit fails</x:v>
      </x:c>
      <x:c r="D17" s="63" t="n">
        <x:v>1</x:v>
      </x:c>
      <x:c r="E17" s="63" t="n">
        <x:v>1</x:v>
      </x:c>
    </x:row>
    <x:row r="18">
      <x:c r="A18" s="62" t="str">
        <x:v>M14</x:v>
      </x:c>
      <x:c r="B18" s="62" t="str">
        <x:v>raise FRAME share</x:v>
      </x:c>
      <x:c r="C18" s="62" t="str">
        <x:v>finance conservation audit fails</x:v>
      </x:c>
      <x:c r="D18" s="63" t="n">
        <x:v>1</x:v>
      </x:c>
      <x:c r="E18" s="63" t="n">
        <x:v>1</x:v>
      </x:c>
    </x:row>
    <x:row r="19">
      <x:c r="A19" s="62" t="str">
        <x:v>M15</x:v>
      </x:c>
      <x:c r="B19" s="62" t="str">
        <x:v>enter incremental covenant money</x:v>
      </x:c>
      <x:c r="C19" s="62" t="str">
        <x:v>finance hold audit fails</x:v>
      </x:c>
      <x:c r="D19" s="63" t="n">
        <x:v>1</x:v>
      </x:c>
      <x:c r="E19" s="63" t="n">
        <x:v>1</x:v>
      </x:c>
    </x:row>
    <x:row r="20">
      <x:c r="A20" s="64" t="str">
        <x:v>M16</x:v>
      </x:c>
      <x:c r="B20" s="64" t="str">
        <x:v>enter a branch kill</x:v>
      </x:c>
      <x:c r="C20" s="64" t="str">
        <x:v>branch-kill audit fails</x:v>
      </x:c>
      <x:c r="D20" s="71" t="n">
        <x:v>1</x:v>
      </x:c>
      <x:c r="E20" s="71" t="n">
        <x:v>1</x:v>
      </x:c>
    </x:row>
  </x:sheetData>
  <x:mergeCells>
    <x:mergeCell ref="A2:E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46" hidden="0" customWidth="1"/>
    <x:col min="3" max="3" width="18" hidden="0" customWidth="1"/>
    <x:col min="4" max="4" width="18" hidden="0" customWidth="1"/>
    <x:col min="5" max="5" width="14" hidden="0" customWidth="1"/>
  </x:cols>
  <x:sheetData>
    <x:row r="2">
      <x:c r="A2" s="56" t="str">
        <x:v>Independent workbook checks</x:v>
      </x:c>
      <x:c r="B2" s="57"/>
      <x:c r="C2" s="57"/>
      <x:c r="D2" s="57"/>
      <x:c r="E2" s="57"/>
    </x:row>
    <x:row r="3">
      <x:c r="A3" s="58"/>
      <x:c r="B3" s="58"/>
      <x:c r="C3" s="58"/>
      <x:c r="D3" s="58"/>
      <x:c r="E3" s="58"/>
    </x:row>
    <x:row r="4" ht="32" customHeight="1">
      <x:c r="A4" s="14" t="str">
        <x:v>Audit</x:v>
      </x:c>
      <x:c r="B4" s="15" t="str">
        <x:v>Check</x:v>
      </x:c>
      <x:c r="C4" s="15" t="str">
        <x:v>Actual</x:v>
      </x:c>
      <x:c r="D4" s="15" t="str">
        <x:v>Expected</x:v>
      </x:c>
      <x:c r="E4" s="16" t="str">
        <x:v>Result</x:v>
      </x:c>
    </x:row>
    <x:row r="5">
      <x:c r="A5" s="59" t="str">
        <x:v>A01</x:v>
      </x:c>
      <x:c r="B5" s="59" t="str">
        <x:v>form count</x:v>
      </x:c>
      <x:c r="C5" s="79" t="n">
        <x:f>COUNTA('Form Covenant'!A5:A22)</x:f>
        <x:v>18</x:v>
      </x:c>
      <x:c r="D5" s="79" t="n">
        <x:v>18</x:v>
      </x:c>
      <x:c r="E5" s="59" t="str">
        <x:f>IF(ABS(C5-D5)&lt;0.0000001,"PASS","FAIL")</x:f>
        <x:v>PASS</x:v>
      </x:c>
    </x:row>
    <x:row r="6">
      <x:c r="A6" s="62" t="str">
        <x:v>A02</x:v>
      </x:c>
      <x:c r="B6" s="62" t="str">
        <x:v>unique form IDs</x:v>
      </x:c>
      <x:c r="C6" s="80" t="n">
        <x:f>COUNTIF('Form Covenant'!N5:N22,1)</x:f>
        <x:v>18</x:v>
      </x:c>
      <x:c r="D6" s="80" t="n">
        <x:v>18</x:v>
      </x:c>
      <x:c r="E6" s="62" t="str">
        <x:f>IF(ABS(C6-D6)&lt;0.0000001,"PASS","FAIL")</x:f>
        <x:v>PASS</x:v>
      </x:c>
    </x:row>
    <x:row r="7">
      <x:c r="A7" s="62" t="str">
        <x:v>A03</x:v>
      </x:c>
      <x:c r="B7" s="62" t="str">
        <x:v>destructive events present</x:v>
      </x:c>
      <x:c r="C7" s="80" t="n">
        <x:f>COUNTIF('Form Covenant'!D5:D22,"&lt;&gt;")</x:f>
        <x:v>18</x:v>
      </x:c>
      <x:c r="D7" s="80" t="n">
        <x:v>18</x:v>
      </x:c>
      <x:c r="E7" s="62" t="str">
        <x:f>IF(ABS(C7-D7)&lt;0.0000001,"PASS","FAIL")</x:f>
        <x:v>PASS</x:v>
      </x:c>
    </x:row>
    <x:row r="8">
      <x:c r="A8" s="62" t="str">
        <x:v>A04</x:v>
      </x:c>
      <x:c r="B8" s="62" t="str">
        <x:v>disqualifiers present</x:v>
      </x:c>
      <x:c r="C8" s="80" t="n">
        <x:f>COUNTIF('Form Covenant'!E5:E22,"&lt;&gt;")</x:f>
        <x:v>18</x:v>
      </x:c>
      <x:c r="D8" s="80" t="n">
        <x:v>18</x:v>
      </x:c>
      <x:c r="E8" s="62" t="str">
        <x:f>IF(ABS(C8-D8)&lt;0.0000001,"PASS","FAIL")</x:f>
        <x:v>PASS</x:v>
      </x:c>
    </x:row>
    <x:row r="9">
      <x:c r="A9" s="62" t="str">
        <x:v>A05</x:v>
      </x:c>
      <x:c r="B9" s="62" t="str">
        <x:v>nonconversion rules present</x:v>
      </x:c>
      <x:c r="C9" s="80" t="n">
        <x:f>COUNTIF('Form Covenant'!F5:F22,"&lt;&gt;")</x:f>
        <x:v>18</x:v>
      </x:c>
      <x:c r="D9" s="80" t="n">
        <x:v>18</x:v>
      </x:c>
      <x:c r="E9" s="62" t="str">
        <x:f>IF(ABS(C9-D9)&lt;0.0000001,"PASS","FAIL")</x:f>
        <x:v>PASS</x:v>
      </x:c>
    </x:row>
    <x:row r="10">
      <x:c r="A10" s="62" t="str">
        <x:v>A06</x:v>
      </x:c>
      <x:c r="B10" s="62" t="str">
        <x:v>event packets</x:v>
      </x:c>
      <x:c r="C10" s="80" t="n">
        <x:f>COUNTA('Event Packets'!A5:A22)</x:f>
        <x:v>18</x:v>
      </x:c>
      <x:c r="D10" s="80" t="n">
        <x:v>18</x:v>
      </x:c>
      <x:c r="E10" s="62" t="str">
        <x:f>IF(ABS(C10-D10)&lt;0.0000001,"PASS","FAIL")</x:f>
        <x:v>PASS</x:v>
      </x:c>
    </x:row>
    <x:row r="11">
      <x:c r="A11" s="62" t="str">
        <x:v>A07</x:v>
      </x:c>
      <x:c r="B11" s="62" t="str">
        <x:v>evidence records</x:v>
      </x:c>
      <x:c r="C11" s="80" t="n">
        <x:f>COUNTA('Evidence Domains'!A5:A112)</x:f>
        <x:v>108</x:v>
      </x:c>
      <x:c r="D11" s="80" t="n">
        <x:v>108</x:v>
      </x:c>
      <x:c r="E11" s="62" t="str">
        <x:f>IF(ABS(C11-D11)&lt;0.0000001,"PASS","FAIL")</x:f>
        <x:v>PASS</x:v>
      </x:c>
    </x:row>
    <x:row r="12">
      <x:c r="A12" s="62" t="str">
        <x:v>A08</x:v>
      </x:c>
      <x:c r="B12" s="62" t="str">
        <x:v>unique evidence IDs</x:v>
      </x:c>
      <x:c r="C12" s="80" t="n">
        <x:f>COUNTIF('Evidence Domains'!M5:M112,1)</x:f>
        <x:v>108</x:v>
      </x:c>
      <x:c r="D12" s="80" t="n">
        <x:v>108</x:v>
      </x:c>
      <x:c r="E12" s="62" t="str">
        <x:f>IF(ABS(C12-D12)&lt;0.0000001,"PASS","FAIL")</x:f>
        <x:v>PASS</x:v>
      </x:c>
    </x:row>
    <x:row r="13">
      <x:c r="A13" s="62" t="str">
        <x:v>A09</x:v>
      </x:c>
      <x:c r="B13" s="62" t="str">
        <x:v>unique form-domain pairs</x:v>
      </x:c>
      <x:c r="C13" s="80" t="n">
        <x:f>COUNTIF('Evidence Domains'!L5:L112,1)</x:f>
        <x:v>108</x:v>
      </x:c>
      <x:c r="D13" s="80" t="n">
        <x:v>108</x:v>
      </x:c>
      <x:c r="E13" s="62" t="str">
        <x:f>IF(ABS(C13-D13)&lt;0.0000001,"PASS","FAIL")</x:f>
        <x:v>PASS</x:v>
      </x:c>
    </x:row>
    <x:row r="14">
      <x:c r="A14" s="62" t="str">
        <x:v>A10</x:v>
      </x:c>
      <x:c r="B14" s="62" t="str">
        <x:v>six domains per form</x:v>
      </x:c>
      <x:c r="C14" s="80" t="n">
        <x:f>COUNTIF('Form Covenant'!H5:H22,6)</x:f>
        <x:v>18</x:v>
      </x:c>
      <x:c r="D14" s="80" t="n">
        <x:v>18</x:v>
      </x:c>
      <x:c r="E14" s="62" t="str">
        <x:f>IF(ABS(C14-D14)&lt;0.0000001,"PASS","FAIL")</x:f>
        <x:v>PASS</x:v>
      </x:c>
    </x:row>
    <x:row r="15">
      <x:c r="A15" s="62" t="str">
        <x:v>A11</x:v>
      </x:c>
      <x:c r="B15" s="62" t="str">
        <x:v>accepted observations</x:v>
      </x:c>
      <x:c r="C15" s="80" t="n">
        <x:f>SUM('Evidence Domains'!I5:I112)</x:f>
        <x:v>0</x:v>
      </x:c>
      <x:c r="D15" s="80" t="n">
        <x:v>0</x:v>
      </x:c>
      <x:c r="E15" s="62" t="str">
        <x:f>IF(ABS(C15-D15)&lt;0.0000001,"PASS","FAIL")</x:f>
        <x:v>PASS</x:v>
      </x:c>
    </x:row>
    <x:row r="16">
      <x:c r="A16" s="62" t="str">
        <x:v>A12</x:v>
      </x:c>
      <x:c r="B16" s="62" t="str">
        <x:v>admissible observations</x:v>
      </x:c>
      <x:c r="C16" s="80" t="n">
        <x:f>SUM('Evidence Domains'!J5:J112)</x:f>
        <x:v>0</x:v>
      </x:c>
      <x:c r="D16" s="80" t="n">
        <x:v>0</x:v>
      </x:c>
      <x:c r="E16" s="62" t="str">
        <x:f>IF(ABS(C16-D16)&lt;0.0000001,"PASS","FAIL")</x:f>
        <x:v>PASS</x:v>
      </x:c>
    </x:row>
    <x:row r="17">
      <x:c r="A17" s="62" t="str">
        <x:v>A13</x:v>
      </x:c>
      <x:c r="B17" s="62" t="str">
        <x:v>UNTRIED domain states</x:v>
      </x:c>
      <x:c r="C17" s="80" t="n">
        <x:f>COUNTIF('Evidence Domains'!K5:K112,"UNTRIED")</x:f>
        <x:v>108</x:v>
      </x:c>
      <x:c r="D17" s="80" t="n">
        <x:v>108</x:v>
      </x:c>
      <x:c r="E17" s="62" t="str">
        <x:f>IF(ABS(C17-D17)&lt;0.0000001,"PASS","FAIL")</x:f>
        <x:v>PASS</x:v>
      </x:c>
    </x:row>
    <x:row r="18">
      <x:c r="A18" s="62" t="str">
        <x:v>A14</x:v>
      </x:c>
      <x:c r="B18" s="62" t="str">
        <x:v>UNTRIED form states</x:v>
      </x:c>
      <x:c r="C18" s="80" t="n">
        <x:f>COUNTIF('Form Covenant'!Q5:Q22,"UNTRIED")</x:f>
        <x:v>18</x:v>
      </x:c>
      <x:c r="D18" s="80" t="n">
        <x:v>18</x:v>
      </x:c>
      <x:c r="E18" s="62" t="str">
        <x:f>IF(ABS(C18-D18)&lt;0.0000001,"PASS","FAIL")</x:f>
        <x:v>PASS</x:v>
      </x:c>
    </x:row>
    <x:row r="19">
      <x:c r="A19" s="62" t="str">
        <x:v>A15</x:v>
      </x:c>
      <x:c r="B19" s="62" t="str">
        <x:v>withdrawn forms</x:v>
      </x:c>
      <x:c r="C19" s="80" t="n">
        <x:f>COUNTIF('Form Covenant'!Q5:Q22,"WITHDRAW")</x:f>
        <x:v>0</x:v>
      </x:c>
      <x:c r="D19" s="80" t="n">
        <x:v>0</x:v>
      </x:c>
      <x:c r="E19" s="62" t="str">
        <x:f>IF(ABS(C19-D19)&lt;0.0000001,"PASS","FAIL")</x:f>
        <x:v>PASS</x:v>
      </x:c>
    </x:row>
    <x:row r="20">
      <x:c r="A20" s="62" t="str">
        <x:v>A16</x:v>
      </x:c>
      <x:c r="B20" s="62" t="str">
        <x:v>survivor forms</x:v>
      </x:c>
      <x:c r="C20" s="80" t="n">
        <x:f>COUNTIF('Form Covenant'!Q5:Q22,"SURVIVOR")</x:f>
        <x:v>0</x:v>
      </x:c>
      <x:c r="D20" s="80" t="n">
        <x:v>0</x:v>
      </x:c>
      <x:c r="E20" s="62" t="str">
        <x:f>IF(ABS(C20-D20)&lt;0.0000001,"PASS","FAIL")</x:f>
        <x:v>PASS</x:v>
      </x:c>
    </x:row>
    <x:row r="21">
      <x:c r="A21" s="62" t="str">
        <x:v>A17</x:v>
      </x:c>
      <x:c r="B21" s="62" t="str">
        <x:v>selection warrants</x:v>
      </x:c>
      <x:c r="C21" s="80" t="n">
        <x:f>SUM('Form Covenant'!O5:O22)</x:f>
        <x:v>0</x:v>
      </x:c>
      <x:c r="D21" s="80" t="n">
        <x:v>0</x:v>
      </x:c>
      <x:c r="E21" s="62" t="str">
        <x:f>IF(ABS(C21-D21)&lt;0.0000001,"PASS","FAIL")</x:f>
        <x:v>PASS</x:v>
      </x:c>
    </x:row>
    <x:row r="22">
      <x:c r="A22" s="62" t="str">
        <x:v>A18</x:v>
      </x:c>
      <x:c r="B22" s="62" t="str">
        <x:v>selected forms</x:v>
      </x:c>
      <x:c r="C22" s="80" t="n">
        <x:f>SUM('Form Covenant'!P5:P22)</x:f>
        <x:v>0</x:v>
      </x:c>
      <x:c r="D22" s="80" t="n">
        <x:v>0</x:v>
      </x:c>
      <x:c r="E22" s="62" t="str">
        <x:f>IF(ABS(C22-D22)&lt;0.0000001,"PASS","FAIL")</x:f>
        <x:v>PASS</x:v>
      </x:c>
    </x:row>
    <x:row r="23">
      <x:c r="A23" s="62" t="str">
        <x:v>A19</x:v>
      </x:c>
      <x:c r="B23" s="62" t="str">
        <x:v>root tournaments</x:v>
      </x:c>
      <x:c r="C23" s="80" t="n">
        <x:f>COUNTA('Root Tournament'!A5:A10)</x:f>
        <x:v>6</x:v>
      </x:c>
      <x:c r="D23" s="80" t="n">
        <x:v>6</x:v>
      </x:c>
      <x:c r="E23" s="62" t="str">
        <x:f>IF(ABS(C23-D23)&lt;0.0000001,"PASS","FAIL")</x:f>
        <x:v>PASS</x:v>
      </x:c>
    </x:row>
    <x:row r="24">
      <x:c r="A24" s="62" t="str">
        <x:v>A20</x:v>
      </x:c>
      <x:c r="B24" s="62" t="str">
        <x:v>root selections</x:v>
      </x:c>
      <x:c r="C24" s="80" t="n">
        <x:f>COUNTIF('Root Tournament'!L5:L10,"SELECTED")</x:f>
        <x:v>0</x:v>
      </x:c>
      <x:c r="D24" s="80" t="n">
        <x:v>0</x:v>
      </x:c>
      <x:c r="E24" s="62" t="str">
        <x:f>IF(ABS(C24-D24)&lt;0.0000001,"PASS","FAIL")</x:f>
        <x:v>PASS</x:v>
      </x:c>
    </x:row>
    <x:row r="25">
      <x:c r="A25" s="62" t="str">
        <x:v>A21</x:v>
      </x:c>
      <x:c r="B25" s="62" t="str">
        <x:v>evidence-not-earned roots</x:v>
      </x:c>
      <x:c r="C25" s="80" t="n">
        <x:f>COUNTIF('Root Tournament'!L5:L10,"EVIDENCE NOT EARNED")</x:f>
        <x:v>6</x:v>
      </x:c>
      <x:c r="D25" s="80" t="n">
        <x:v>6</x:v>
      </x:c>
      <x:c r="E25" s="62" t="str">
        <x:f>IF(ABS(C25-D25)&lt;0.0000001,"PASS","FAIL")</x:f>
        <x:v>PASS</x:v>
      </x:c>
    </x:row>
    <x:row r="26">
      <x:c r="A26" s="62" t="str">
        <x:v>A22</x:v>
      </x:c>
      <x:c r="B26" s="62" t="str">
        <x:v>technology campaigns</x:v>
      </x:c>
      <x:c r="C26" s="80" t="n">
        <x:f>COUNTA('Campaign Stress'!A5:A58)</x:f>
        <x:v>54</x:v>
      </x:c>
      <x:c r="D26" s="80" t="n">
        <x:v>54</x:v>
      </x:c>
      <x:c r="E26" s="62" t="str">
        <x:f>IF(ABS(C26-D26)&lt;0.0000001,"PASS","FAIL")</x:f>
        <x:v>PASS</x:v>
      </x:c>
    </x:row>
    <x:row r="27">
      <x:c r="A27" s="62" t="str">
        <x:v>A23</x:v>
      </x:c>
      <x:c r="B27" s="62" t="str">
        <x:v>three campaigns per form</x:v>
      </x:c>
      <x:c r="C27" s="80" t="n">
        <x:f>COUNTIF('Campaign Stress'!I5:I58,3)/3</x:f>
        <x:v>18</x:v>
      </x:c>
      <x:c r="D27" s="80" t="n">
        <x:v>18</x:v>
      </x:c>
      <x:c r="E27" s="62" t="str">
        <x:f>IF(ABS(C27-D27)&lt;0.0000001,"PASS","FAIL")</x:f>
        <x:v>PASS</x:v>
      </x:c>
    </x:row>
    <x:row r="28">
      <x:c r="A28" s="62" t="str">
        <x:v>A24</x:v>
      </x:c>
      <x:c r="B28" s="62" t="str">
        <x:v>unique campaign IDs</x:v>
      </x:c>
      <x:c r="C28" s="80" t="n">
        <x:f>COUNTIF('Campaign Stress'!J5:J58,1)</x:f>
        <x:v>54</x:v>
      </x:c>
      <x:c r="D28" s="80" t="n">
        <x:v>54</x:v>
      </x:c>
      <x:c r="E28" s="62" t="str">
        <x:f>IF(ABS(C28-D28)&lt;0.0000001,"PASS","FAIL")</x:f>
        <x:v>PASS</x:v>
      </x:c>
    </x:row>
    <x:row r="29">
      <x:c r="A29" s="62" t="str">
        <x:v>A25</x:v>
      </x:c>
      <x:c r="B29" s="62" t="str">
        <x:v>untried campaigns</x:v>
      </x:c>
      <x:c r="C29" s="80" t="n">
        <x:f>COUNTIF('Campaign Stress'!H5:H58,"UNTRIED")</x:f>
        <x:v>54</x:v>
      </x:c>
      <x:c r="D29" s="80" t="n">
        <x:v>54</x:v>
      </x:c>
      <x:c r="E29" s="62" t="str">
        <x:f>IF(ABS(C29-D29)&lt;0.0000001,"PASS","FAIL")</x:f>
        <x:v>PASS</x:v>
      </x:c>
    </x:row>
    <x:row r="30">
      <x:c r="A30" s="62" t="str">
        <x:v>A26</x:v>
      </x:c>
      <x:c r="B30" s="62" t="str">
        <x:v>campaign event mappings</x:v>
      </x:c>
      <x:c r="C30" s="80" t="n">
        <x:f>COUNTIF('Campaign Stress'!E5:E58,"&lt;&gt;")</x:f>
        <x:v>54</x:v>
      </x:c>
      <x:c r="D30" s="80" t="n">
        <x:v>54</x:v>
      </x:c>
      <x:c r="E30" s="62" t="str">
        <x:f>IF(ABS(C30-D30)&lt;0.0000001,"PASS","FAIL")</x:f>
        <x:v>PASS</x:v>
      </x:c>
    </x:row>
    <x:row r="31">
      <x:c r="A31" s="62" t="str">
        <x:v>A27</x:v>
      </x:c>
      <x:c r="B31" s="62" t="str">
        <x:v>state-machine transitions</x:v>
      </x:c>
      <x:c r="C31" s="80" t="n">
        <x:f>COUNTA('State Machine'!A5:A11)</x:f>
        <x:v>7</x:v>
      </x:c>
      <x:c r="D31" s="80" t="n">
        <x:v>7</x:v>
      </x:c>
      <x:c r="E31" s="62" t="str">
        <x:f>IF(ABS(C31-D31)&lt;0.0000001,"PASS","FAIL")</x:f>
        <x:v>PASS</x:v>
      </x:c>
    </x:row>
    <x:row r="32">
      <x:c r="A32" s="62" t="str">
        <x:v>A28</x:v>
      </x:c>
      <x:c r="B32" s="62" t="str">
        <x:v>option ceiling conservation</x:v>
      </x:c>
      <x:c r="C32" s="80" t="n">
        <x:f>Finance!D11</x:f>
        <x:v>3.586912819320566</x:v>
      </x:c>
      <x:c r="D32" s="80" t="n">
        <x:v>3.586912819320566</x:v>
      </x:c>
      <x:c r="E32" s="62" t="str">
        <x:f>IF(ABS(C32-D32)&lt;0.0000001,"PASS","FAIL")</x:f>
        <x:v>PASS</x:v>
      </x:c>
    </x:row>
    <x:row r="33">
      <x:c r="A33" s="62" t="str">
        <x:v>A29</x:v>
      </x:c>
      <x:c r="B33" s="62" t="str">
        <x:v>FRAME ceiling conservation</x:v>
      </x:c>
      <x:c r="C33" s="80" t="n">
        <x:f>Finance!F11</x:f>
        <x:v>0.5380369228980849</x:v>
      </x:c>
      <x:c r="D33" s="80" t="n">
        <x:v>0.5380369228980849</x:v>
      </x:c>
      <x:c r="E33" s="62" t="str">
        <x:f>IF(ABS(C33-D33)&lt;0.0000001,"PASS","FAIL")</x:f>
        <x:v>PASS</x:v>
      </x:c>
    </x:row>
    <x:row r="34">
      <x:c r="A34" s="62" t="str">
        <x:v>A30</x:v>
      </x:c>
      <x:c r="B34" s="62" t="str">
        <x:v>incremental covenant ceiling</x:v>
      </x:c>
      <x:c r="C34" s="80" t="n">
        <x:f>Finance!G11</x:f>
        <x:v>0</x:v>
      </x:c>
      <x:c r="D34" s="80" t="n">
        <x:v>0</x:v>
      </x:c>
      <x:c r="E34" s="62" t="str">
        <x:f>IF(ABS(C34-D34)&lt;0.0000001,"PASS","FAIL")</x:f>
        <x:v>PASS</x:v>
      </x:c>
    </x:row>
    <x:row r="35">
      <x:c r="A35" s="62" t="str">
        <x:v>A31</x:v>
      </x:c>
      <x:c r="B35" s="62" t="str">
        <x:v>accepted amount</x:v>
      </x:c>
      <x:c r="C35" s="80" t="n">
        <x:f>Finance!H11</x:f>
        <x:v>0</x:v>
      </x:c>
      <x:c r="D35" s="80" t="n">
        <x:v>0</x:v>
      </x:c>
      <x:c r="E35" s="62" t="str">
        <x:f>IF(ABS(C35-D35)&lt;0.0000001,"PASS","FAIL")</x:f>
        <x:v>PASS</x:v>
      </x:c>
    </x:row>
    <x:row r="36">
      <x:c r="A36" s="62" t="str">
        <x:v>A32</x:v>
      </x:c>
      <x:c r="B36" s="62" t="str">
        <x:v>paid amount</x:v>
      </x:c>
      <x:c r="C36" s="80" t="n">
        <x:f>Finance!I11</x:f>
        <x:v>0</x:v>
      </x:c>
      <x:c r="D36" s="80" t="n">
        <x:v>0</x:v>
      </x:c>
      <x:c r="E36" s="62" t="str">
        <x:f>IF(ABS(C36-D36)&lt;0.0000001,"PASS","FAIL")</x:f>
        <x:v>PASS</x:v>
      </x:c>
    </x:row>
    <x:row r="37">
      <x:c r="A37" s="62" t="str">
        <x:v>A33</x:v>
      </x:c>
      <x:c r="B37" s="62" t="str">
        <x:v>finance states held</x:v>
      </x:c>
      <x:c r="C37" s="80" t="n">
        <x:f>COUNTIF(Finance!K5:K10,"HELD")</x:f>
        <x:v>6</x:v>
      </x:c>
      <x:c r="D37" s="80" t="n">
        <x:v>6</x:v>
      </x:c>
      <x:c r="E37" s="62" t="str">
        <x:f>IF(ABS(C37-D37)&lt;0.0000001,"PASS","FAIL")</x:f>
        <x:v>PASS</x:v>
      </x:c>
    </x:row>
    <x:row r="38">
      <x:c r="A38" s="62" t="str">
        <x:v>A34</x:v>
      </x:c>
      <x:c r="B38" s="62" t="str">
        <x:v>mutations detected</x:v>
      </x:c>
      <x:c r="C38" s="80" t="n">
        <x:f>SUM(Mutations!D5:D20)</x:f>
        <x:v>16</x:v>
      </x:c>
      <x:c r="D38" s="80" t="n">
        <x:v>16</x:v>
      </x:c>
      <x:c r="E38" s="62" t="str">
        <x:f>IF(ABS(C38-D38)&lt;0.0000001,"PASS","FAIL")</x:f>
        <x:v>PASS</x:v>
      </x:c>
    </x:row>
    <x:row r="39">
      <x:c r="A39" s="62" t="str">
        <x:v>A35</x:v>
      </x:c>
      <x:c r="B39" s="62" t="str">
        <x:v>mutations restored</x:v>
      </x:c>
      <x:c r="C39" s="80" t="n">
        <x:f>SUM(Mutations!E5:E20)</x:f>
        <x:v>16</x:v>
      </x:c>
      <x:c r="D39" s="80" t="n">
        <x:v>16</x:v>
      </x:c>
      <x:c r="E39" s="62" t="str">
        <x:f>IF(ABS(C39-D39)&lt;0.0000001,"PASS","FAIL")</x:f>
        <x:v>PASS</x:v>
      </x:c>
    </x:row>
    <x:row r="40">
      <x:c r="A40" s="62" t="str">
        <x:v>A36</x:v>
      </x:c>
      <x:c r="B40" s="62" t="str">
        <x:v>branch kills</x:v>
      </x:c>
      <x:c r="C40" s="80" t="n">
        <x:f>Controls!B15</x:f>
        <x:v>0</x:v>
      </x:c>
      <x:c r="D40" s="80" t="n">
        <x:v>0</x:v>
      </x:c>
      <x:c r="E40" s="62" t="str">
        <x:f>IF(ABS(C40-D40)&lt;0.0000001,"PASS","FAIL")</x:f>
        <x:v>PASS</x:v>
      </x:c>
    </x:row>
    <x:row r="41">
      <x:c r="A41" s="64" t="str">
        <x:v>A37</x:v>
      </x:c>
      <x:c r="B41" s="64" t="str">
        <x:v>return state</x:v>
      </x:c>
      <x:c r="C41" s="81" t="n">
        <x:f>Controls!B17</x:f>
        <x:v>1</x:v>
      </x:c>
      <x:c r="D41" s="81" t="n">
        <x:v>1</x:v>
      </x:c>
      <x:c r="E41" s="64" t="str">
        <x:f>IF(ABS(C41-D41)&lt;0.0000001,"PASS","FAIL")</x:f>
        <x:v>PASS</x:v>
      </x:c>
    </x:row>
  </x:sheetData>
  <x:mergeCells>
    <x:mergeCell ref="A2:E2"/>
  </x:mergeCells>
  <x:conditionalFormatting sqref="E5:E41">
    <x:cfRule type="containsText" dxfId="2" priority="1" operator="containsText" text="FAIL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4" hidden="0" customWidth="1"/>
    <x:col min="3" max="3" width="65" hidden="0" customWidth="1"/>
    <x:col min="4" max="4" width="62" hidden="0" customWidth="1"/>
  </x:cols>
  <x:sheetData>
    <x:row r="2">
      <x:c r="A2" s="56" t="str">
        <x:v>Internal sources and claim limits</x:v>
      </x:c>
      <x:c r="B2" s="57"/>
      <x:c r="C2" s="57"/>
      <x:c r="D2" s="57"/>
    </x:row>
    <x:row r="3">
      <x:c r="A3" s="58"/>
      <x:c r="B3" s="58"/>
      <x:c r="C3" s="58"/>
      <x:c r="D3" s="58"/>
    </x:row>
    <x:row r="4" ht="32" customHeight="1">
      <x:c r="A4" s="14" t="str">
        <x:v>Source</x:v>
      </x:c>
      <x:c r="B4" s="15" t="str">
        <x:v>Role</x:v>
      </x:c>
      <x:c r="C4" s="15" t="str">
        <x:v>Controlled use</x:v>
      </x:c>
      <x:c r="D4" s="16" t="str">
        <x:v>Limit</x:v>
      </x:c>
    </x:row>
    <x:row r="5">
      <x:c r="A5" s="59" t="str">
        <x:v>Pass 215 construction compact</x:v>
      </x:c>
      <x:c r="B5" s="59" t="str">
        <x:v>finance source</x:v>
      </x:c>
      <x:c r="C5" s="59" t="str">
        <x:v>root option ceilings and 15 percent FRAME share</x:v>
      </x:c>
      <x:c r="D5" s="59" t="str">
        <x:v>ceilings are not awards or payments</x:v>
      </x:c>
    </x:row>
    <x:row r="6">
      <x:c r="A6" s="62" t="str">
        <x:v>Pass 216 candidate article requirements</x:v>
      </x:c>
      <x:c r="B6" s="62" t="str">
        <x:v>mission boundary</x:v>
      </x:c>
      <x:c r="C6" s="62" t="str">
        <x:v>six root-native causal articles and full-scale burdens</x:v>
      </x:c>
      <x:c r="D6" s="62" t="str">
        <x:v>requirements are not observed performance</x:v>
      </x:c>
    </x:row>
    <x:row r="7">
      <x:c r="A7" s="62" t="str">
        <x:v>Pass 219 internal-section constitution</x:v>
      </x:c>
      <x:c r="B7" s="62" t="str">
        <x:v>section source</x:v>
      </x:c>
      <x:c r="C7" s="62" t="str">
        <x:v>thirty-six account minima and cell counts</x:v>
      </x:c>
      <x:c r="D7" s="62" t="str">
        <x:v>design-close cells remain unobserved</x:v>
      </x:c>
    </x:row>
    <x:row r="8">
      <x:c r="A8" s="62" t="str">
        <x:v>Pass 223 corrected v2 issuance</x:v>
      </x:c>
      <x:c r="B8" s="62" t="str">
        <x:v>form source</x:v>
      </x:c>
      <x:c r="C8" s="62" t="str">
        <x:v>eighteen corrected and unselected whole forms</x:v>
      </x:c>
      <x:c r="D8" s="62" t="str">
        <x:v>generated depictions are not metrology</x:v>
      </x:c>
    </x:row>
    <x:row r="9">
      <x:c r="A9" s="62" t="str">
        <x:v>Pass 224 dimension atlas</x:v>
      </x:c>
      <x:c r="B9" s="62" t="str">
        <x:v>geometry source</x:v>
      </x:c>
      <x:c r="C9" s="62" t="str">
        <x:v>interval envelopes, local frames and interface boxes</x:v>
      </x:c>
      <x:c r="D9" s="62" t="str">
        <x:v>planning dimensions are not engineering evidence</x:v>
      </x:c>
    </x:row>
    <x:row r="10">
      <x:c r="A10" s="64" t="str">
        <x:v>Pass 225 selection covenant</x:v>
      </x:c>
      <x:c r="B10" s="64" t="str">
        <x:v>decision source</x:v>
      </x:c>
      <x:c r="C10" s="64" t="str">
        <x:v>destructive tests, disqualifiers, nonconversion and return</x:v>
      </x:c>
      <x:c r="D10" s="64" t="str">
        <x:v>no test has run and no form is selected</x:v>
      </x:c>
    </x:row>
  </x:sheetData>
  <x:mergeCells>
    <x:mergeCell ref="A2:D2"/>
  </x:mergeCells>
  <x:pageMargins left="0.7" right="0.7" top="0.75" bottom="0.75" header="0.3" footer="0.3"/>
</x:worksheet>
</file>