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Site Lattice" sheetId="3" state="visible" r:id="rId5"/>
    <sheet name="Role Enclaves" sheetId="4" state="visible" r:id="rId6"/>
    <sheet name="Court Quorum" sheetId="5" state="visible" r:id="rId7"/>
    <sheet name="Exchange Custody" sheetId="6" state="visible" r:id="rId8"/>
    <sheet name="Failure Worlds" sheetId="7" state="visible" r:id="rId9"/>
    <sheet name="Failure Detail" sheetId="8" state="visible" r:id="rId10"/>
    <sheet name="Control Separation" sheetId="9" state="visible" r:id="rId11"/>
    <sheet name="Capacity and Cost" sheetId="10" state="visible" r:id="rId12"/>
    <sheet name="State Law" sheetId="11" state="visible" r:id="rId13"/>
    <sheet name="Mutations" sheetId="12" state="visible" r:id="rId14"/>
    <sheet name="Audit" sheetId="13" state="visible" r:id="rId15"/>
    <sheet name="ReadMe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<sst xmlns="http://schemas.openxmlformats.org/spreadsheetml/2006/main" count="3441" uniqueCount="737">
  <si>
    <t xml:space="preserve">Federated Artifact Estate Topology</t>
  </si>
  <si>
    <t xml:space="preserve">Pass 233 decision model. The selected lattice reuses eighteen truth-station sites and survives every modeled single-site or single-region loss.</t>
  </si>
  <si>
    <t xml:space="preserve">DECISION: ADOPT FAE-1 AS AN EIGHTEEN-SITE TRIADIC LATTICE</t>
  </si>
  <si>
    <t xml:space="preserve">Roots</t>
  </si>
  <si>
    <t xml:space="preserve">Existing sites</t>
  </si>
  <si>
    <t xml:space="preserve">New sites</t>
  </si>
  <si>
    <t xml:space="preserve">Role enclaves</t>
  </si>
  <si>
    <t xml:space="preserve">Court seats</t>
  </si>
  <si>
    <t xml:space="preserve">Failure worlds</t>
  </si>
  <si>
    <t xml:space="preserve">Worlds survived</t>
  </si>
  <si>
    <t xml:space="preserve">Topology law</t>
  </si>
  <si>
    <t xml:space="preserve">1</t>
  </si>
  <si>
    <t xml:space="preserve">Each root occupies three sites in three different failure domains; no domain contains a complete root.</t>
  </si>
  <si>
    <t xml:space="preserve">2</t>
  </si>
  <si>
    <t xml:space="preserve">Native, Clean and Divergence functions each have an active path and a separately sited standby path.</t>
  </si>
  <si>
    <t xml:space="preserve">3</t>
  </si>
  <si>
    <t xml:space="preserve">Every Root Artifact Court has three distributed seats and requires two seats plus an Exchange witness.</t>
  </si>
  <si>
    <t xml:space="preserve">4</t>
  </si>
  <si>
    <t xml:space="preserve">Six regional Exchange nodes fully mirror public capsules and split protected custody four-of-six.</t>
  </si>
  <si>
    <t xml:space="preserve">5</t>
  </si>
  <si>
    <t xml:space="preserve">One site or one region may fail without losing any root function, court quorum or protected Exchange release capacity.</t>
  </si>
  <si>
    <t xml:space="preserve">6</t>
  </si>
  <si>
    <t xml:space="preserve">Two lost sites in one root, common control, leakage or displaced truth capacity forces HOLD or termination.</t>
  </si>
  <si>
    <t xml:space="preserve">Thirty single-loss worlds</t>
  </si>
  <si>
    <t xml:space="preserve">Site-loss worlds</t>
  </si>
  <si>
    <t xml:space="preserve">World class</t>
  </si>
  <si>
    <t xml:space="preserve">Count</t>
  </si>
  <si>
    <t xml:space="preserve">Region-loss worlds</t>
  </si>
  <si>
    <t xml:space="preserve">Site loss</t>
  </si>
  <si>
    <t xml:space="preserve">Vendor-exit world</t>
  </si>
  <si>
    <t xml:space="preserve">Region loss</t>
  </si>
  <si>
    <t xml:space="preserve">Control and custody compromise worlds</t>
  </si>
  <si>
    <t xml:space="preserve">Vendor exit</t>
  </si>
  <si>
    <t xml:space="preserve">Total worlds</t>
  </si>
  <si>
    <t xml:space="preserve">Compromise</t>
  </si>
  <si>
    <t xml:space="preserve">Current authority boundary</t>
  </si>
  <si>
    <t xml:space="preserve">Named sites</t>
  </si>
  <si>
    <t xml:space="preserve">0 of 18</t>
  </si>
  <si>
    <t xml:space="preserve">Named stewards</t>
  </si>
  <si>
    <t xml:space="preserve">0 of 36+</t>
  </si>
  <si>
    <t xml:space="preserve">Live keys</t>
  </si>
  <si>
    <t xml:space="preserve">0</t>
  </si>
  <si>
    <t xml:space="preserve">Commissioned enclaves</t>
  </si>
  <si>
    <t xml:space="preserve">0 of 36</t>
  </si>
  <si>
    <t xml:space="preserve">Artifact validity warrants</t>
  </si>
  <si>
    <t xml:space="preserve">Payments and observations</t>
  </si>
  <si>
    <t xml:space="preserve">0 / 0</t>
  </si>
  <si>
    <t xml:space="preserve">Selection, MAKE and REP-4</t>
  </si>
  <si>
    <t xml:space="preserve">0 / 0 / 0</t>
  </si>
  <si>
    <t xml:space="preserve">Capital accounting</t>
  </si>
  <si>
    <t xml:space="preserve">CO-USE / NO NEW APPROPRIATION</t>
  </si>
  <si>
    <t xml:space="preserve">Federated artifact-estate topology inputs</t>
  </si>
  <si>
    <t xml:space="preserve">Editable controls are blue. Capital is a co-use ceiling inside the existing public-method reservation; cohort operations remain inside Pass 232.</t>
  </si>
  <si>
    <t xml:space="preserve">Constitutional controls</t>
  </si>
  <si>
    <t xml:space="preserve">Root count</t>
  </si>
  <si>
    <t xml:space="preserve">Sites per root</t>
  </si>
  <si>
    <t xml:space="preserve">Failure domains</t>
  </si>
  <si>
    <t xml:space="preserve">Court quorum</t>
  </si>
  <si>
    <t xml:space="preserve">Role paths per root and function</t>
  </si>
  <si>
    <t xml:space="preserve">Exchange release threshold</t>
  </si>
  <si>
    <t xml:space="preserve">Exchange regional shares</t>
  </si>
  <si>
    <t xml:space="preserve">Maximum new sites</t>
  </si>
  <si>
    <t xml:space="preserve">Builder dependency</t>
  </si>
  <si>
    <t xml:space="preserve">Current named site identities</t>
  </si>
  <si>
    <t xml:space="preserve">Current named stewards</t>
  </si>
  <si>
    <t xml:space="preserve">Current live keys</t>
  </si>
  <si>
    <t xml:space="preserve">Current commissioned enclaves</t>
  </si>
  <si>
    <t xml:space="preserve">Current AVW records</t>
  </si>
  <si>
    <t xml:space="preserve">Current payments</t>
  </si>
  <si>
    <t xml:space="preserve">Current observations</t>
  </si>
  <si>
    <t xml:space="preserve">Current selected forms</t>
  </si>
  <si>
    <t xml:space="preserve">Current MAKE warrants</t>
  </si>
  <si>
    <t xml:space="preserve">Current REP-4 records</t>
  </si>
  <si>
    <t xml:space="preserve">Tolerance</t>
  </si>
  <si>
    <t xml:space="preserve">Existing nested ceilings</t>
  </si>
  <si>
    <t xml:space="preserve">Account</t>
  </si>
  <si>
    <t xml:space="preserve">Ceiling</t>
  </si>
  <si>
    <t xml:space="preserve">Use in this topology</t>
  </si>
  <si>
    <t xml:space="preserve">Share</t>
  </si>
  <si>
    <t xml:space="preserve">Allocated ceiling</t>
  </si>
  <si>
    <t xml:space="preserve">Accounting boundary</t>
  </si>
  <si>
    <t xml:space="preserve">Public-method replay and cold-run capacity</t>
  </si>
  <si>
    <t xml:space="preserve">Host and failure-domain hardening</t>
  </si>
  <si>
    <t xml:space="preserve">CO-USE / NOT ADDITIVE</t>
  </si>
  <si>
    <t xml:space="preserve">Role-separated enclave compute</t>
  </si>
  <si>
    <t xml:space="preserve">Offline custody and threshold escrow</t>
  </si>
  <si>
    <t xml:space="preserve">Court seats and key ceremony</t>
  </si>
  <si>
    <t xml:space="preserve">Cross-region network and restoration</t>
  </si>
  <si>
    <t xml:space="preserve">Uncommitted recovery reserve</t>
  </si>
  <si>
    <t xml:space="preserve">HELD</t>
  </si>
  <si>
    <t xml:space="preserve">Cohort operating accounts from DRG-1</t>
  </si>
  <si>
    <t xml:space="preserve">Function</t>
  </si>
  <si>
    <t xml:space="preserve">Function ceiling</t>
  </si>
  <si>
    <t xml:space="preserve">Independent reconstruction</t>
  </si>
  <si>
    <t xml:space="preserve">Clean-room rebuild cells</t>
  </si>
  <si>
    <t xml:space="preserve">Root-native instruments and qualification</t>
  </si>
  <si>
    <t xml:space="preserve">Divergence reserve</t>
  </si>
  <si>
    <t xml:space="preserve">Public source escrow</t>
  </si>
  <si>
    <t xml:space="preserve">Public Artifact Exchange</t>
  </si>
  <si>
    <t xml:space="preserve">Disconnected archive</t>
  </si>
  <si>
    <t xml:space="preserve">Cryptographic lineage</t>
  </si>
  <si>
    <t xml:space="preserve">Semantic kernel stewardship</t>
  </si>
  <si>
    <t xml:space="preserve">Architecture candidates</t>
  </si>
  <si>
    <t xml:space="preserve">Candidate</t>
  </si>
  <si>
    <t xml:space="preserve">Topology</t>
  </si>
  <si>
    <t xml:space="preserve">Sites</t>
  </si>
  <si>
    <t xml:space="preserve">Role separation</t>
  </si>
  <si>
    <t xml:space="preserve">One-site survival</t>
  </si>
  <si>
    <t xml:space="preserve">Common control</t>
  </si>
  <si>
    <t xml:space="preserve">Decision</t>
  </si>
  <si>
    <t xml:space="preserve">L1</t>
  </si>
  <si>
    <t xml:space="preserve">Single national artifact campus</t>
  </si>
  <si>
    <t xml:space="preserve">REJECT</t>
  </si>
  <si>
    <t xml:space="preserve">L2</t>
  </si>
  <si>
    <t xml:space="preserve">Six root monoliths</t>
  </si>
  <si>
    <t xml:space="preserve">L3</t>
  </si>
  <si>
    <t xml:space="preserve">Thirty-six dedicated function sites</t>
  </si>
  <si>
    <t xml:space="preserve">REJECT—DUPLICATIVE</t>
  </si>
  <si>
    <t xml:space="preserve">L4</t>
  </si>
  <si>
    <t xml:space="preserve">Eighteen-site triadic lattice</t>
  </si>
  <si>
    <t xml:space="preserve">SELECT</t>
  </si>
  <si>
    <t xml:space="preserve">L5</t>
  </si>
  <si>
    <t xml:space="preserve">Vendor cloud with public backup</t>
  </si>
  <si>
    <t xml:space="preserve">Each root occupies three different failure domains. Each failure domain hosts three different roots and never an entire truth train.</t>
  </si>
  <si>
    <t xml:space="preserve">Site</t>
  </si>
  <si>
    <t xml:space="preserve">Root</t>
  </si>
  <si>
    <t xml:space="preserve">Form</t>
  </si>
  <si>
    <t xml:space="preserve">Failure domain</t>
  </si>
  <si>
    <t xml:space="preserve">Root position</t>
  </si>
  <si>
    <t xml:space="preserve">Primary role</t>
  </si>
  <si>
    <t xml:space="preserve">Standby role</t>
  </si>
  <si>
    <t xml:space="preserve">Court seat</t>
  </si>
  <si>
    <t xml:space="preserve">Exchange edge</t>
  </si>
  <si>
    <t xml:space="preserve">Named identity</t>
  </si>
  <si>
    <t xml:space="preserve">Site admitted</t>
  </si>
  <si>
    <t xml:space="preserve">Current state</t>
  </si>
  <si>
    <t xml:space="preserve">One-site replacement</t>
  </si>
  <si>
    <t xml:space="preserve">S01</t>
  </si>
  <si>
    <t xml:space="preserve">ET-A</t>
  </si>
  <si>
    <t xml:space="preserve">ET-A-A</t>
  </si>
  <si>
    <t xml:space="preserve">FD-A</t>
  </si>
  <si>
    <t xml:space="preserve">Native</t>
  </si>
  <si>
    <t xml:space="preserve">Divergence</t>
  </si>
  <si>
    <t xml:space="preserve">S02</t>
  </si>
  <si>
    <t xml:space="preserve">FD-C</t>
  </si>
  <si>
    <t xml:space="preserve">Clean</t>
  </si>
  <si>
    <t xml:space="preserve">S03</t>
  </si>
  <si>
    <t xml:space="preserve">FD-E</t>
  </si>
  <si>
    <t xml:space="preserve">S04</t>
  </si>
  <si>
    <t xml:space="preserve">CT-C</t>
  </si>
  <si>
    <t xml:space="preserve">CT-C-B</t>
  </si>
  <si>
    <t xml:space="preserve">FD-B</t>
  </si>
  <si>
    <t xml:space="preserve">S05</t>
  </si>
  <si>
    <t xml:space="preserve">FD-D</t>
  </si>
  <si>
    <t xml:space="preserve">S06</t>
  </si>
  <si>
    <t xml:space="preserve">FD-F</t>
  </si>
  <si>
    <t xml:space="preserve">S07</t>
  </si>
  <si>
    <t xml:space="preserve">HC-A</t>
  </si>
  <si>
    <t xml:space="preserve">HC-A-C</t>
  </si>
  <si>
    <t xml:space="preserve">S08</t>
  </si>
  <si>
    <t xml:space="preserve">S09</t>
  </si>
  <si>
    <t xml:space="preserve">S10</t>
  </si>
  <si>
    <t xml:space="preserve">LF-B</t>
  </si>
  <si>
    <t xml:space="preserve">LF-B-A</t>
  </si>
  <si>
    <t xml:space="preserve">S11</t>
  </si>
  <si>
    <t xml:space="preserve">S12</t>
  </si>
  <si>
    <t xml:space="preserve">S13</t>
  </si>
  <si>
    <t xml:space="preserve">HU-A</t>
  </si>
  <si>
    <t xml:space="preserve">HU-A-B</t>
  </si>
  <si>
    <t xml:space="preserve">S14</t>
  </si>
  <si>
    <t xml:space="preserve">S15</t>
  </si>
  <si>
    <t xml:space="preserve">S16</t>
  </si>
  <si>
    <t xml:space="preserve">RT-B</t>
  </si>
  <si>
    <t xml:space="preserve">RT-B-C</t>
  </si>
  <si>
    <t xml:space="preserve">S17</t>
  </si>
  <si>
    <t xml:space="preserve">S18</t>
  </si>
  <si>
    <t xml:space="preserve">Active and standby reconstruction enclaves</t>
  </si>
  <si>
    <t xml:space="preserve">Every root has two separately sited paths for Native, Clean and Divergence functions. Standby activation transfers authority, not personnel or keys.</t>
  </si>
  <si>
    <t xml:space="preserve">Enclave</t>
  </si>
  <si>
    <t xml:space="preserve">Region</t>
  </si>
  <si>
    <t xml:space="preserve">Mode</t>
  </si>
  <si>
    <t xml:space="preserve">Control group</t>
  </si>
  <si>
    <t xml:space="preserve">Named steward</t>
  </si>
  <si>
    <t xml:space="preserve">Live key</t>
  </si>
  <si>
    <t xml:space="preserve">Commissioned</t>
  </si>
  <si>
    <t xml:space="preserve">Builder dependent</t>
  </si>
  <si>
    <t xml:space="preserve">State</t>
  </si>
  <si>
    <t xml:space="preserve">Loss role</t>
  </si>
  <si>
    <t xml:space="preserve">E01</t>
  </si>
  <si>
    <t xml:space="preserve">ACTIVE</t>
  </si>
  <si>
    <t xml:space="preserve">ET-A-Native-ACTIVE-S01</t>
  </si>
  <si>
    <t xml:space="preserve">E02</t>
  </si>
  <si>
    <t xml:space="preserve">STANDBY</t>
  </si>
  <si>
    <t xml:space="preserve">ET-A-Divergence-STANDBY-S01</t>
  </si>
  <si>
    <t xml:space="preserve">E03</t>
  </si>
  <si>
    <t xml:space="preserve">ET-A-Clean-ACTIVE-S02</t>
  </si>
  <si>
    <t xml:space="preserve">E04</t>
  </si>
  <si>
    <t xml:space="preserve">ET-A-Native-STANDBY-S02</t>
  </si>
  <si>
    <t xml:space="preserve">E05</t>
  </si>
  <si>
    <t xml:space="preserve">ET-A-Divergence-ACTIVE-S03</t>
  </si>
  <si>
    <t xml:space="preserve">E06</t>
  </si>
  <si>
    <t xml:space="preserve">ET-A-Clean-STANDBY-S03</t>
  </si>
  <si>
    <t xml:space="preserve">E07</t>
  </si>
  <si>
    <t xml:space="preserve">CT-C-Native-ACTIVE-S04</t>
  </si>
  <si>
    <t xml:space="preserve">E08</t>
  </si>
  <si>
    <t xml:space="preserve">CT-C-Divergence-STANDBY-S04</t>
  </si>
  <si>
    <t xml:space="preserve">E09</t>
  </si>
  <si>
    <t xml:space="preserve">CT-C-Clean-ACTIVE-S05</t>
  </si>
  <si>
    <t xml:space="preserve">E10</t>
  </si>
  <si>
    <t xml:space="preserve">CT-C-Native-STANDBY-S05</t>
  </si>
  <si>
    <t xml:space="preserve">E11</t>
  </si>
  <si>
    <t xml:space="preserve">CT-C-Divergence-ACTIVE-S06</t>
  </si>
  <si>
    <t xml:space="preserve">E12</t>
  </si>
  <si>
    <t xml:space="preserve">CT-C-Clean-STANDBY-S06</t>
  </si>
  <si>
    <t xml:space="preserve">E13</t>
  </si>
  <si>
    <t xml:space="preserve">HC-A-Native-ACTIVE-S07</t>
  </si>
  <si>
    <t xml:space="preserve">E14</t>
  </si>
  <si>
    <t xml:space="preserve">HC-A-Divergence-STANDBY-S07</t>
  </si>
  <si>
    <t xml:space="preserve">E15</t>
  </si>
  <si>
    <t xml:space="preserve">HC-A-Clean-ACTIVE-S08</t>
  </si>
  <si>
    <t xml:space="preserve">E16</t>
  </si>
  <si>
    <t xml:space="preserve">HC-A-Native-STANDBY-S08</t>
  </si>
  <si>
    <t xml:space="preserve">E17</t>
  </si>
  <si>
    <t xml:space="preserve">HC-A-Divergence-ACTIVE-S09</t>
  </si>
  <si>
    <t xml:space="preserve">E18</t>
  </si>
  <si>
    <t xml:space="preserve">HC-A-Clean-STANDBY-S09</t>
  </si>
  <si>
    <t xml:space="preserve">E19</t>
  </si>
  <si>
    <t xml:space="preserve">LF-B-Native-ACTIVE-S10</t>
  </si>
  <si>
    <t xml:space="preserve">E20</t>
  </si>
  <si>
    <t xml:space="preserve">LF-B-Divergence-STANDBY-S10</t>
  </si>
  <si>
    <t xml:space="preserve">E21</t>
  </si>
  <si>
    <t xml:space="preserve">LF-B-Clean-ACTIVE-S11</t>
  </si>
  <si>
    <t xml:space="preserve">E22</t>
  </si>
  <si>
    <t xml:space="preserve">LF-B-Native-STANDBY-S11</t>
  </si>
  <si>
    <t xml:space="preserve">E23</t>
  </si>
  <si>
    <t xml:space="preserve">LF-B-Divergence-ACTIVE-S12</t>
  </si>
  <si>
    <t xml:space="preserve">E24</t>
  </si>
  <si>
    <t xml:space="preserve">LF-B-Clean-STANDBY-S12</t>
  </si>
  <si>
    <t xml:space="preserve">E25</t>
  </si>
  <si>
    <t xml:space="preserve">HU-A-Native-ACTIVE-S13</t>
  </si>
  <si>
    <t xml:space="preserve">E26</t>
  </si>
  <si>
    <t xml:space="preserve">HU-A-Divergence-STANDBY-S13</t>
  </si>
  <si>
    <t xml:space="preserve">E27</t>
  </si>
  <si>
    <t xml:space="preserve">HU-A-Clean-ACTIVE-S14</t>
  </si>
  <si>
    <t xml:space="preserve">E28</t>
  </si>
  <si>
    <t xml:space="preserve">HU-A-Native-STANDBY-S14</t>
  </si>
  <si>
    <t xml:space="preserve">E29</t>
  </si>
  <si>
    <t xml:space="preserve">HU-A-Divergence-ACTIVE-S15</t>
  </si>
  <si>
    <t xml:space="preserve">E30</t>
  </si>
  <si>
    <t xml:space="preserve">HU-A-Clean-STANDBY-S15</t>
  </si>
  <si>
    <t xml:space="preserve">E31</t>
  </si>
  <si>
    <t xml:space="preserve">RT-B-Native-ACTIVE-S16</t>
  </si>
  <si>
    <t xml:space="preserve">E32</t>
  </si>
  <si>
    <t xml:space="preserve">RT-B-Divergence-STANDBY-S16</t>
  </si>
  <si>
    <t xml:space="preserve">E33</t>
  </si>
  <si>
    <t xml:space="preserve">RT-B-Clean-ACTIVE-S17</t>
  </si>
  <si>
    <t xml:space="preserve">E34</t>
  </si>
  <si>
    <t xml:space="preserve">RT-B-Native-STANDBY-S17</t>
  </si>
  <si>
    <t xml:space="preserve">E35</t>
  </si>
  <si>
    <t xml:space="preserve">RT-B-Divergence-ACTIVE-S18</t>
  </si>
  <si>
    <t xml:space="preserve">E36</t>
  </si>
  <si>
    <t xml:space="preserve">RT-B-Clean-STANDBY-S18</t>
  </si>
  <si>
    <t xml:space="preserve">Distributed Root Artifact Courts</t>
  </si>
  <si>
    <t xml:space="preserve">A Root Artifact Court is a three-seat legal quorum distributed across the root's three sites. Two seats plus an Exchange witness are required.</t>
  </si>
  <si>
    <t xml:space="preserve">Seat</t>
  </si>
  <si>
    <t xml:space="preserve">Planned seat</t>
  </si>
  <si>
    <t xml:space="preserve">Named adjudicator</t>
  </si>
  <si>
    <t xml:space="preserve">Key share</t>
  </si>
  <si>
    <t xml:space="preserve">Conflict free</t>
  </si>
  <si>
    <t xml:space="preserve">Current ready</t>
  </si>
  <si>
    <t xml:space="preserve">Quorum rule</t>
  </si>
  <si>
    <t xml:space="preserve">Authority</t>
  </si>
  <si>
    <t xml:space="preserve">Q01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</si>
  <si>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</si>
  <si>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</si>
  <si>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</si>
  <si>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</si>
  <si>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</si>
  <si>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</si>
  <si>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</si>
  <si>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Q09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</si>
  <si>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</si>
  <si>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</si>
  <si>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</si>
  <si>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</si>
  <si>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</si>
  <si>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</si>
  <si>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</si>
  <si>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</si>
  <si>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</si>
  <si>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Six-region Public Artifact Exchange</t>
  </si>
  <si>
    <t xml:space="preserve">Public capsules are fully mirrored. Performance and offline archive custody use four-of-six threshold shares; no root or region can release them alone.</t>
  </si>
  <si>
    <t xml:space="preserve">Node</t>
  </si>
  <si>
    <t xml:space="preserve">Hosted roots</t>
  </si>
  <si>
    <t xml:space="preserve">Public mirror</t>
  </si>
  <si>
    <t xml:space="preserve">Escrow share</t>
  </si>
  <si>
    <t xml:space="preserve">Offline share</t>
  </si>
  <si>
    <t xml:space="preserve">Loss world</t>
  </si>
  <si>
    <t xml:space="preserve">Shares remaining</t>
  </si>
  <si>
    <t xml:space="preserve">Release state</t>
  </si>
  <si>
    <t xml:space="preserve">X1</t>
  </si>
  <si>
    <t xml:space="preserve">ET-A / HC-A / HU-A</t>
  </si>
  <si>
    <t xml:space="preserve">LOSS FD-A</t>
  </si>
  <si>
    <t xml:space="preserve">X2</t>
  </si>
  <si>
    <t xml:space="preserve">CT-C / LF-B / RT-B</t>
  </si>
  <si>
    <t xml:space="preserve">LOSS FD-B</t>
  </si>
  <si>
    <t xml:space="preserve">X3</t>
  </si>
  <si>
    <t xml:space="preserve">ET-A / LF-B / RT-B</t>
  </si>
  <si>
    <t xml:space="preserve">LOSS FD-C</t>
  </si>
  <si>
    <t xml:space="preserve">X4</t>
  </si>
  <si>
    <t xml:space="preserve">CT-C / HC-A / HU-A</t>
  </si>
  <si>
    <t xml:space="preserve">LOSS FD-D</t>
  </si>
  <si>
    <t xml:space="preserve">X5</t>
  </si>
  <si>
    <t xml:space="preserve">ET-A / HC-A / RT-B</t>
  </si>
  <si>
    <t xml:space="preserve">LOSS FD-E</t>
  </si>
  <si>
    <t xml:space="preserve">X6</t>
  </si>
  <si>
    <t xml:space="preserve">CT-C / LF-B / HU-A</t>
  </si>
  <si>
    <t xml:space="preserve">LOSS FD-F</t>
  </si>
  <si>
    <t xml:space="preserve">Topology failure worlds</t>
  </si>
  <si>
    <t xml:space="preserve">All single-site and single-region losses preserve all three root functions, a two-seat court quorum and at least four Exchange shares.</t>
  </si>
  <si>
    <t xml:space="preserve">World</t>
  </si>
  <si>
    <t xml:space="preserve">Type</t>
  </si>
  <si>
    <t xml:space="preserve">Lost site</t>
  </si>
  <si>
    <t xml:space="preserve">Lost region</t>
  </si>
  <si>
    <t xml:space="preserve">Compromised role</t>
  </si>
  <si>
    <t xml:space="preserve">Exchange denied</t>
  </si>
  <si>
    <t xml:space="preserve">Detail passes</t>
  </si>
  <si>
    <t xml:space="preserve">Detail required</t>
  </si>
  <si>
    <t xml:space="preserve">Exchange shares</t>
  </si>
  <si>
    <t xml:space="preserve">Builder independent</t>
  </si>
  <si>
    <t xml:space="preserve">Result</t>
  </si>
  <si>
    <t xml:space="preserve">W01</t>
  </si>
  <si>
    <t xml:space="preserve">SITE LOSS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</si>
  <si>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</si>
  <si>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</si>
  <si>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</si>
  <si>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</si>
  <si>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</si>
  <si>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</si>
  <si>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</si>
  <si>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</si>
  <si>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</si>
  <si>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</si>
  <si>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</si>
  <si>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</si>
  <si>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</si>
  <si>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</si>
  <si>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</si>
  <si>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</si>
  <si>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</si>
  <si>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</si>
  <si>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REGION LOSS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</si>
  <si>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</si>
  <si>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</si>
  <si>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</si>
  <si>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</si>
  <si>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</si>
  <si>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</si>
  <si>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VENDOR EXIT</t>
  </si>
  <si>
    <t xml:space="preserve">W26</t>
  </si>
  <si>
    <t xml:space="preserve">NATIVE ENCLAVE COMPROMISE</t>
  </si>
  <si>
    <t xml:space="preserve">W27</t>
  </si>
  <si>
    <t xml:space="preserve">CLEAN ENCLAVE COMPROMISE</t>
  </si>
  <si>
    <t xml:space="preserve">W28</t>
  </si>
  <si>
    <t xml:space="preserve">DIVERGENCE ENCLAVE COMPROMISE</t>
  </si>
  <si>
    <t xml:space="preserve">W29</t>
  </si>
  <si>
    <t xml:space="preserve">COURT-SEAT COMPROMISE</t>
  </si>
  <si>
    <t xml:space="preserve">Court</t>
  </si>
  <si>
    <t xml:space="preserve">W30</t>
  </si>
  <si>
    <t xml:space="preserve">EXCHANGE-SHARE COMPROMISE</t>
  </si>
  <si>
    <t xml:space="preserve">Root-function survival detail</t>
  </si>
  <si>
    <t xml:space="preserve">Each world tests six roots across Native, Clean and Divergence paths. A passing cell also requires two surviving court seats.</t>
  </si>
  <si>
    <t xml:space="preserve">Surviving enclaves</t>
  </si>
  <si>
    <t xml:space="preserve">Required quorum</t>
  </si>
  <si>
    <t xml:space="preserve">Control and key-separation constitution</t>
  </si>
  <si>
    <t xml:space="preserve">Co-location does not merge control. No actor may author, replay, reconstruct, adjudicate, release escrow and pay the same package.</t>
  </si>
  <si>
    <t xml:space="preserve">Control</t>
  </si>
  <si>
    <t xml:space="preserve">Producer</t>
  </si>
  <si>
    <t xml:space="preserve">Forbidden second role</t>
  </si>
  <si>
    <t xml:space="preserve">Physical boundary</t>
  </si>
  <si>
    <t xml:space="preserve">Key boundary</t>
  </si>
  <si>
    <t xml:space="preserve">Current conflict</t>
  </si>
  <si>
    <t xml:space="preserve">Disposition</t>
  </si>
  <si>
    <t xml:space="preserve">C01</t>
  </si>
  <si>
    <t xml:space="preserve">Builder</t>
  </si>
  <si>
    <t xml:space="preserve">Native operator</t>
  </si>
  <si>
    <t xml:space="preserve">separate enclave</t>
  </si>
  <si>
    <t xml:space="preserve">separate keys</t>
  </si>
  <si>
    <t xml:space="preserve">TERMINATE CELL</t>
  </si>
  <si>
    <t xml:space="preserve">C02</t>
  </si>
  <si>
    <t xml:space="preserve">Clean constructor</t>
  </si>
  <si>
    <t xml:space="preserve">separate control</t>
  </si>
  <si>
    <t xml:space="preserve">no builder key</t>
  </si>
  <si>
    <t xml:space="preserve">C03</t>
  </si>
  <si>
    <t xml:space="preserve">different active site</t>
  </si>
  <si>
    <t xml:space="preserve">nonintersecting key sets</t>
  </si>
  <si>
    <t xml:space="preserve">INVALIDATE</t>
  </si>
  <si>
    <t xml:space="preserve">C04</t>
  </si>
  <si>
    <t xml:space="preserve">Artifact Court</t>
  </si>
  <si>
    <t xml:space="preserve">separate institution</t>
  </si>
  <si>
    <t xml:space="preserve">court threshold key</t>
  </si>
  <si>
    <t xml:space="preserve">C05</t>
  </si>
  <si>
    <t xml:space="preserve">C06</t>
  </si>
  <si>
    <t xml:space="preserve">Exchange release</t>
  </si>
  <si>
    <t xml:space="preserve">regional threshold</t>
  </si>
  <si>
    <t xml:space="preserve">four-of-six key</t>
  </si>
  <si>
    <t xml:space="preserve">HOLD</t>
  </si>
  <si>
    <t xml:space="preserve">C07</t>
  </si>
  <si>
    <t xml:space="preserve">Finance authority</t>
  </si>
  <si>
    <t xml:space="preserve">separate warrant office</t>
  </si>
  <si>
    <t xml:space="preserve">no finance technical key</t>
  </si>
  <si>
    <t xml:space="preserve">C08</t>
  </si>
  <si>
    <t xml:space="preserve">Exchange steward</t>
  </si>
  <si>
    <t xml:space="preserve">Evidence Court</t>
  </si>
  <si>
    <t xml:space="preserve">event evidence separate</t>
  </si>
  <si>
    <t xml:space="preserve">C09</t>
  </si>
  <si>
    <t xml:space="preserve">Sibling form cell</t>
  </si>
  <si>
    <t xml:space="preserve">Performance escrow</t>
  </si>
  <si>
    <t xml:space="preserve">denied network</t>
  </si>
  <si>
    <t xml:space="preserve">no decryption share</t>
  </si>
  <si>
    <t xml:space="preserve">C10</t>
  </si>
  <si>
    <t xml:space="preserve">Vendor</t>
  </si>
  <si>
    <t xml:space="preserve">Recovery authority</t>
  </si>
  <si>
    <t xml:space="preserve">public step-in</t>
  </si>
  <si>
    <t xml:space="preserve">escrow survives exit</t>
  </si>
  <si>
    <t xml:space="preserve">C11</t>
  </si>
  <si>
    <t xml:space="preserve">Site steward</t>
  </si>
  <si>
    <t xml:space="preserve">Court adjudicator</t>
  </si>
  <si>
    <t xml:space="preserve">separate employment</t>
  </si>
  <si>
    <t xml:space="preserve">separate signing key</t>
  </si>
  <si>
    <t xml:space="preserve">C12</t>
  </si>
  <si>
    <t xml:space="preserve">National office</t>
  </si>
  <si>
    <t xml:space="preserve">Root technical owner</t>
  </si>
  <si>
    <t xml:space="preserve">no technical ownership</t>
  </si>
  <si>
    <t xml:space="preserve">no root execution key</t>
  </si>
  <si>
    <t xml:space="preserve">KILL TOPOLOGY</t>
  </si>
  <si>
    <t xml:space="preserve">Nested capacity and cost boundary</t>
  </si>
  <si>
    <t xml:space="preserve">The selected lattice adds no sites. It overlays the eighteen already-authorized nuclei and cannot displace their physical-proof duties.</t>
  </si>
  <si>
    <t xml:space="preserve">Topology counts</t>
  </si>
  <si>
    <t xml:space="preserve">Exchange regional nodes</t>
  </si>
  <si>
    <t xml:space="preserve">Public mirrors</t>
  </si>
  <si>
    <t xml:space="preserve">Escrow threshold</t>
  </si>
  <si>
    <t xml:space="preserve">Single-loss worlds</t>
  </si>
  <si>
    <t xml:space="preserve">Capital co-use ceiling (USD millions)</t>
  </si>
  <si>
    <t xml:space="preserve">Allocation</t>
  </si>
  <si>
    <t xml:space="preserve">Boundary</t>
  </si>
  <si>
    <t xml:space="preserve">Total</t>
  </si>
  <si>
    <t xml:space="preserve">Cohort operating ceiling (USD millions)</t>
  </si>
  <si>
    <t xml:space="preserve">Artifact-estate continuity and nonconversion law</t>
  </si>
  <si>
    <t xml:space="preserve">Continuity preserves custody and lawful authority. It does not promise uninterrupted acceptance or convert a drill into a valid package.</t>
  </si>
  <si>
    <t xml:space="preserve">Entry</t>
  </si>
  <si>
    <t xml:space="preserve">Permitted action</t>
  </si>
  <si>
    <t xml:space="preserve">Forbidden conversion</t>
  </si>
  <si>
    <t xml:space="preserve">Loss response</t>
  </si>
  <si>
    <t xml:space="preserve">Exit</t>
  </si>
  <si>
    <t xml:space="preserve">PLANNED</t>
  </si>
  <si>
    <t xml:space="preserve">Topology selected</t>
  </si>
  <si>
    <t xml:space="preserve">register charters</t>
  </si>
  <si>
    <t xml:space="preserve">plan to site fact</t>
  </si>
  <si>
    <t xml:space="preserve">no effect</t>
  </si>
  <si>
    <t xml:space="preserve">IDENTIFIED</t>
  </si>
  <si>
    <t xml:space="preserve">Research compact</t>
  </si>
  <si>
    <t xml:space="preserve">sites and stewards named</t>
  </si>
  <si>
    <t xml:space="preserve">qualify control</t>
  </si>
  <si>
    <t xml:space="preserve">identity to independence</t>
  </si>
  <si>
    <t xml:space="preserve">revoke identity</t>
  </si>
  <si>
    <t xml:space="preserve">SEPARATED</t>
  </si>
  <si>
    <t xml:space="preserve">Control registrar</t>
  </si>
  <si>
    <t xml:space="preserve">all control gates pass</t>
  </si>
  <si>
    <t xml:space="preserve">issue keys</t>
  </si>
  <si>
    <t xml:space="preserve">keys to readiness</t>
  </si>
  <si>
    <t xml:space="preserve">rekey</t>
  </si>
  <si>
    <t xml:space="preserve">KEYED</t>
  </si>
  <si>
    <t xml:space="preserve">Key authority</t>
  </si>
  <si>
    <t xml:space="preserve">threshold ceremonies complete</t>
  </si>
  <si>
    <t xml:space="preserve">commission enclaves</t>
  </si>
  <si>
    <t xml:space="preserve">key to artifact validity</t>
  </si>
  <si>
    <t xml:space="preserve">destroy compromised share</t>
  </si>
  <si>
    <t xml:space="preserve">COMMISSIONED</t>
  </si>
  <si>
    <t xml:space="preserve">Commissioning authority</t>
  </si>
  <si>
    <t xml:space="preserve">loss drills accepted</t>
  </si>
  <si>
    <t xml:space="preserve">accept capsule work</t>
  </si>
  <si>
    <t xml:space="preserve">drill to AVW</t>
  </si>
  <si>
    <t xml:space="preserve">fail over one role path</t>
  </si>
  <si>
    <t xml:space="preserve">AVAILABLE</t>
  </si>
  <si>
    <t xml:space="preserve">two-seat quorum and four shares</t>
  </si>
  <si>
    <t xml:space="preserve">issue AVW if DRG-1 passes</t>
  </si>
  <si>
    <t xml:space="preserve">availability to evidence</t>
  </si>
  <si>
    <t xml:space="preserve">hold on second root-site loss</t>
  </si>
  <si>
    <t xml:space="preserve">DEGRADED</t>
  </si>
  <si>
    <t xml:space="preserve">one loss absorbed</t>
  </si>
  <si>
    <t xml:space="preserve">continue with alternate paths</t>
  </si>
  <si>
    <t xml:space="preserve">degraded state to normal claim</t>
  </si>
  <si>
    <t xml:space="preserve">reconstitute before expiry</t>
  </si>
  <si>
    <t xml:space="preserve">Continuity authority</t>
  </si>
  <si>
    <t xml:space="preserve">quorum or function absent</t>
  </si>
  <si>
    <t xml:space="preserve">preserve custody</t>
  </si>
  <si>
    <t xml:space="preserve">custody to acceptance</t>
  </si>
  <si>
    <t xml:space="preserve">no new AVW</t>
  </si>
  <si>
    <t xml:space="preserve">TERMINATED</t>
  </si>
  <si>
    <t xml:space="preserve">common control or leakage</t>
  </si>
  <si>
    <t xml:space="preserve">return authority</t>
  </si>
  <si>
    <t xml:space="preserve">standby to successor</t>
  </si>
  <si>
    <t xml:space="preserve">seal all outputs</t>
  </si>
  <si>
    <t xml:space="preserve">Constitution</t>
  </si>
  <si>
    <t xml:space="preserve">SUPERSEDED</t>
  </si>
  <si>
    <t xml:space="preserve">new epoch accepted</t>
  </si>
  <si>
    <t xml:space="preserve">retain lineage</t>
  </si>
  <si>
    <t xml:space="preserve">new record to overwrite</t>
  </si>
  <si>
    <t xml:space="preserve">archive old epoch</t>
  </si>
  <si>
    <t xml:space="preserve">Exchange custodian</t>
  </si>
  <si>
    <t xml:space="preserve">Twelve nonconversions</t>
  </si>
  <si>
    <t xml:space="preserve">Rule</t>
  </si>
  <si>
    <t xml:space="preserve">Source</t>
  </si>
  <si>
    <t xml:space="preserve">Forbidden result</t>
  </si>
  <si>
    <t xml:space="preserve">Required act</t>
  </si>
  <si>
    <t xml:space="preserve">N01</t>
  </si>
  <si>
    <t xml:space="preserve">Site charter</t>
  </si>
  <si>
    <t xml:space="preserve">Site identity</t>
  </si>
  <si>
    <t xml:space="preserve">Physical Site Court admission</t>
  </si>
  <si>
    <t xml:space="preserve">Open</t>
  </si>
  <si>
    <t xml:space="preserve">N02</t>
  </si>
  <si>
    <t xml:space="preserve">Co-location</t>
  </si>
  <si>
    <t xml:space="preserve">Beneficial-control proof</t>
  </si>
  <si>
    <t xml:space="preserve">Terminate</t>
  </si>
  <si>
    <t xml:space="preserve">N03</t>
  </si>
  <si>
    <t xml:space="preserve">Replica</t>
  </si>
  <si>
    <t xml:space="preserve">Independent root</t>
  </si>
  <si>
    <t xml:space="preserve">Separate people, keys and ancestry</t>
  </si>
  <si>
    <t xml:space="preserve">Invalidate</t>
  </si>
  <si>
    <t xml:space="preserve">N04</t>
  </si>
  <si>
    <t xml:space="preserve">Standby</t>
  </si>
  <si>
    <t xml:space="preserve">Readiness</t>
  </si>
  <si>
    <t xml:space="preserve">Commissioned failover drill</t>
  </si>
  <si>
    <t xml:space="preserve">Hold</t>
  </si>
  <si>
    <t xml:space="preserve">N05</t>
  </si>
  <si>
    <t xml:space="preserve">Technical truth</t>
  </si>
  <si>
    <t xml:space="preserve">DRG-1 reconstruction</t>
  </si>
  <si>
    <t xml:space="preserve">N06</t>
  </si>
  <si>
    <t xml:space="preserve">Exchange threshold</t>
  </si>
  <si>
    <t xml:space="preserve">Release authority</t>
  </si>
  <si>
    <t xml:space="preserve">Purpose-specific warrant</t>
  </si>
  <si>
    <t xml:space="preserve">N07</t>
  </si>
  <si>
    <t xml:space="preserve">Loss drill</t>
  </si>
  <si>
    <t xml:space="preserve">Artifact acceptance</t>
  </si>
  <si>
    <t xml:space="preserve">Package-specific AVW</t>
  </si>
  <si>
    <t xml:space="preserve">Zero credit</t>
  </si>
  <si>
    <t xml:space="preserve">N08</t>
  </si>
  <si>
    <t xml:space="preserve">Physical evidence</t>
  </si>
  <si>
    <t xml:space="preserve">Destructive event</t>
  </si>
  <si>
    <t xml:space="preserve">N09</t>
  </si>
  <si>
    <t xml:space="preserve">Performance disclosure</t>
  </si>
  <si>
    <t xml:space="preserve">Four-of-six release</t>
  </si>
  <si>
    <t xml:space="preserve">N10</t>
  </si>
  <si>
    <t xml:space="preserve">Capital co-use</t>
  </si>
  <si>
    <t xml:space="preserve">New appropriation</t>
  </si>
  <si>
    <t xml:space="preserve">Non-displacement warrant</t>
  </si>
  <si>
    <t xml:space="preserve">N11</t>
  </si>
  <si>
    <t xml:space="preserve">Two-site survival</t>
  </si>
  <si>
    <t xml:space="preserve">Reconstitution</t>
  </si>
  <si>
    <t xml:space="preserve">N12</t>
  </si>
  <si>
    <t xml:space="preserve">Availability</t>
  </si>
  <si>
    <t xml:space="preserve">Payment or selection</t>
  </si>
  <si>
    <t xml:space="preserve">Separate FDW or selection warrant</t>
  </si>
  <si>
    <t xml:space="preserve">Controlled mutation register</t>
  </si>
  <si>
    <t xml:space="preserve">Each corruption is applied to the live topology, detected by a named terminal audit and restored before export.</t>
  </si>
  <si>
    <t xml:space="preserve">Mutation</t>
  </si>
  <si>
    <t xml:space="preserve">Target</t>
  </si>
  <si>
    <t xml:space="preserve">Baseline</t>
  </si>
  <si>
    <t xml:space="preserve">Mutated</t>
  </si>
  <si>
    <t xml:space="preserve">Expected audit</t>
  </si>
  <si>
    <t xml:space="preserve">Detected</t>
  </si>
  <si>
    <t xml:space="preserve">Restored</t>
  </si>
  <si>
    <t xml:space="preserve">M01 Root count erosion</t>
  </si>
  <si>
    <t xml:space="preserve">Inputs!B7</t>
  </si>
  <si>
    <t xml:space="preserve">A01</t>
  </si>
  <si>
    <t xml:space="preserve">YES</t>
  </si>
  <si>
    <t xml:space="preserve">M02 Site replication erosion</t>
  </si>
  <si>
    <t xml:space="preserve">Inputs!B8</t>
  </si>
  <si>
    <t xml:space="preserve">A04</t>
  </si>
  <si>
    <t xml:space="preserve">M03 Region count erosion</t>
  </si>
  <si>
    <t xml:space="preserve">Inputs!B9</t>
  </si>
  <si>
    <t xml:space="preserve">A03</t>
  </si>
  <si>
    <t xml:space="preserve">M04 Court quorum erosion</t>
  </si>
  <si>
    <t xml:space="preserve">Inputs!B10</t>
  </si>
  <si>
    <t xml:space="preserve">A22</t>
  </si>
  <si>
    <t xml:space="preserve">M05 Role-path erosion</t>
  </si>
  <si>
    <t xml:space="preserve">Inputs!B11</t>
  </si>
  <si>
    <t xml:space="preserve">A08</t>
  </si>
  <si>
    <t xml:space="preserve">M06 Exchange threshold inflation</t>
  </si>
  <si>
    <t xml:space="preserve">Inputs!B12</t>
  </si>
  <si>
    <t xml:space="preserve">A23</t>
  </si>
  <si>
    <t xml:space="preserve">M07 Exchange share erosion</t>
  </si>
  <si>
    <t xml:space="preserve">Inputs!B13</t>
  </si>
  <si>
    <t xml:space="preserve">A24</t>
  </si>
  <si>
    <t xml:space="preserve">M08 New-site growth</t>
  </si>
  <si>
    <t xml:space="preserve">Inputs!B14</t>
  </si>
  <si>
    <t xml:space="preserve">A34</t>
  </si>
  <si>
    <t xml:space="preserve">M09 Builder dependency</t>
  </si>
  <si>
    <t xml:space="preserve">Inputs!B15</t>
  </si>
  <si>
    <t xml:space="preserve">A25</t>
  </si>
  <si>
    <t xml:space="preserve">M10 Named site claim</t>
  </si>
  <si>
    <t xml:space="preserve">Inputs!B16</t>
  </si>
  <si>
    <t xml:space="preserve">A26</t>
  </si>
  <si>
    <t xml:space="preserve">M11 Steward claim</t>
  </si>
  <si>
    <t xml:space="preserve">Inputs!B17</t>
  </si>
  <si>
    <t xml:space="preserve">A27</t>
  </si>
  <si>
    <t xml:space="preserve">M12 Live key claim</t>
  </si>
  <si>
    <t xml:space="preserve">Inputs!B18</t>
  </si>
  <si>
    <t xml:space="preserve">A28</t>
  </si>
  <si>
    <t xml:space="preserve">M13 Commissioned enclave claim</t>
  </si>
  <si>
    <t xml:space="preserve">Inputs!B19</t>
  </si>
  <si>
    <t xml:space="preserve">A29</t>
  </si>
  <si>
    <t xml:space="preserve">M14 Premature AVW</t>
  </si>
  <si>
    <t xml:space="preserve">Inputs!B20</t>
  </si>
  <si>
    <t xml:space="preserve">A30</t>
  </si>
  <si>
    <t xml:space="preserve">M15 Premature payment</t>
  </si>
  <si>
    <t xml:space="preserve">Inputs!B21</t>
  </si>
  <si>
    <t xml:space="preserve">A31</t>
  </si>
  <si>
    <t xml:space="preserve">M16 Premature observation</t>
  </si>
  <si>
    <t xml:space="preserve">Inputs!B22</t>
  </si>
  <si>
    <t xml:space="preserve">A32</t>
  </si>
  <si>
    <t xml:space="preserve">M17 Premature selection</t>
  </si>
  <si>
    <t xml:space="preserve">Inputs!B23</t>
  </si>
  <si>
    <t xml:space="preserve">A33</t>
  </si>
  <si>
    <t xml:space="preserve">M18 Control conflict</t>
  </si>
  <si>
    <t xml:space="preserve">Control Separation!F7</t>
  </si>
  <si>
    <t xml:space="preserve">A19</t>
  </si>
  <si>
    <t xml:space="preserve">Terminal audit</t>
  </si>
  <si>
    <t xml:space="preserve">Checks observe the topology and never feed site, role, court, Exchange, finance or artifact states.</t>
  </si>
  <si>
    <t xml:space="preserve">Audit</t>
  </si>
  <si>
    <t xml:space="preserve">Test</t>
  </si>
  <si>
    <t xml:space="preserve">Observed</t>
  </si>
  <si>
    <t xml:space="preserve">Expected</t>
  </si>
  <si>
    <t xml:space="preserve">Status</t>
  </si>
  <si>
    <t xml:space="preserve">Six roots</t>
  </si>
  <si>
    <t xml:space="preserve">A02</t>
  </si>
  <si>
    <t xml:space="preserve">Eighteen sites</t>
  </si>
  <si>
    <t xml:space="preserve">Six failure domains</t>
  </si>
  <si>
    <t xml:space="preserve">Three sites per root control</t>
  </si>
  <si>
    <t xml:space="preserve">A05</t>
  </si>
  <si>
    <t xml:space="preserve">Three ET-A sites</t>
  </si>
  <si>
    <t xml:space="preserve">A06</t>
  </si>
  <si>
    <t xml:space="preserve">Three roots per FD-A</t>
  </si>
  <si>
    <t xml:space="preserve">A07</t>
  </si>
  <si>
    <t xml:space="preserve">Thirty-six role enclaves</t>
  </si>
  <si>
    <t xml:space="preserve">Two role paths required</t>
  </si>
  <si>
    <t xml:space="preserve">A09</t>
  </si>
  <si>
    <t xml:space="preserve">Twelve Native paths</t>
  </si>
  <si>
    <t xml:space="preserve">A10</t>
  </si>
  <si>
    <t xml:space="preserve">Twelve Clean paths</t>
  </si>
  <si>
    <t xml:space="preserve">A11</t>
  </si>
  <si>
    <t xml:space="preserve">Twelve Divergence paths</t>
  </si>
  <si>
    <t xml:space="preserve">A12</t>
  </si>
  <si>
    <t xml:space="preserve">Eighteen court seats</t>
  </si>
  <si>
    <t xml:space="preserve">A13</t>
  </si>
  <si>
    <t xml:space="preserve">Three seats per ET-A court</t>
  </si>
  <si>
    <t xml:space="preserve">A14</t>
  </si>
  <si>
    <t xml:space="preserve">Six Exchange nodes</t>
  </si>
  <si>
    <t xml:space="preserve">A15</t>
  </si>
  <si>
    <t xml:space="preserve">Six public mirrors</t>
  </si>
  <si>
    <t xml:space="preserve">A16</t>
  </si>
  <si>
    <t xml:space="preserve">Six escrow shares</t>
  </si>
  <si>
    <t xml:space="preserve">A17</t>
  </si>
  <si>
    <t xml:space="preserve">Six offline shares</t>
  </si>
  <si>
    <t xml:space="preserve">A18</t>
  </si>
  <si>
    <t xml:space="preserve">Thirty failure worlds</t>
  </si>
  <si>
    <t xml:space="preserve">No control conflicts</t>
  </si>
  <si>
    <t xml:space="preserve">A20</t>
  </si>
  <si>
    <t xml:space="preserve">All failure details pass</t>
  </si>
  <si>
    <t xml:space="preserve">A21</t>
  </si>
  <si>
    <t xml:space="preserve">All failure worlds survive</t>
  </si>
  <si>
    <t xml:space="preserve">Court quorum is two</t>
  </si>
  <si>
    <t xml:space="preserve">Exchange threshold is four</t>
  </si>
  <si>
    <t xml:space="preserve">Exchange shares are six</t>
  </si>
  <si>
    <t xml:space="preserve">Builder dependency zero</t>
  </si>
  <si>
    <t xml:space="preserve">Named sites remain zero</t>
  </si>
  <si>
    <t xml:space="preserve">Named stewards remain zero</t>
  </si>
  <si>
    <t xml:space="preserve">Live keys remain zero</t>
  </si>
  <si>
    <t xml:space="preserve">Commissioned enclaves remain zero</t>
  </si>
  <si>
    <t xml:space="preserve">AVW records remain zero</t>
  </si>
  <si>
    <t xml:space="preserve">Payments remain zero</t>
  </si>
  <si>
    <t xml:space="preserve">Observations remain zero</t>
  </si>
  <si>
    <t xml:space="preserve">Selected forms remain zero</t>
  </si>
  <si>
    <t xml:space="preserve">No new sites</t>
  </si>
  <si>
    <t xml:space="preserve">A35</t>
  </si>
  <si>
    <t xml:space="preserve">Capital shares sum</t>
  </si>
  <si>
    <t xml:space="preserve">A36</t>
  </si>
  <si>
    <t xml:space="preserve">Capital co-use ceiling</t>
  </si>
  <si>
    <t xml:space="preserve">A37</t>
  </si>
  <si>
    <t xml:space="preserve">Reconstruction ops ceiling</t>
  </si>
  <si>
    <t xml:space="preserve">A38</t>
  </si>
  <si>
    <t xml:space="preserve">Escrow ops ceiling</t>
  </si>
  <si>
    <t xml:space="preserve">A39</t>
  </si>
  <si>
    <t xml:space="preserve">Combined ops ceiling</t>
  </si>
  <si>
    <t xml:space="preserve">A40</t>
  </si>
  <si>
    <t xml:space="preserve">One selected architecture</t>
  </si>
  <si>
    <t xml:space="preserve">A41</t>
  </si>
  <si>
    <t xml:space="preserve">Selected lattice has eighteen sites</t>
  </si>
  <si>
    <t xml:space="preserve">A42</t>
  </si>
  <si>
    <t xml:space="preserve">State-law rows</t>
  </si>
  <si>
    <t xml:space="preserve">A43</t>
  </si>
  <si>
    <t xml:space="preserve">Nonconversion rows</t>
  </si>
  <si>
    <t xml:space="preserve">A44</t>
  </si>
  <si>
    <t xml:space="preserve">Site identities open</t>
  </si>
  <si>
    <t xml:space="preserve">A45</t>
  </si>
  <si>
    <t xml:space="preserve">Enclaves open</t>
  </si>
  <si>
    <t xml:space="preserve">A46</t>
  </si>
  <si>
    <t xml:space="preserve">Court seats not ready</t>
  </si>
  <si>
    <t xml:space="preserve">A47</t>
  </si>
  <si>
    <t xml:space="preserve">Exchange nodes not ready</t>
  </si>
  <si>
    <t xml:space="preserve">A48</t>
  </si>
  <si>
    <t xml:space="preserve">Every region has three roots</t>
  </si>
  <si>
    <t xml:space="preserve">A49</t>
  </si>
  <si>
    <t xml:space="preserve">No negative allocation</t>
  </si>
  <si>
    <t xml:space="preserve">A50</t>
  </si>
  <si>
    <t xml:space="preserve">Audit is terminal</t>
  </si>
  <si>
    <t xml:space="preserve">Model notes and limits</t>
  </si>
  <si>
    <t xml:space="preserve">This workbook constitutes an artifact-estate topology. It does not identify a site, appoint a steward, commission an enclave or issue an AVW.</t>
  </si>
  <si>
    <t xml:space="preserve">Purpose</t>
  </si>
  <si>
    <t xml:space="preserve">FAE-1 overlays the eighteen already-authorized truth-station nuclei instead of building a separate validity-campus network.</t>
  </si>
  <si>
    <t xml:space="preserve">Each root receives three sites, six role enclaves and a distributed three-seat Artifact Court. Six regional Exchange nodes provide mirrored public custody and threshold-protected escrow.</t>
  </si>
  <si>
    <t xml:space="preserve">The failure model covers every single-site loss, every single-region loss, vendor exit and five compromise worlds. These are architecture tests, not executed drills.</t>
  </si>
  <si>
    <t xml:space="preserve">The USD540M capital figure is a maximum co-use ceiling inside the existing public-method replay and cold-run reservation. The USD41.3M cohort operating ceiling remains inside DRG-1.</t>
  </si>
  <si>
    <t xml:space="preserve">No new site, appropriation, artifact, payment, observation or downstream authority is created.</t>
  </si>
  <si>
    <t xml:space="preserve">Interpretation</t>
  </si>
  <si>
    <t xml:space="preserve">One-site continuity means every root still has one Native, Clean and Divergence path and two court seats.</t>
  </si>
  <si>
    <t xml:space="preserve">One-region continuity means three roots each lose one site while all six roots retain lawful operation.</t>
  </si>
  <si>
    <t xml:space="preserve">Four-of-six custody prevents one region, one root or one national office from unsealing protected performance.</t>
  </si>
  <si>
    <t xml:space="preserve">A second site loss in one root is a hold condition, not an invitation to borrow another root's technical staff.</t>
  </si>
  <si>
    <t xml:space="preserve">Co-located enclaves remain separate institutions with distinct people, keys and beneficial control.</t>
  </si>
  <si>
    <t xml:space="preserve">Vendor exit is survived because public custody and clean reconstruction do not count the builder as an operating node.</t>
  </si>
  <si>
    <t xml:space="preserve">Limits</t>
  </si>
  <si>
    <t xml:space="preserve">No external sources were used. Passes 209, 210, 214, 215, 231 and 232 are the repository inputs.</t>
  </si>
  <si>
    <t xml:space="preserve">All site, steward, key and commissioning identities remain empty. Failure-world success is architectural, not observed.</t>
  </si>
  <si>
    <t xml:space="preserve">A later warrant must prove that artifact-estate co-use does not displace the physical truth trains' replay and cold-run capacity.</t>
  </si>
  <si>
    <t xml:space="preserve">Vehicle and facility renderings remain deferred.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</si>
</sst>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000"/>
    <numFmt numFmtId="167" formatCode="\$#,##0.0"/>
    <numFmt numFmtId="168" formatCode="0.0%"/>
    <numFmt numFmtId="169" formatCode="0.0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9"/>
      <color rgb="FF17365D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1F4E78"/>
        <bgColor rgb="FF17365D"/>
      </patternFill>
    </fill>
    <fill>
      <patternFill patternType="solid">
        <fgColor rgb="FFDCE6F1"/>
        <bgColor rgb="FFE7E6E6"/>
      </patternFill>
    </fill>
    <fill>
      <patternFill patternType="solid">
        <fgColor rgb="FFEAF2F8"/>
        <bgColor rgb="FFE7E6E6"/>
      </patternFill>
    </fill>
    <fill>
      <patternFill patternType="solid">
        <fgColor rgb="FFFFF2CC"/>
        <bgColor rgb="FFFCE4D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4E78"/>
      </bottom>
      <diagonal/>
    </border>
    <border diagonalUp="false" diagonalDown="false">
      <left/>
      <right style="thin">
        <color rgb="FFFFFFFF"/>
      </right>
      <top/>
      <bottom style="thin">
        <color rgb="FF17365D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17365D"/>
      </bottom>
      <diagonal/>
    </border>
    <border diagonalUp="false" diagonalDown="false">
      <left style="thin">
        <color rgb="FFFFFFFF"/>
      </left>
      <right/>
      <top/>
      <bottom style="thin">
        <color rgb="FF17365D"/>
      </bottom>
      <diagonal/>
    </border>
    <border diagonalUp="false" diagonalDown="false">
      <left style="thin">
        <color rgb="FFA6B7C8"/>
      </left>
      <right style="thin">
        <color rgb="FFA6B7C8"/>
      </right>
      <top style="thin">
        <color rgb="FFA6B7C8"/>
      </top>
      <bottom style="thin">
        <color rgb="FFA6B7C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CCCCC"/>
      <rgbColor rgb="FF8B8B8B"/>
      <rgbColor rgb="FF5B9BD5"/>
      <rgbColor rgb="FF993366"/>
      <rgbColor rgb="FFFFF2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7E6E6"/>
      <rgbColor rgb="FFFFFF99"/>
      <rgbColor rgb="FFA6B7C8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B6573"/>
      <rgbColor rgb="FFA6A6A6"/>
      <rgbColor rgb="FF17365D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Modeled continuity worlds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F6B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Summary!$I$27:$I$30</c:f>
              <c:strCache>
                <c:ptCount val="4"/>
                <c:pt idx="0">
                  <c:v>Site loss</c:v>
                </c:pt>
                <c:pt idx="1">
                  <c:v>Region loss</c:v>
                </c:pt>
                <c:pt idx="2">
                  <c:v>Vendor exit</c:v>
                </c:pt>
                <c:pt idx="3">
                  <c:v>Compromise</c:v>
                </c:pt>
              </c:strCache>
            </c:strRef>
          </c:cat>
          <c:val>
            <c:numRef>
              <c:f>Summary!$J$27:$J$30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</c:ser>
        <c:gapWidth val="150"/>
        <c:overlap val="0"/>
        <c:axId val="68343899"/>
        <c:axId val="84538577"/>
      </c:barChart>
      <c:catAx>
        <c:axId val="6834389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4538577"/>
        <c:crosses val="autoZero"/>
        <c:auto val="1"/>
        <c:lblAlgn val="ctr"/>
        <c:lblOffset val="100"/>
        <c:noMultiLvlLbl val="0"/>
      </c:catAx>
      <c:valAx>
        <c:axId val="8453857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8343899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6</xdr:row>
      <xdr:rowOff>0</xdr:rowOff>
    </xdr:from>
    <xdr:to>
      <xdr:col>15</xdr:col>
      <xdr:colOff>1056960</xdr:colOff>
      <xdr:row>22</xdr:row>
      <xdr:rowOff>190080</xdr:rowOff>
    </xdr:to>
    <xdr:graphicFrame>
      <xdr:nvGraphicFramePr>
        <xdr:cNvPr id="1" name="Chart"/>
        <xdr:cNvGraphicFramePr/>
      </xdr:nvGraphicFramePr>
      <xdr:xfrm>
        <a:off x="12687480" y="1188000"/>
        <a:ext cx="8387280" cy="43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2:N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51"/>
    <col collapsed="false" customWidth="true" hidden="false" outlineLevel="0" max="8" min="3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6" min="11" style="0" width="15"/>
  </cols>
  <sheetData>
    <row r="2" customFormat="false" ht="18.5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5" t="s">
        <v>2</v>
      </c>
      <c r="B6" s="5"/>
      <c r="C6" s="5"/>
      <c r="D6" s="5"/>
      <c r="E6" s="5"/>
      <c r="F6" s="5"/>
      <c r="G6" s="5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6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8" t="s">
        <v>9</v>
      </c>
      <c r="H8" s="4"/>
      <c r="I8" s="4"/>
      <c r="J8" s="4"/>
      <c r="K8" s="4"/>
      <c r="L8" s="4"/>
      <c r="M8" s="4"/>
      <c r="N8" s="4"/>
    </row>
    <row r="9" customFormat="false" ht="16.15" hidden="false" customHeight="false" outlineLevel="0" collapsed="false">
      <c r="A9" s="9" t="n">
        <f aca="false">Inputs!B7</f>
        <v>6</v>
      </c>
      <c r="B9" s="9" t="n">
        <f aca="false">COUNTA('Site Lattice'!A7:A24)</f>
        <v>18</v>
      </c>
      <c r="C9" s="9" t="n">
        <f aca="false">Inputs!B14</f>
        <v>0</v>
      </c>
      <c r="D9" s="9" t="n">
        <f aca="false">COUNTA('Role Enclaves'!A7:A42)</f>
        <v>36</v>
      </c>
      <c r="E9" s="9" t="n">
        <f aca="false">COUNTA('Court Quorum'!A7:A24)</f>
        <v>18</v>
      </c>
      <c r="F9" s="9" t="n">
        <f aca="false">COUNTA('Failure Worlds'!A7:A36)</f>
        <v>30</v>
      </c>
      <c r="G9" s="9" t="n">
        <f aca="false">COUNTIF('Failure Worlds'!L7:L36,"SURVIVE")</f>
        <v>30</v>
      </c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0" t="s">
        <v>10</v>
      </c>
      <c r="B13" s="10" t="s">
        <v>10</v>
      </c>
      <c r="C13" s="10" t="s">
        <v>10</v>
      </c>
      <c r="D13" s="10" t="s">
        <v>10</v>
      </c>
      <c r="E13" s="10" t="s">
        <v>10</v>
      </c>
      <c r="F13" s="10" t="s">
        <v>10</v>
      </c>
      <c r="G13" s="10" t="s">
        <v>10</v>
      </c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30" hidden="false" customHeight="true" outlineLevel="0" collapsed="false">
      <c r="A15" s="11" t="s">
        <v>11</v>
      </c>
      <c r="B15" s="12" t="s">
        <v>12</v>
      </c>
      <c r="C15" s="12"/>
      <c r="D15" s="12"/>
      <c r="E15" s="12"/>
      <c r="F15" s="12"/>
      <c r="G15" s="12"/>
      <c r="H15" s="4"/>
      <c r="I15" s="4"/>
      <c r="J15" s="4"/>
      <c r="K15" s="4"/>
      <c r="L15" s="4"/>
      <c r="M15" s="4"/>
      <c r="N15" s="4"/>
    </row>
    <row r="16" customFormat="false" ht="30" hidden="false" customHeight="true" outlineLevel="0" collapsed="false">
      <c r="A16" s="11" t="s">
        <v>13</v>
      </c>
      <c r="B16" s="12" t="s">
        <v>14</v>
      </c>
      <c r="C16" s="12"/>
      <c r="D16" s="12"/>
      <c r="E16" s="12"/>
      <c r="F16" s="12"/>
      <c r="G16" s="12"/>
      <c r="H16" s="4"/>
      <c r="I16" s="4"/>
      <c r="J16" s="4"/>
      <c r="K16" s="4"/>
      <c r="L16" s="4"/>
      <c r="M16" s="4"/>
      <c r="N16" s="4"/>
    </row>
    <row r="17" customFormat="false" ht="30" hidden="false" customHeight="true" outlineLevel="0" collapsed="false">
      <c r="A17" s="11" t="s">
        <v>15</v>
      </c>
      <c r="B17" s="12" t="s">
        <v>16</v>
      </c>
      <c r="C17" s="12"/>
      <c r="D17" s="12"/>
      <c r="E17" s="12"/>
      <c r="F17" s="12"/>
      <c r="G17" s="12"/>
      <c r="H17" s="4"/>
      <c r="I17" s="4"/>
      <c r="J17" s="4"/>
      <c r="K17" s="4"/>
      <c r="L17" s="4"/>
      <c r="M17" s="4"/>
      <c r="N17" s="4"/>
    </row>
    <row r="18" customFormat="false" ht="30" hidden="false" customHeight="true" outlineLevel="0" collapsed="false">
      <c r="A18" s="11" t="s">
        <v>17</v>
      </c>
      <c r="B18" s="12" t="s">
        <v>18</v>
      </c>
      <c r="C18" s="12"/>
      <c r="D18" s="12"/>
      <c r="E18" s="12"/>
      <c r="F18" s="12"/>
      <c r="G18" s="12"/>
      <c r="H18" s="4"/>
      <c r="I18" s="4"/>
      <c r="J18" s="4"/>
      <c r="K18" s="4"/>
      <c r="L18" s="4"/>
      <c r="M18" s="4"/>
      <c r="N18" s="4"/>
    </row>
    <row r="19" customFormat="false" ht="30" hidden="false" customHeight="true" outlineLevel="0" collapsed="false">
      <c r="A19" s="11" t="s">
        <v>19</v>
      </c>
      <c r="B19" s="12" t="s">
        <v>20</v>
      </c>
      <c r="C19" s="12"/>
      <c r="D19" s="12"/>
      <c r="E19" s="12"/>
      <c r="F19" s="12"/>
      <c r="G19" s="12"/>
      <c r="H19" s="4"/>
      <c r="I19" s="4"/>
      <c r="J19" s="4"/>
      <c r="K19" s="4"/>
      <c r="L19" s="4"/>
      <c r="M19" s="4"/>
      <c r="N19" s="4"/>
    </row>
    <row r="20" customFormat="false" ht="30" hidden="false" customHeight="true" outlineLevel="0" collapsed="false">
      <c r="A20" s="11" t="s">
        <v>21</v>
      </c>
      <c r="B20" s="12" t="s">
        <v>22</v>
      </c>
      <c r="C20" s="12"/>
      <c r="D20" s="12"/>
      <c r="E20" s="12"/>
      <c r="F20" s="12"/>
      <c r="G20" s="12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0" t="s">
        <v>23</v>
      </c>
      <c r="B24" s="10" t="s">
        <v>23</v>
      </c>
      <c r="C24" s="10" t="s">
        <v>23</v>
      </c>
      <c r="D24" s="10" t="s">
        <v>23</v>
      </c>
      <c r="E24" s="10" t="s">
        <v>23</v>
      </c>
      <c r="F24" s="10" t="s">
        <v>23</v>
      </c>
      <c r="G24" s="10" t="s">
        <v>23</v>
      </c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3" t="s">
        <v>24</v>
      </c>
      <c r="B26" s="14" t="n">
        <v>18</v>
      </c>
      <c r="C26" s="4"/>
      <c r="D26" s="4"/>
      <c r="E26" s="4"/>
      <c r="F26" s="4"/>
      <c r="G26" s="4"/>
      <c r="H26" s="4"/>
      <c r="I26" s="6" t="s">
        <v>25</v>
      </c>
      <c r="J26" s="8" t="s">
        <v>26</v>
      </c>
      <c r="K26" s="4"/>
      <c r="L26" s="4"/>
      <c r="M26" s="4"/>
      <c r="N26" s="4"/>
    </row>
    <row r="27" customFormat="false" ht="15" hidden="false" customHeight="false" outlineLevel="0" collapsed="false">
      <c r="A27" s="13" t="s">
        <v>27</v>
      </c>
      <c r="B27" s="14" t="n">
        <v>6</v>
      </c>
      <c r="C27" s="4"/>
      <c r="D27" s="4"/>
      <c r="E27" s="4"/>
      <c r="F27" s="4"/>
      <c r="G27" s="4"/>
      <c r="H27" s="4"/>
      <c r="I27" s="4" t="s">
        <v>28</v>
      </c>
      <c r="J27" s="4" t="n">
        <v>18</v>
      </c>
      <c r="K27" s="4"/>
      <c r="L27" s="4"/>
      <c r="M27" s="4"/>
      <c r="N27" s="4"/>
    </row>
    <row r="28" customFormat="false" ht="15" hidden="false" customHeight="false" outlineLevel="0" collapsed="false">
      <c r="A28" s="13" t="s">
        <v>29</v>
      </c>
      <c r="B28" s="14" t="n">
        <v>1</v>
      </c>
      <c r="C28" s="4"/>
      <c r="D28" s="4"/>
      <c r="E28" s="4"/>
      <c r="F28" s="4"/>
      <c r="G28" s="4"/>
      <c r="H28" s="4"/>
      <c r="I28" s="4" t="s">
        <v>30</v>
      </c>
      <c r="J28" s="4" t="n">
        <v>6</v>
      </c>
      <c r="K28" s="4"/>
      <c r="L28" s="4"/>
      <c r="M28" s="4"/>
      <c r="N28" s="4"/>
    </row>
    <row r="29" customFormat="false" ht="15" hidden="false" customHeight="false" outlineLevel="0" collapsed="false">
      <c r="A29" s="13" t="s">
        <v>31</v>
      </c>
      <c r="B29" s="14" t="n">
        <v>5</v>
      </c>
      <c r="C29" s="4"/>
      <c r="D29" s="4"/>
      <c r="E29" s="4"/>
      <c r="F29" s="4"/>
      <c r="G29" s="4"/>
      <c r="H29" s="4"/>
      <c r="I29" s="4" t="s">
        <v>32</v>
      </c>
      <c r="J29" s="4" t="n">
        <v>1</v>
      </c>
      <c r="K29" s="4"/>
      <c r="L29" s="4"/>
      <c r="M29" s="4"/>
      <c r="N29" s="4"/>
    </row>
    <row r="30" customFormat="false" ht="15" hidden="false" customHeight="false" outlineLevel="0" collapsed="false">
      <c r="A30" s="13" t="s">
        <v>33</v>
      </c>
      <c r="B30" s="14" t="n">
        <v>30</v>
      </c>
      <c r="C30" s="4"/>
      <c r="D30" s="4"/>
      <c r="E30" s="4"/>
      <c r="F30" s="4"/>
      <c r="G30" s="4"/>
      <c r="H30" s="4"/>
      <c r="I30" s="4" t="s">
        <v>34</v>
      </c>
      <c r="J30" s="4" t="n">
        <v>5</v>
      </c>
      <c r="K30" s="4"/>
      <c r="L30" s="4"/>
      <c r="M30" s="4"/>
      <c r="N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0" t="s">
        <v>35</v>
      </c>
      <c r="B34" s="10" t="s">
        <v>35</v>
      </c>
      <c r="C34" s="10" t="s">
        <v>35</v>
      </c>
      <c r="D34" s="10" t="s">
        <v>35</v>
      </c>
      <c r="E34" s="10" t="s">
        <v>35</v>
      </c>
      <c r="F34" s="10" t="s">
        <v>35</v>
      </c>
      <c r="G34" s="10" t="s">
        <v>35</v>
      </c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13" t="s">
        <v>36</v>
      </c>
      <c r="B36" s="14" t="s">
        <v>37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13" t="s">
        <v>38</v>
      </c>
      <c r="B37" s="14" t="s">
        <v>39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13" t="s">
        <v>40</v>
      </c>
      <c r="B38" s="14" t="s">
        <v>41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13" t="s">
        <v>42</v>
      </c>
      <c r="B39" s="14" t="s">
        <v>43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13" t="s">
        <v>44</v>
      </c>
      <c r="B40" s="14" t="s">
        <v>41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13" t="s">
        <v>45</v>
      </c>
      <c r="B41" s="14" t="s">
        <v>46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13" t="s">
        <v>47</v>
      </c>
      <c r="B42" s="14" t="s">
        <v>48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13" t="s">
        <v>49</v>
      </c>
      <c r="B43" s="14" t="s">
        <v>50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</sheetData>
  <mergeCells count="12">
    <mergeCell ref="A2:N2"/>
    <mergeCell ref="A4:N4"/>
    <mergeCell ref="A6:G6"/>
    <mergeCell ref="A13:G13"/>
    <mergeCell ref="B15:G15"/>
    <mergeCell ref="B16:G16"/>
    <mergeCell ref="B17:G17"/>
    <mergeCell ref="B18:G18"/>
    <mergeCell ref="B19:G19"/>
    <mergeCell ref="B20:G20"/>
    <mergeCell ref="A24:G24"/>
    <mergeCell ref="A34:G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E6F1"/>
    <pageSetUpPr fitToPage="false"/>
  </sheetPr>
  <dimension ref="A2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5" min="4" style="0" width="15"/>
    <col collapsed="false" customWidth="true" hidden="false" outlineLevel="0" max="6" min="6" style="0" width="25"/>
    <col collapsed="false" customWidth="true" hidden="false" outlineLevel="0" max="7" min="7" style="0" width="21"/>
  </cols>
  <sheetData>
    <row r="2" customFormat="false" ht="18.55" hidden="false" customHeight="false" outlineLevel="0" collapsed="false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10" t="s">
        <v>53</v>
      </c>
      <c r="B6" s="10" t="s">
        <v>53</v>
      </c>
      <c r="C6" s="10" t="s">
        <v>53</v>
      </c>
      <c r="D6" s="10" t="s">
        <v>53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5" t="s">
        <v>54</v>
      </c>
      <c r="B7" s="16" t="n">
        <v>6</v>
      </c>
      <c r="C7" s="17"/>
      <c r="D7" s="17"/>
      <c r="E7" s="17"/>
      <c r="F7" s="17"/>
      <c r="G7" s="17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5" t="s">
        <v>55</v>
      </c>
      <c r="B8" s="16" t="n">
        <v>3</v>
      </c>
      <c r="C8" s="17"/>
      <c r="D8" s="17"/>
      <c r="E8" s="17"/>
      <c r="F8" s="17"/>
      <c r="G8" s="17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5" t="s">
        <v>56</v>
      </c>
      <c r="B9" s="16" t="n">
        <v>6</v>
      </c>
      <c r="C9" s="17"/>
      <c r="D9" s="17"/>
      <c r="E9" s="17"/>
      <c r="F9" s="17"/>
      <c r="G9" s="17"/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5" t="s">
        <v>57</v>
      </c>
      <c r="B10" s="16" t="n">
        <v>2</v>
      </c>
      <c r="C10" s="17"/>
      <c r="D10" s="17"/>
      <c r="E10" s="17"/>
      <c r="F10" s="17"/>
      <c r="G10" s="17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5" t="s">
        <v>58</v>
      </c>
      <c r="B11" s="16" t="n">
        <v>2</v>
      </c>
      <c r="C11" s="17"/>
      <c r="D11" s="17"/>
      <c r="E11" s="17"/>
      <c r="F11" s="17"/>
      <c r="G11" s="17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5" t="s">
        <v>59</v>
      </c>
      <c r="B12" s="16" t="n">
        <v>4</v>
      </c>
      <c r="C12" s="17"/>
      <c r="D12" s="17"/>
      <c r="E12" s="17"/>
      <c r="F12" s="17"/>
      <c r="G12" s="17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5" t="s">
        <v>60</v>
      </c>
      <c r="B13" s="16" t="n">
        <v>6</v>
      </c>
      <c r="C13" s="17"/>
      <c r="D13" s="17"/>
      <c r="E13" s="17"/>
      <c r="F13" s="17"/>
      <c r="G13" s="17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5" t="s">
        <v>61</v>
      </c>
      <c r="B14" s="16" t="n">
        <v>0</v>
      </c>
      <c r="C14" s="17"/>
      <c r="D14" s="17"/>
      <c r="E14" s="17"/>
      <c r="F14" s="17"/>
      <c r="G14" s="17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5" t="s">
        <v>62</v>
      </c>
      <c r="B15" s="16" t="n">
        <v>0</v>
      </c>
      <c r="C15" s="17"/>
      <c r="D15" s="17"/>
      <c r="E15" s="17"/>
      <c r="F15" s="17"/>
      <c r="G15" s="17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5" t="s">
        <v>63</v>
      </c>
      <c r="B16" s="16" t="n">
        <v>0</v>
      </c>
      <c r="C16" s="17"/>
      <c r="D16" s="17"/>
      <c r="E16" s="17"/>
      <c r="F16" s="17"/>
      <c r="G16" s="17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5" t="s">
        <v>64</v>
      </c>
      <c r="B17" s="16" t="n">
        <v>0</v>
      </c>
      <c r="C17" s="17"/>
      <c r="D17" s="17"/>
      <c r="E17" s="17"/>
      <c r="F17" s="17"/>
      <c r="G17" s="17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5" t="s">
        <v>65</v>
      </c>
      <c r="B18" s="16" t="n">
        <v>0</v>
      </c>
      <c r="C18" s="17"/>
      <c r="D18" s="17"/>
      <c r="E18" s="17"/>
      <c r="F18" s="17"/>
      <c r="G18" s="17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5" t="s">
        <v>66</v>
      </c>
      <c r="B19" s="16" t="n">
        <v>0</v>
      </c>
      <c r="C19" s="17"/>
      <c r="D19" s="17"/>
      <c r="E19" s="17"/>
      <c r="F19" s="17"/>
      <c r="G19" s="17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5" t="s">
        <v>67</v>
      </c>
      <c r="B20" s="16" t="n">
        <v>0</v>
      </c>
      <c r="C20" s="17"/>
      <c r="D20" s="17"/>
      <c r="E20" s="17"/>
      <c r="F20" s="17"/>
      <c r="G20" s="17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15" t="s">
        <v>68</v>
      </c>
      <c r="B21" s="16" t="n">
        <v>0</v>
      </c>
      <c r="C21" s="17"/>
      <c r="D21" s="17"/>
      <c r="E21" s="17"/>
      <c r="F21" s="17"/>
      <c r="G21" s="17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5" t="s">
        <v>69</v>
      </c>
      <c r="B22" s="16" t="n">
        <v>0</v>
      </c>
      <c r="C22" s="17"/>
      <c r="D22" s="17"/>
      <c r="E22" s="17"/>
      <c r="F22" s="17"/>
      <c r="G22" s="17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5" t="s">
        <v>70</v>
      </c>
      <c r="B23" s="16" t="n">
        <v>0</v>
      </c>
      <c r="C23" s="17"/>
      <c r="D23" s="17"/>
      <c r="E23" s="17"/>
      <c r="F23" s="17"/>
      <c r="G23" s="17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5" t="s">
        <v>71</v>
      </c>
      <c r="B24" s="16" t="n">
        <v>0</v>
      </c>
      <c r="C24" s="17"/>
      <c r="D24" s="17"/>
      <c r="E24" s="17"/>
      <c r="F24" s="17"/>
      <c r="G24" s="17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5" t="s">
        <v>72</v>
      </c>
      <c r="B25" s="16" t="n">
        <v>0</v>
      </c>
      <c r="C25" s="17"/>
      <c r="D25" s="17"/>
      <c r="E25" s="17"/>
      <c r="F25" s="17"/>
      <c r="G25" s="17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5" t="s">
        <v>73</v>
      </c>
      <c r="B26" s="18" t="n">
        <v>1E-006</v>
      </c>
      <c r="C26" s="17"/>
      <c r="D26" s="17"/>
      <c r="E26" s="17"/>
      <c r="F26" s="17"/>
      <c r="G26" s="17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9" t="s">
        <v>74</v>
      </c>
      <c r="B29" s="19" t="s">
        <v>74</v>
      </c>
      <c r="C29" s="19" t="s">
        <v>74</v>
      </c>
      <c r="D29" s="19" t="s">
        <v>74</v>
      </c>
      <c r="E29" s="19" t="s">
        <v>74</v>
      </c>
      <c r="F29" s="19" t="s">
        <v>74</v>
      </c>
      <c r="G29" s="17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6" t="s">
        <v>75</v>
      </c>
      <c r="B31" s="7" t="s">
        <v>76</v>
      </c>
      <c r="C31" s="7" t="s">
        <v>77</v>
      </c>
      <c r="D31" s="7" t="s">
        <v>78</v>
      </c>
      <c r="E31" s="7" t="s">
        <v>79</v>
      </c>
      <c r="F31" s="8" t="s">
        <v>80</v>
      </c>
      <c r="G31" s="17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7" t="s">
        <v>81</v>
      </c>
      <c r="B32" s="20" t="n">
        <v>540</v>
      </c>
      <c r="C32" s="17" t="s">
        <v>82</v>
      </c>
      <c r="D32" s="21" t="n">
        <v>0.35</v>
      </c>
      <c r="E32" s="20" t="n">
        <f aca="false">B32*D32</f>
        <v>189</v>
      </c>
      <c r="F32" s="17" t="s">
        <v>83</v>
      </c>
      <c r="G32" s="17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7" t="s">
        <v>81</v>
      </c>
      <c r="B33" s="20" t="n">
        <v>540</v>
      </c>
      <c r="C33" s="17" t="s">
        <v>84</v>
      </c>
      <c r="D33" s="21" t="n">
        <v>0.25</v>
      </c>
      <c r="E33" s="20" t="n">
        <f aca="false">B33*D33</f>
        <v>135</v>
      </c>
      <c r="F33" s="17" t="s">
        <v>83</v>
      </c>
      <c r="G33" s="17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7" t="s">
        <v>81</v>
      </c>
      <c r="B34" s="20" t="n">
        <v>540</v>
      </c>
      <c r="C34" s="17" t="s">
        <v>85</v>
      </c>
      <c r="D34" s="21" t="n">
        <v>0.15</v>
      </c>
      <c r="E34" s="20" t="n">
        <f aca="false">B34*D34</f>
        <v>81</v>
      </c>
      <c r="F34" s="17" t="s">
        <v>83</v>
      </c>
      <c r="G34" s="17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17" t="s">
        <v>81</v>
      </c>
      <c r="B35" s="20" t="n">
        <v>540</v>
      </c>
      <c r="C35" s="17" t="s">
        <v>86</v>
      </c>
      <c r="D35" s="21" t="n">
        <v>0.1</v>
      </c>
      <c r="E35" s="20" t="n">
        <f aca="false">B35*D35</f>
        <v>54</v>
      </c>
      <c r="F35" s="17" t="s">
        <v>83</v>
      </c>
      <c r="G35" s="17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17" t="s">
        <v>81</v>
      </c>
      <c r="B36" s="20" t="n">
        <v>540</v>
      </c>
      <c r="C36" s="17" t="s">
        <v>87</v>
      </c>
      <c r="D36" s="21" t="n">
        <v>0.1</v>
      </c>
      <c r="E36" s="20" t="n">
        <f aca="false">B36*D36</f>
        <v>54</v>
      </c>
      <c r="F36" s="17" t="s">
        <v>83</v>
      </c>
      <c r="G36" s="17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17" t="s">
        <v>81</v>
      </c>
      <c r="B37" s="20" t="n">
        <v>540</v>
      </c>
      <c r="C37" s="17" t="s">
        <v>88</v>
      </c>
      <c r="D37" s="21" t="n">
        <v>0.05</v>
      </c>
      <c r="E37" s="20" t="n">
        <f aca="false">B37*D37</f>
        <v>27</v>
      </c>
      <c r="F37" s="17" t="s">
        <v>89</v>
      </c>
      <c r="G37" s="17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19" t="s">
        <v>90</v>
      </c>
      <c r="B40" s="19" t="s">
        <v>90</v>
      </c>
      <c r="C40" s="19" t="s">
        <v>90</v>
      </c>
      <c r="D40" s="19" t="s">
        <v>90</v>
      </c>
      <c r="E40" s="19" t="s">
        <v>90</v>
      </c>
      <c r="F40" s="19" t="s">
        <v>90</v>
      </c>
      <c r="G40" s="17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6" t="s">
        <v>75</v>
      </c>
      <c r="B42" s="7" t="s">
        <v>76</v>
      </c>
      <c r="C42" s="7" t="s">
        <v>91</v>
      </c>
      <c r="D42" s="7" t="s">
        <v>78</v>
      </c>
      <c r="E42" s="8" t="s">
        <v>92</v>
      </c>
      <c r="F42" s="17"/>
      <c r="G42" s="17"/>
      <c r="H42" s="4"/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17" t="s">
        <v>93</v>
      </c>
      <c r="B43" s="20" t="n">
        <v>26.905</v>
      </c>
      <c r="C43" s="17" t="s">
        <v>94</v>
      </c>
      <c r="D43" s="21" t="n">
        <v>0.55</v>
      </c>
      <c r="E43" s="20" t="n">
        <f aca="false">B43*D43</f>
        <v>14.79775</v>
      </c>
      <c r="F43" s="17"/>
      <c r="G43" s="17"/>
      <c r="H43" s="4"/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17" t="s">
        <v>93</v>
      </c>
      <c r="B44" s="20" t="n">
        <v>26.905</v>
      </c>
      <c r="C44" s="17" t="s">
        <v>95</v>
      </c>
      <c r="D44" s="21" t="n">
        <v>0.25</v>
      </c>
      <c r="E44" s="20" t="n">
        <f aca="false">B44*D44</f>
        <v>6.72625</v>
      </c>
      <c r="F44" s="17"/>
      <c r="G44" s="17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17" t="s">
        <v>93</v>
      </c>
      <c r="B45" s="20" t="n">
        <v>26.905</v>
      </c>
      <c r="C45" s="17" t="s">
        <v>96</v>
      </c>
      <c r="D45" s="21" t="n">
        <v>0.2</v>
      </c>
      <c r="E45" s="20" t="n">
        <f aca="false">B45*D45</f>
        <v>5.381</v>
      </c>
      <c r="F45" s="17"/>
      <c r="G45" s="17"/>
      <c r="H45" s="4"/>
      <c r="I45" s="4"/>
      <c r="J45" s="4"/>
      <c r="K45" s="4"/>
      <c r="L45" s="4"/>
      <c r="M45" s="4"/>
      <c r="N45" s="4"/>
    </row>
    <row r="46" customFormat="false" ht="15" hidden="false" customHeight="false" outlineLevel="0" collapsed="false">
      <c r="A46" s="17" t="s">
        <v>97</v>
      </c>
      <c r="B46" s="20" t="n">
        <v>14.3493333333</v>
      </c>
      <c r="C46" s="17" t="s">
        <v>98</v>
      </c>
      <c r="D46" s="21" t="n">
        <v>0.45</v>
      </c>
      <c r="E46" s="20" t="n">
        <f aca="false">B46*D46</f>
        <v>6.457199999985</v>
      </c>
      <c r="F46" s="17"/>
      <c r="G46" s="17"/>
      <c r="H46" s="4"/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A47" s="17" t="s">
        <v>97</v>
      </c>
      <c r="B47" s="20" t="n">
        <v>14.3493333333</v>
      </c>
      <c r="C47" s="17" t="s">
        <v>99</v>
      </c>
      <c r="D47" s="21" t="n">
        <v>0.3</v>
      </c>
      <c r="E47" s="20" t="n">
        <f aca="false">B47*D47</f>
        <v>4.30479999999</v>
      </c>
      <c r="F47" s="17"/>
      <c r="G47" s="17"/>
      <c r="H47" s="4"/>
      <c r="I47" s="4"/>
      <c r="J47" s="4"/>
      <c r="K47" s="4"/>
      <c r="L47" s="4"/>
      <c r="M47" s="4"/>
      <c r="N47" s="4"/>
    </row>
    <row r="48" customFormat="false" ht="15" hidden="false" customHeight="false" outlineLevel="0" collapsed="false">
      <c r="A48" s="17" t="s">
        <v>97</v>
      </c>
      <c r="B48" s="20" t="n">
        <v>14.3493333333</v>
      </c>
      <c r="C48" s="17" t="s">
        <v>100</v>
      </c>
      <c r="D48" s="21" t="n">
        <v>0.15</v>
      </c>
      <c r="E48" s="20" t="n">
        <f aca="false">B48*D48</f>
        <v>2.152399999995</v>
      </c>
      <c r="F48" s="17"/>
      <c r="G48" s="17"/>
      <c r="H48" s="4"/>
      <c r="I48" s="4"/>
      <c r="J48" s="4"/>
      <c r="K48" s="4"/>
      <c r="L48" s="4"/>
      <c r="M48" s="4"/>
      <c r="N48" s="4"/>
    </row>
    <row r="49" customFormat="false" ht="15" hidden="false" customHeight="false" outlineLevel="0" collapsed="false">
      <c r="A49" s="17" t="s">
        <v>97</v>
      </c>
      <c r="B49" s="20" t="n">
        <v>14.3493333333</v>
      </c>
      <c r="C49" s="17" t="s">
        <v>101</v>
      </c>
      <c r="D49" s="21" t="n">
        <v>0.1</v>
      </c>
      <c r="E49" s="20" t="n">
        <f aca="false">B49*D49</f>
        <v>1.43493333333</v>
      </c>
      <c r="F49" s="17"/>
      <c r="G49" s="17"/>
      <c r="H49" s="4"/>
      <c r="I49" s="4"/>
      <c r="J49" s="4"/>
      <c r="K49" s="4"/>
      <c r="L49" s="4"/>
      <c r="M49" s="4"/>
      <c r="N49" s="4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4"/>
      <c r="I50" s="4"/>
      <c r="J50" s="4"/>
      <c r="K50" s="4"/>
      <c r="L50" s="4"/>
      <c r="M50" s="4"/>
      <c r="N50" s="4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4"/>
      <c r="I51" s="4"/>
      <c r="J51" s="4"/>
      <c r="K51" s="4"/>
      <c r="L51" s="4"/>
      <c r="M51" s="4"/>
      <c r="N51" s="4"/>
    </row>
    <row r="52" customFormat="false" ht="15" hidden="false" customHeight="false" outlineLevel="0" collapsed="false">
      <c r="A52" s="19" t="s">
        <v>102</v>
      </c>
      <c r="B52" s="19" t="s">
        <v>102</v>
      </c>
      <c r="C52" s="19" t="s">
        <v>102</v>
      </c>
      <c r="D52" s="19" t="s">
        <v>102</v>
      </c>
      <c r="E52" s="19" t="s">
        <v>102</v>
      </c>
      <c r="F52" s="19" t="s">
        <v>102</v>
      </c>
      <c r="G52" s="19" t="s">
        <v>102</v>
      </c>
      <c r="H52" s="4"/>
      <c r="I52" s="4"/>
      <c r="J52" s="4"/>
      <c r="K52" s="4"/>
      <c r="L52" s="4"/>
      <c r="M52" s="4"/>
      <c r="N52" s="4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4"/>
      <c r="I53" s="4"/>
      <c r="J53" s="4"/>
      <c r="K53" s="4"/>
      <c r="L53" s="4"/>
      <c r="M53" s="4"/>
      <c r="N53" s="4"/>
    </row>
    <row r="54" customFormat="false" ht="15" hidden="false" customHeight="false" outlineLevel="0" collapsed="false">
      <c r="A54" s="6" t="s">
        <v>103</v>
      </c>
      <c r="B54" s="7" t="s">
        <v>104</v>
      </c>
      <c r="C54" s="7" t="s">
        <v>105</v>
      </c>
      <c r="D54" s="7" t="s">
        <v>106</v>
      </c>
      <c r="E54" s="7" t="s">
        <v>107</v>
      </c>
      <c r="F54" s="7" t="s">
        <v>108</v>
      </c>
      <c r="G54" s="8" t="s">
        <v>109</v>
      </c>
      <c r="H54" s="4"/>
      <c r="I54" s="4"/>
      <c r="J54" s="4"/>
      <c r="K54" s="4"/>
      <c r="L54" s="4"/>
      <c r="M54" s="4"/>
      <c r="N54" s="4"/>
    </row>
    <row r="55" customFormat="false" ht="15" hidden="false" customHeight="false" outlineLevel="0" collapsed="false">
      <c r="A55" s="17" t="s">
        <v>110</v>
      </c>
      <c r="B55" s="17" t="s">
        <v>111</v>
      </c>
      <c r="C55" s="17" t="n">
        <v>1</v>
      </c>
      <c r="D55" s="17" t="n">
        <v>0</v>
      </c>
      <c r="E55" s="17" t="n">
        <v>0</v>
      </c>
      <c r="F55" s="17" t="n">
        <v>1</v>
      </c>
      <c r="G55" s="17" t="s">
        <v>112</v>
      </c>
      <c r="H55" s="4"/>
      <c r="I55" s="4"/>
      <c r="J55" s="4"/>
      <c r="K55" s="4"/>
      <c r="L55" s="4"/>
      <c r="M55" s="4"/>
      <c r="N55" s="4"/>
    </row>
    <row r="56" customFormat="false" ht="15" hidden="false" customHeight="false" outlineLevel="0" collapsed="false">
      <c r="A56" s="17" t="s">
        <v>113</v>
      </c>
      <c r="B56" s="17" t="s">
        <v>114</v>
      </c>
      <c r="C56" s="17" t="n">
        <v>6</v>
      </c>
      <c r="D56" s="17" t="n">
        <v>0</v>
      </c>
      <c r="E56" s="17" t="n">
        <v>0</v>
      </c>
      <c r="F56" s="17" t="n">
        <v>0</v>
      </c>
      <c r="G56" s="17" t="s">
        <v>112</v>
      </c>
      <c r="H56" s="4"/>
      <c r="I56" s="4"/>
      <c r="J56" s="4"/>
      <c r="K56" s="4"/>
      <c r="L56" s="4"/>
      <c r="M56" s="4"/>
      <c r="N56" s="4"/>
    </row>
    <row r="57" customFormat="false" ht="15" hidden="false" customHeight="false" outlineLevel="0" collapsed="false">
      <c r="A57" s="17" t="s">
        <v>115</v>
      </c>
      <c r="B57" s="17" t="s">
        <v>116</v>
      </c>
      <c r="C57" s="17" t="n">
        <v>36</v>
      </c>
      <c r="D57" s="17" t="n">
        <v>1</v>
      </c>
      <c r="E57" s="17" t="n">
        <v>1</v>
      </c>
      <c r="F57" s="17" t="n">
        <v>0</v>
      </c>
      <c r="G57" s="17" t="s">
        <v>117</v>
      </c>
      <c r="H57" s="4"/>
      <c r="I57" s="4"/>
      <c r="J57" s="4"/>
      <c r="K57" s="4"/>
      <c r="L57" s="4"/>
      <c r="M57" s="4"/>
      <c r="N57" s="4"/>
    </row>
    <row r="58" customFormat="false" ht="15" hidden="false" customHeight="false" outlineLevel="0" collapsed="false">
      <c r="A58" s="17" t="s">
        <v>118</v>
      </c>
      <c r="B58" s="17" t="s">
        <v>119</v>
      </c>
      <c r="C58" s="17" t="n">
        <v>18</v>
      </c>
      <c r="D58" s="17" t="n">
        <v>1</v>
      </c>
      <c r="E58" s="17" t="n">
        <v>1</v>
      </c>
      <c r="F58" s="17" t="n">
        <v>0</v>
      </c>
      <c r="G58" s="17" t="s">
        <v>120</v>
      </c>
      <c r="H58" s="4"/>
      <c r="I58" s="4"/>
      <c r="J58" s="4"/>
      <c r="K58" s="4"/>
      <c r="L58" s="4"/>
      <c r="M58" s="4"/>
      <c r="N58" s="4"/>
    </row>
    <row r="59" customFormat="false" ht="15" hidden="false" customHeight="false" outlineLevel="0" collapsed="false">
      <c r="A59" s="17" t="s">
        <v>121</v>
      </c>
      <c r="B59" s="17" t="s">
        <v>122</v>
      </c>
      <c r="C59" s="17" t="n">
        <v>2</v>
      </c>
      <c r="D59" s="17" t="n">
        <v>0</v>
      </c>
      <c r="E59" s="17" t="n">
        <v>0</v>
      </c>
      <c r="F59" s="17" t="n">
        <v>1</v>
      </c>
      <c r="G59" s="17" t="s">
        <v>112</v>
      </c>
      <c r="H59" s="4"/>
      <c r="I59" s="4"/>
      <c r="J59" s="4"/>
      <c r="K59" s="4"/>
      <c r="L59" s="4"/>
      <c r="M59" s="4"/>
      <c r="N59" s="4"/>
    </row>
  </sheetData>
  <mergeCells count="6">
    <mergeCell ref="A2:N2"/>
    <mergeCell ref="A4:N4"/>
    <mergeCell ref="A6:D6"/>
    <mergeCell ref="A29:F29"/>
    <mergeCell ref="A40:F40"/>
    <mergeCell ref="A52:G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9" min="8" style="0" width="15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20"/>
  </cols>
  <sheetData>
    <row r="2" customFormat="false" ht="18.55" hidden="false" customHeight="false" outlineLevel="0" collapsed="false">
      <c r="A2" s="1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123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124</v>
      </c>
      <c r="B6" s="7" t="s">
        <v>125</v>
      </c>
      <c r="C6" s="7" t="s">
        <v>126</v>
      </c>
      <c r="D6" s="7" t="s">
        <v>127</v>
      </c>
      <c r="E6" s="7" t="s">
        <v>128</v>
      </c>
      <c r="F6" s="7" t="s">
        <v>129</v>
      </c>
      <c r="G6" s="7" t="s">
        <v>130</v>
      </c>
      <c r="H6" s="7" t="s">
        <v>131</v>
      </c>
      <c r="I6" s="7" t="s">
        <v>132</v>
      </c>
      <c r="J6" s="7" t="s">
        <v>133</v>
      </c>
      <c r="K6" s="7" t="s">
        <v>134</v>
      </c>
      <c r="L6" s="7" t="s">
        <v>135</v>
      </c>
      <c r="M6" s="8" t="s">
        <v>136</v>
      </c>
      <c r="N6" s="4"/>
    </row>
    <row r="7" customFormat="false" ht="15" hidden="false" customHeight="false" outlineLevel="0" collapsed="false">
      <c r="A7" s="17" t="s">
        <v>137</v>
      </c>
      <c r="B7" s="17" t="s">
        <v>138</v>
      </c>
      <c r="C7" s="17" t="s">
        <v>139</v>
      </c>
      <c r="D7" s="17" t="s">
        <v>140</v>
      </c>
      <c r="E7" s="17" t="n">
        <v>1</v>
      </c>
      <c r="F7" s="17" t="s">
        <v>141</v>
      </c>
      <c r="G7" s="17" t="s">
        <v>142</v>
      </c>
      <c r="H7" s="17" t="n">
        <v>1</v>
      </c>
      <c r="I7" s="17" t="n">
        <v>1</v>
      </c>
      <c r="J7" s="16"/>
      <c r="K7" s="16" t="n">
        <v>0</v>
      </c>
      <c r="L7" s="17" t="str">
        <f aca="false">IF(AND(J7&lt;&gt;"",K7=1),"ADMITTED","OPEN")</f>
        <v>OPEN</v>
      </c>
      <c r="M7" s="17" t="str">
        <f aca="false">IF(COUNTIF($B$7:$B$24,B7)=3,"TWO SITES REMAIN","FAIL")</f>
        <v>TWO SITES REMAIN</v>
      </c>
      <c r="N7" s="4"/>
    </row>
    <row r="8" customFormat="false" ht="15" hidden="false" customHeight="false" outlineLevel="0" collapsed="false">
      <c r="A8" s="17" t="s">
        <v>143</v>
      </c>
      <c r="B8" s="17" t="s">
        <v>138</v>
      </c>
      <c r="C8" s="17" t="s">
        <v>139</v>
      </c>
      <c r="D8" s="17" t="s">
        <v>144</v>
      </c>
      <c r="E8" s="17" t="n">
        <v>2</v>
      </c>
      <c r="F8" s="17" t="s">
        <v>145</v>
      </c>
      <c r="G8" s="17" t="s">
        <v>141</v>
      </c>
      <c r="H8" s="17" t="n">
        <v>1</v>
      </c>
      <c r="I8" s="17" t="n">
        <v>1</v>
      </c>
      <c r="J8" s="16"/>
      <c r="K8" s="16" t="n">
        <v>0</v>
      </c>
      <c r="L8" s="17" t="str">
        <f aca="false">IF(AND(J8&lt;&gt;"",K8=1),"ADMITTED","OPEN")</f>
        <v>OPEN</v>
      </c>
      <c r="M8" s="17" t="str">
        <f aca="false">IF(COUNTIF($B$7:$B$24,B8)=3,"TWO SITES REMAIN","FAIL")</f>
        <v>TWO SITES REMAIN</v>
      </c>
      <c r="N8" s="4"/>
    </row>
    <row r="9" customFormat="false" ht="15" hidden="false" customHeight="false" outlineLevel="0" collapsed="false">
      <c r="A9" s="17" t="s">
        <v>146</v>
      </c>
      <c r="B9" s="17" t="s">
        <v>138</v>
      </c>
      <c r="C9" s="17" t="s">
        <v>139</v>
      </c>
      <c r="D9" s="17" t="s">
        <v>147</v>
      </c>
      <c r="E9" s="17" t="n">
        <v>3</v>
      </c>
      <c r="F9" s="17" t="s">
        <v>142</v>
      </c>
      <c r="G9" s="17" t="s">
        <v>145</v>
      </c>
      <c r="H9" s="17" t="n">
        <v>1</v>
      </c>
      <c r="I9" s="17" t="n">
        <v>1</v>
      </c>
      <c r="J9" s="16"/>
      <c r="K9" s="16" t="n">
        <v>0</v>
      </c>
      <c r="L9" s="17" t="str">
        <f aca="false">IF(AND(J9&lt;&gt;"",K9=1),"ADMITTED","OPEN")</f>
        <v>OPEN</v>
      </c>
      <c r="M9" s="17" t="str">
        <f aca="false">IF(COUNTIF($B$7:$B$24,B9)=3,"TWO SITES REMAIN","FAIL")</f>
        <v>TWO SITES REMAIN</v>
      </c>
      <c r="N9" s="4"/>
    </row>
    <row r="10" customFormat="false" ht="15" hidden="false" customHeight="false" outlineLevel="0" collapsed="false">
      <c r="A10" s="17" t="s">
        <v>148</v>
      </c>
      <c r="B10" s="17" t="s">
        <v>149</v>
      </c>
      <c r="C10" s="17" t="s">
        <v>150</v>
      </c>
      <c r="D10" s="17" t="s">
        <v>151</v>
      </c>
      <c r="E10" s="17" t="n">
        <v>1</v>
      </c>
      <c r="F10" s="17" t="s">
        <v>141</v>
      </c>
      <c r="G10" s="17" t="s">
        <v>142</v>
      </c>
      <c r="H10" s="17" t="n">
        <v>1</v>
      </c>
      <c r="I10" s="17" t="n">
        <v>1</v>
      </c>
      <c r="J10" s="16"/>
      <c r="K10" s="16" t="n">
        <v>0</v>
      </c>
      <c r="L10" s="17" t="str">
        <f aca="false">IF(AND(J10&lt;&gt;"",K10=1),"ADMITTED","OPEN")</f>
        <v>OPEN</v>
      </c>
      <c r="M10" s="17" t="str">
        <f aca="false">IF(COUNTIF($B$7:$B$24,B10)=3,"TWO SITES REMAIN","FAIL")</f>
        <v>TWO SITES REMAIN</v>
      </c>
      <c r="N10" s="4"/>
    </row>
    <row r="11" customFormat="false" ht="15" hidden="false" customHeight="false" outlineLevel="0" collapsed="false">
      <c r="A11" s="17" t="s">
        <v>152</v>
      </c>
      <c r="B11" s="17" t="s">
        <v>149</v>
      </c>
      <c r="C11" s="17" t="s">
        <v>150</v>
      </c>
      <c r="D11" s="17" t="s">
        <v>153</v>
      </c>
      <c r="E11" s="17" t="n">
        <v>2</v>
      </c>
      <c r="F11" s="17" t="s">
        <v>145</v>
      </c>
      <c r="G11" s="17" t="s">
        <v>141</v>
      </c>
      <c r="H11" s="17" t="n">
        <v>1</v>
      </c>
      <c r="I11" s="17" t="n">
        <v>1</v>
      </c>
      <c r="J11" s="16"/>
      <c r="K11" s="16" t="n">
        <v>0</v>
      </c>
      <c r="L11" s="17" t="str">
        <f aca="false">IF(AND(J11&lt;&gt;"",K11=1),"ADMITTED","OPEN")</f>
        <v>OPEN</v>
      </c>
      <c r="M11" s="17" t="str">
        <f aca="false">IF(COUNTIF($B$7:$B$24,B11)=3,"TWO SITES REMAIN","FAIL")</f>
        <v>TWO SITES REMAIN</v>
      </c>
      <c r="N11" s="4"/>
    </row>
    <row r="12" customFormat="false" ht="15" hidden="false" customHeight="false" outlineLevel="0" collapsed="false">
      <c r="A12" s="17" t="s">
        <v>154</v>
      </c>
      <c r="B12" s="17" t="s">
        <v>149</v>
      </c>
      <c r="C12" s="17" t="s">
        <v>150</v>
      </c>
      <c r="D12" s="17" t="s">
        <v>155</v>
      </c>
      <c r="E12" s="17" t="n">
        <v>3</v>
      </c>
      <c r="F12" s="17" t="s">
        <v>142</v>
      </c>
      <c r="G12" s="17" t="s">
        <v>145</v>
      </c>
      <c r="H12" s="17" t="n">
        <v>1</v>
      </c>
      <c r="I12" s="17" t="n">
        <v>1</v>
      </c>
      <c r="J12" s="16"/>
      <c r="K12" s="16" t="n">
        <v>0</v>
      </c>
      <c r="L12" s="17" t="str">
        <f aca="false">IF(AND(J12&lt;&gt;"",K12=1),"ADMITTED","OPEN")</f>
        <v>OPEN</v>
      </c>
      <c r="M12" s="17" t="str">
        <f aca="false">IF(COUNTIF($B$7:$B$24,B12)=3,"TWO SITES REMAIN","FAIL")</f>
        <v>TWO SITES REMAIN</v>
      </c>
      <c r="N12" s="4"/>
    </row>
    <row r="13" customFormat="false" ht="15" hidden="false" customHeight="false" outlineLevel="0" collapsed="false">
      <c r="A13" s="17" t="s">
        <v>156</v>
      </c>
      <c r="B13" s="17" t="s">
        <v>157</v>
      </c>
      <c r="C13" s="17" t="s">
        <v>158</v>
      </c>
      <c r="D13" s="17" t="s">
        <v>140</v>
      </c>
      <c r="E13" s="17" t="n">
        <v>1</v>
      </c>
      <c r="F13" s="17" t="s">
        <v>141</v>
      </c>
      <c r="G13" s="17" t="s">
        <v>142</v>
      </c>
      <c r="H13" s="17" t="n">
        <v>1</v>
      </c>
      <c r="I13" s="17" t="n">
        <v>1</v>
      </c>
      <c r="J13" s="16"/>
      <c r="K13" s="16" t="n">
        <v>0</v>
      </c>
      <c r="L13" s="17" t="str">
        <f aca="false">IF(AND(J13&lt;&gt;"",K13=1),"ADMITTED","OPEN")</f>
        <v>OPEN</v>
      </c>
      <c r="M13" s="17" t="str">
        <f aca="false">IF(COUNTIF($B$7:$B$24,B13)=3,"TWO SITES REMAIN","FAIL")</f>
        <v>TWO SITES REMAIN</v>
      </c>
      <c r="N13" s="4"/>
    </row>
    <row r="14" customFormat="false" ht="15" hidden="false" customHeight="false" outlineLevel="0" collapsed="false">
      <c r="A14" s="17" t="s">
        <v>159</v>
      </c>
      <c r="B14" s="17" t="s">
        <v>157</v>
      </c>
      <c r="C14" s="17" t="s">
        <v>158</v>
      </c>
      <c r="D14" s="17" t="s">
        <v>153</v>
      </c>
      <c r="E14" s="17" t="n">
        <v>2</v>
      </c>
      <c r="F14" s="17" t="s">
        <v>145</v>
      </c>
      <c r="G14" s="17" t="s">
        <v>141</v>
      </c>
      <c r="H14" s="17" t="n">
        <v>1</v>
      </c>
      <c r="I14" s="17" t="n">
        <v>1</v>
      </c>
      <c r="J14" s="16"/>
      <c r="K14" s="16" t="n">
        <v>0</v>
      </c>
      <c r="L14" s="17" t="str">
        <f aca="false">IF(AND(J14&lt;&gt;"",K14=1),"ADMITTED","OPEN")</f>
        <v>OPEN</v>
      </c>
      <c r="M14" s="17" t="str">
        <f aca="false">IF(COUNTIF($B$7:$B$24,B14)=3,"TWO SITES REMAIN","FAIL")</f>
        <v>TWO SITES REMAIN</v>
      </c>
      <c r="N14" s="4"/>
    </row>
    <row r="15" customFormat="false" ht="15" hidden="false" customHeight="false" outlineLevel="0" collapsed="false">
      <c r="A15" s="17" t="s">
        <v>160</v>
      </c>
      <c r="B15" s="17" t="s">
        <v>157</v>
      </c>
      <c r="C15" s="17" t="s">
        <v>158</v>
      </c>
      <c r="D15" s="17" t="s">
        <v>147</v>
      </c>
      <c r="E15" s="17" t="n">
        <v>3</v>
      </c>
      <c r="F15" s="17" t="s">
        <v>142</v>
      </c>
      <c r="G15" s="17" t="s">
        <v>145</v>
      </c>
      <c r="H15" s="17" t="n">
        <v>1</v>
      </c>
      <c r="I15" s="17" t="n">
        <v>1</v>
      </c>
      <c r="J15" s="16"/>
      <c r="K15" s="16" t="n">
        <v>0</v>
      </c>
      <c r="L15" s="17" t="str">
        <f aca="false">IF(AND(J15&lt;&gt;"",K15=1),"ADMITTED","OPEN")</f>
        <v>OPEN</v>
      </c>
      <c r="M15" s="17" t="str">
        <f aca="false">IF(COUNTIF($B$7:$B$24,B15)=3,"TWO SITES REMAIN","FAIL")</f>
        <v>TWO SITES REMAIN</v>
      </c>
      <c r="N15" s="4"/>
    </row>
    <row r="16" customFormat="false" ht="15" hidden="false" customHeight="false" outlineLevel="0" collapsed="false">
      <c r="A16" s="17" t="s">
        <v>161</v>
      </c>
      <c r="B16" s="17" t="s">
        <v>162</v>
      </c>
      <c r="C16" s="17" t="s">
        <v>163</v>
      </c>
      <c r="D16" s="17" t="s">
        <v>151</v>
      </c>
      <c r="E16" s="17" t="n">
        <v>1</v>
      </c>
      <c r="F16" s="17" t="s">
        <v>141</v>
      </c>
      <c r="G16" s="17" t="s">
        <v>142</v>
      </c>
      <c r="H16" s="17" t="n">
        <v>1</v>
      </c>
      <c r="I16" s="17" t="n">
        <v>1</v>
      </c>
      <c r="J16" s="16"/>
      <c r="K16" s="16" t="n">
        <v>0</v>
      </c>
      <c r="L16" s="17" t="str">
        <f aca="false">IF(AND(J16&lt;&gt;"",K16=1),"ADMITTED","OPEN")</f>
        <v>OPEN</v>
      </c>
      <c r="M16" s="17" t="str">
        <f aca="false">IF(COUNTIF($B$7:$B$24,B16)=3,"TWO SITES REMAIN","FAIL")</f>
        <v>TWO SITES REMAIN</v>
      </c>
      <c r="N16" s="4"/>
    </row>
    <row r="17" customFormat="false" ht="15" hidden="false" customHeight="false" outlineLevel="0" collapsed="false">
      <c r="A17" s="17" t="s">
        <v>164</v>
      </c>
      <c r="B17" s="17" t="s">
        <v>162</v>
      </c>
      <c r="C17" s="17" t="s">
        <v>163</v>
      </c>
      <c r="D17" s="17" t="s">
        <v>144</v>
      </c>
      <c r="E17" s="17" t="n">
        <v>2</v>
      </c>
      <c r="F17" s="17" t="s">
        <v>145</v>
      </c>
      <c r="G17" s="17" t="s">
        <v>141</v>
      </c>
      <c r="H17" s="17" t="n">
        <v>1</v>
      </c>
      <c r="I17" s="17" t="n">
        <v>1</v>
      </c>
      <c r="J17" s="16"/>
      <c r="K17" s="16" t="n">
        <v>0</v>
      </c>
      <c r="L17" s="17" t="str">
        <f aca="false">IF(AND(J17&lt;&gt;"",K17=1),"ADMITTED","OPEN")</f>
        <v>OPEN</v>
      </c>
      <c r="M17" s="17" t="str">
        <f aca="false">IF(COUNTIF($B$7:$B$24,B17)=3,"TWO SITES REMAIN","FAIL")</f>
        <v>TWO SITES REMAIN</v>
      </c>
      <c r="N17" s="4"/>
    </row>
    <row r="18" customFormat="false" ht="15" hidden="false" customHeight="false" outlineLevel="0" collapsed="false">
      <c r="A18" s="17" t="s">
        <v>165</v>
      </c>
      <c r="B18" s="17" t="s">
        <v>162</v>
      </c>
      <c r="C18" s="17" t="s">
        <v>163</v>
      </c>
      <c r="D18" s="17" t="s">
        <v>155</v>
      </c>
      <c r="E18" s="17" t="n">
        <v>3</v>
      </c>
      <c r="F18" s="17" t="s">
        <v>142</v>
      </c>
      <c r="G18" s="17" t="s">
        <v>145</v>
      </c>
      <c r="H18" s="17" t="n">
        <v>1</v>
      </c>
      <c r="I18" s="17" t="n">
        <v>1</v>
      </c>
      <c r="J18" s="16"/>
      <c r="K18" s="16" t="n">
        <v>0</v>
      </c>
      <c r="L18" s="17" t="str">
        <f aca="false">IF(AND(J18&lt;&gt;"",K18=1),"ADMITTED","OPEN")</f>
        <v>OPEN</v>
      </c>
      <c r="M18" s="17" t="str">
        <f aca="false">IF(COUNTIF($B$7:$B$24,B18)=3,"TWO SITES REMAIN","FAIL")</f>
        <v>TWO SITES REMAIN</v>
      </c>
      <c r="N18" s="4"/>
    </row>
    <row r="19" customFormat="false" ht="15" hidden="false" customHeight="false" outlineLevel="0" collapsed="false">
      <c r="A19" s="17" t="s">
        <v>166</v>
      </c>
      <c r="B19" s="17" t="s">
        <v>167</v>
      </c>
      <c r="C19" s="17" t="s">
        <v>168</v>
      </c>
      <c r="D19" s="17" t="s">
        <v>140</v>
      </c>
      <c r="E19" s="17" t="n">
        <v>1</v>
      </c>
      <c r="F19" s="17" t="s">
        <v>141</v>
      </c>
      <c r="G19" s="17" t="s">
        <v>142</v>
      </c>
      <c r="H19" s="17" t="n">
        <v>1</v>
      </c>
      <c r="I19" s="17" t="n">
        <v>1</v>
      </c>
      <c r="J19" s="16"/>
      <c r="K19" s="16" t="n">
        <v>0</v>
      </c>
      <c r="L19" s="17" t="str">
        <f aca="false">IF(AND(J19&lt;&gt;"",K19=1),"ADMITTED","OPEN")</f>
        <v>OPEN</v>
      </c>
      <c r="M19" s="17" t="str">
        <f aca="false">IF(COUNTIF($B$7:$B$24,B19)=3,"TWO SITES REMAIN","FAIL")</f>
        <v>TWO SITES REMAIN</v>
      </c>
      <c r="N19" s="4"/>
    </row>
    <row r="20" customFormat="false" ht="15" hidden="false" customHeight="false" outlineLevel="0" collapsed="false">
      <c r="A20" s="17" t="s">
        <v>169</v>
      </c>
      <c r="B20" s="17" t="s">
        <v>167</v>
      </c>
      <c r="C20" s="17" t="s">
        <v>168</v>
      </c>
      <c r="D20" s="17" t="s">
        <v>153</v>
      </c>
      <c r="E20" s="17" t="n">
        <v>2</v>
      </c>
      <c r="F20" s="17" t="s">
        <v>145</v>
      </c>
      <c r="G20" s="17" t="s">
        <v>141</v>
      </c>
      <c r="H20" s="17" t="n">
        <v>1</v>
      </c>
      <c r="I20" s="17" t="n">
        <v>1</v>
      </c>
      <c r="J20" s="16"/>
      <c r="K20" s="16" t="n">
        <v>0</v>
      </c>
      <c r="L20" s="17" t="str">
        <f aca="false">IF(AND(J20&lt;&gt;"",K20=1),"ADMITTED","OPEN")</f>
        <v>OPEN</v>
      </c>
      <c r="M20" s="17" t="str">
        <f aca="false">IF(COUNTIF($B$7:$B$24,B20)=3,"TWO SITES REMAIN","FAIL")</f>
        <v>TWO SITES REMAIN</v>
      </c>
      <c r="N20" s="4"/>
    </row>
    <row r="21" customFormat="false" ht="15" hidden="false" customHeight="false" outlineLevel="0" collapsed="false">
      <c r="A21" s="17" t="s">
        <v>170</v>
      </c>
      <c r="B21" s="17" t="s">
        <v>167</v>
      </c>
      <c r="C21" s="17" t="s">
        <v>168</v>
      </c>
      <c r="D21" s="17" t="s">
        <v>155</v>
      </c>
      <c r="E21" s="17" t="n">
        <v>3</v>
      </c>
      <c r="F21" s="17" t="s">
        <v>142</v>
      </c>
      <c r="G21" s="17" t="s">
        <v>145</v>
      </c>
      <c r="H21" s="17" t="n">
        <v>1</v>
      </c>
      <c r="I21" s="17" t="n">
        <v>1</v>
      </c>
      <c r="J21" s="16"/>
      <c r="K21" s="16" t="n">
        <v>0</v>
      </c>
      <c r="L21" s="17" t="str">
        <f aca="false">IF(AND(J21&lt;&gt;"",K21=1),"ADMITTED","OPEN")</f>
        <v>OPEN</v>
      </c>
      <c r="M21" s="17" t="str">
        <f aca="false">IF(COUNTIF($B$7:$B$24,B21)=3,"TWO SITES REMAIN","FAIL")</f>
        <v>TWO SITES REMAIN</v>
      </c>
      <c r="N21" s="4"/>
    </row>
    <row r="22" customFormat="false" ht="15" hidden="false" customHeight="false" outlineLevel="0" collapsed="false">
      <c r="A22" s="17" t="s">
        <v>171</v>
      </c>
      <c r="B22" s="17" t="s">
        <v>172</v>
      </c>
      <c r="C22" s="17" t="s">
        <v>173</v>
      </c>
      <c r="D22" s="17" t="s">
        <v>151</v>
      </c>
      <c r="E22" s="17" t="n">
        <v>1</v>
      </c>
      <c r="F22" s="17" t="s">
        <v>141</v>
      </c>
      <c r="G22" s="17" t="s">
        <v>142</v>
      </c>
      <c r="H22" s="17" t="n">
        <v>1</v>
      </c>
      <c r="I22" s="17" t="n">
        <v>1</v>
      </c>
      <c r="J22" s="16"/>
      <c r="K22" s="16" t="n">
        <v>0</v>
      </c>
      <c r="L22" s="17" t="str">
        <f aca="false">IF(AND(J22&lt;&gt;"",K22=1),"ADMITTED","OPEN")</f>
        <v>OPEN</v>
      </c>
      <c r="M22" s="17" t="str">
        <f aca="false">IF(COUNTIF($B$7:$B$24,B22)=3,"TWO SITES REMAIN","FAIL")</f>
        <v>TWO SITES REMAIN</v>
      </c>
      <c r="N22" s="4"/>
    </row>
    <row r="23" customFormat="false" ht="15" hidden="false" customHeight="false" outlineLevel="0" collapsed="false">
      <c r="A23" s="17" t="s">
        <v>174</v>
      </c>
      <c r="B23" s="17" t="s">
        <v>172</v>
      </c>
      <c r="C23" s="17" t="s">
        <v>173</v>
      </c>
      <c r="D23" s="17" t="s">
        <v>144</v>
      </c>
      <c r="E23" s="17" t="n">
        <v>2</v>
      </c>
      <c r="F23" s="17" t="s">
        <v>145</v>
      </c>
      <c r="G23" s="17" t="s">
        <v>141</v>
      </c>
      <c r="H23" s="17" t="n">
        <v>1</v>
      </c>
      <c r="I23" s="17" t="n">
        <v>1</v>
      </c>
      <c r="J23" s="16"/>
      <c r="K23" s="16" t="n">
        <v>0</v>
      </c>
      <c r="L23" s="17" t="str">
        <f aca="false">IF(AND(J23&lt;&gt;"",K23=1),"ADMITTED","OPEN")</f>
        <v>OPEN</v>
      </c>
      <c r="M23" s="17" t="str">
        <f aca="false">IF(COUNTIF($B$7:$B$24,B23)=3,"TWO SITES REMAIN","FAIL")</f>
        <v>TWO SITES REMAIN</v>
      </c>
      <c r="N23" s="4"/>
    </row>
    <row r="24" customFormat="false" ht="15" hidden="false" customHeight="false" outlineLevel="0" collapsed="false">
      <c r="A24" s="17" t="s">
        <v>175</v>
      </c>
      <c r="B24" s="17" t="s">
        <v>172</v>
      </c>
      <c r="C24" s="17" t="s">
        <v>173</v>
      </c>
      <c r="D24" s="17" t="s">
        <v>147</v>
      </c>
      <c r="E24" s="17" t="n">
        <v>3</v>
      </c>
      <c r="F24" s="17" t="s">
        <v>142</v>
      </c>
      <c r="G24" s="17" t="s">
        <v>145</v>
      </c>
      <c r="H24" s="17" t="n">
        <v>1</v>
      </c>
      <c r="I24" s="17" t="n">
        <v>1</v>
      </c>
      <c r="J24" s="16"/>
      <c r="K24" s="16" t="n">
        <v>0</v>
      </c>
      <c r="L24" s="17" t="str">
        <f aca="false">IF(AND(J24&lt;&gt;"",K24=1),"ADMITTED","OPEN")</f>
        <v>OPEN</v>
      </c>
      <c r="M24" s="17" t="str">
        <f aca="false">IF(COUNTIF($B$7:$B$24,B24)=3,"TWO SITES REMAIN","FAIL")</f>
        <v>TWO SITES REMAIN</v>
      </c>
      <c r="N24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11" min="9" style="0" width="15"/>
    <col collapsed="false" customWidth="true" hidden="false" outlineLevel="0" max="12" min="12" style="0" width="12"/>
    <col collapsed="false" customWidth="true" hidden="false" outlineLevel="0" max="13" min="13" style="0" width="21"/>
  </cols>
  <sheetData>
    <row r="2" customFormat="false" ht="18.55" hidden="false" customHeight="false" outlineLevel="0" collapsed="false">
      <c r="A2" s="1" t="s">
        <v>176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177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2.35" hidden="false" customHeight="false" outlineLevel="0" collapsed="false">
      <c r="A6" s="6" t="s">
        <v>178</v>
      </c>
      <c r="B6" s="7" t="s">
        <v>124</v>
      </c>
      <c r="C6" s="7" t="s">
        <v>179</v>
      </c>
      <c r="D6" s="7" t="s">
        <v>125</v>
      </c>
      <c r="E6" s="7" t="s">
        <v>91</v>
      </c>
      <c r="F6" s="7" t="s">
        <v>180</v>
      </c>
      <c r="G6" s="7" t="s">
        <v>181</v>
      </c>
      <c r="H6" s="7" t="s">
        <v>182</v>
      </c>
      <c r="I6" s="7" t="s">
        <v>183</v>
      </c>
      <c r="J6" s="7" t="s">
        <v>184</v>
      </c>
      <c r="K6" s="7" t="s">
        <v>185</v>
      </c>
      <c r="L6" s="7" t="s">
        <v>186</v>
      </c>
      <c r="M6" s="8" t="s">
        <v>187</v>
      </c>
      <c r="N6" s="4"/>
    </row>
    <row r="7" customFormat="false" ht="15" hidden="false" customHeight="false" outlineLevel="0" collapsed="false">
      <c r="A7" s="17" t="s">
        <v>188</v>
      </c>
      <c r="B7" s="17" t="s">
        <v>137</v>
      </c>
      <c r="C7" s="17" t="s">
        <v>140</v>
      </c>
      <c r="D7" s="17" t="s">
        <v>138</v>
      </c>
      <c r="E7" s="17" t="s">
        <v>141</v>
      </c>
      <c r="F7" s="17" t="s">
        <v>189</v>
      </c>
      <c r="G7" s="17" t="s">
        <v>190</v>
      </c>
      <c r="H7" s="16"/>
      <c r="I7" s="16" t="n">
        <v>0</v>
      </c>
      <c r="J7" s="16" t="n">
        <v>0</v>
      </c>
      <c r="K7" s="17" t="n">
        <v>0</v>
      </c>
      <c r="L7" s="17" t="str">
        <f aca="false">IF(AND(H7&lt;&gt;"",I7=1,J7=1,K7=0),"READY","OPEN")</f>
        <v>OPEN</v>
      </c>
      <c r="M7" s="17" t="str">
        <f aca="false">IF(F7="ACTIVE","WARM PATH REMAINS","PRIMARY PATH REMAINS")</f>
        <v>WARM PATH REMAINS</v>
      </c>
      <c r="N7" s="4"/>
    </row>
    <row r="8" customFormat="false" ht="15" hidden="false" customHeight="false" outlineLevel="0" collapsed="false">
      <c r="A8" s="17" t="s">
        <v>191</v>
      </c>
      <c r="B8" s="17" t="s">
        <v>137</v>
      </c>
      <c r="C8" s="17" t="s">
        <v>140</v>
      </c>
      <c r="D8" s="17" t="s">
        <v>138</v>
      </c>
      <c r="E8" s="17" t="s">
        <v>142</v>
      </c>
      <c r="F8" s="17" t="s">
        <v>192</v>
      </c>
      <c r="G8" s="17" t="s">
        <v>193</v>
      </c>
      <c r="H8" s="16"/>
      <c r="I8" s="16" t="n">
        <v>0</v>
      </c>
      <c r="J8" s="16" t="n">
        <v>0</v>
      </c>
      <c r="K8" s="17" t="n">
        <v>0</v>
      </c>
      <c r="L8" s="17" t="str">
        <f aca="false">IF(AND(H8&lt;&gt;"",I8=1,J8=1,K8=0),"READY","OPEN")</f>
        <v>OPEN</v>
      </c>
      <c r="M8" s="17" t="str">
        <f aca="false">IF(F8="ACTIVE","WARM PATH REMAINS","PRIMARY PATH REMAINS")</f>
        <v>PRIMARY PATH REMAINS</v>
      </c>
      <c r="N8" s="4"/>
    </row>
    <row r="9" customFormat="false" ht="15" hidden="false" customHeight="false" outlineLevel="0" collapsed="false">
      <c r="A9" s="17" t="s">
        <v>194</v>
      </c>
      <c r="B9" s="17" t="s">
        <v>143</v>
      </c>
      <c r="C9" s="17" t="s">
        <v>144</v>
      </c>
      <c r="D9" s="17" t="s">
        <v>138</v>
      </c>
      <c r="E9" s="17" t="s">
        <v>145</v>
      </c>
      <c r="F9" s="17" t="s">
        <v>189</v>
      </c>
      <c r="G9" s="17" t="s">
        <v>195</v>
      </c>
      <c r="H9" s="16"/>
      <c r="I9" s="16" t="n">
        <v>0</v>
      </c>
      <c r="J9" s="16" t="n">
        <v>0</v>
      </c>
      <c r="K9" s="17" t="n">
        <v>0</v>
      </c>
      <c r="L9" s="17" t="str">
        <f aca="false">IF(AND(H9&lt;&gt;"",I9=1,J9=1,K9=0),"READY","OPEN")</f>
        <v>OPEN</v>
      </c>
      <c r="M9" s="17" t="str">
        <f aca="false">IF(F9="ACTIVE","WARM PATH REMAINS","PRIMARY PATH REMAINS")</f>
        <v>WARM PATH REMAINS</v>
      </c>
      <c r="N9" s="4"/>
    </row>
    <row r="10" customFormat="false" ht="15" hidden="false" customHeight="false" outlineLevel="0" collapsed="false">
      <c r="A10" s="17" t="s">
        <v>196</v>
      </c>
      <c r="B10" s="17" t="s">
        <v>143</v>
      </c>
      <c r="C10" s="17" t="s">
        <v>144</v>
      </c>
      <c r="D10" s="17" t="s">
        <v>138</v>
      </c>
      <c r="E10" s="17" t="s">
        <v>141</v>
      </c>
      <c r="F10" s="17" t="s">
        <v>192</v>
      </c>
      <c r="G10" s="17" t="s">
        <v>197</v>
      </c>
      <c r="H10" s="16"/>
      <c r="I10" s="16" t="n">
        <v>0</v>
      </c>
      <c r="J10" s="16" t="n">
        <v>0</v>
      </c>
      <c r="K10" s="17" t="n">
        <v>0</v>
      </c>
      <c r="L10" s="17" t="str">
        <f aca="false">IF(AND(H10&lt;&gt;"",I10=1,J10=1,K10=0),"READY","OPEN")</f>
        <v>OPEN</v>
      </c>
      <c r="M10" s="17" t="str">
        <f aca="false">IF(F10="ACTIVE","WARM PATH REMAINS","PRIMARY PATH REMAINS")</f>
        <v>PRIMARY PATH REMAINS</v>
      </c>
      <c r="N10" s="4"/>
    </row>
    <row r="11" customFormat="false" ht="15" hidden="false" customHeight="false" outlineLevel="0" collapsed="false">
      <c r="A11" s="17" t="s">
        <v>198</v>
      </c>
      <c r="B11" s="17" t="s">
        <v>146</v>
      </c>
      <c r="C11" s="17" t="s">
        <v>147</v>
      </c>
      <c r="D11" s="17" t="s">
        <v>138</v>
      </c>
      <c r="E11" s="17" t="s">
        <v>142</v>
      </c>
      <c r="F11" s="17" t="s">
        <v>189</v>
      </c>
      <c r="G11" s="17" t="s">
        <v>199</v>
      </c>
      <c r="H11" s="16"/>
      <c r="I11" s="16" t="n">
        <v>0</v>
      </c>
      <c r="J11" s="16" t="n">
        <v>0</v>
      </c>
      <c r="K11" s="17" t="n">
        <v>0</v>
      </c>
      <c r="L11" s="17" t="str">
        <f aca="false">IF(AND(H11&lt;&gt;"",I11=1,J11=1,K11=0),"READY","OPEN")</f>
        <v>OPEN</v>
      </c>
      <c r="M11" s="17" t="str">
        <f aca="false">IF(F11="ACTIVE","WARM PATH REMAINS","PRIMARY PATH REMAINS")</f>
        <v>WARM PATH REMAINS</v>
      </c>
      <c r="N11" s="4"/>
    </row>
    <row r="12" customFormat="false" ht="15" hidden="false" customHeight="false" outlineLevel="0" collapsed="false">
      <c r="A12" s="17" t="s">
        <v>200</v>
      </c>
      <c r="B12" s="17" t="s">
        <v>146</v>
      </c>
      <c r="C12" s="17" t="s">
        <v>147</v>
      </c>
      <c r="D12" s="17" t="s">
        <v>138</v>
      </c>
      <c r="E12" s="17" t="s">
        <v>145</v>
      </c>
      <c r="F12" s="17" t="s">
        <v>192</v>
      </c>
      <c r="G12" s="17" t="s">
        <v>201</v>
      </c>
      <c r="H12" s="16"/>
      <c r="I12" s="16" t="n">
        <v>0</v>
      </c>
      <c r="J12" s="16" t="n">
        <v>0</v>
      </c>
      <c r="K12" s="17" t="n">
        <v>0</v>
      </c>
      <c r="L12" s="17" t="str">
        <f aca="false">IF(AND(H12&lt;&gt;"",I12=1,J12=1,K12=0),"READY","OPEN")</f>
        <v>OPEN</v>
      </c>
      <c r="M12" s="17" t="str">
        <f aca="false">IF(F12="ACTIVE","WARM PATH REMAINS","PRIMARY PATH REMAINS")</f>
        <v>PRIMARY PATH REMAINS</v>
      </c>
      <c r="N12" s="4"/>
    </row>
    <row r="13" customFormat="false" ht="15" hidden="false" customHeight="false" outlineLevel="0" collapsed="false">
      <c r="A13" s="17" t="s">
        <v>202</v>
      </c>
      <c r="B13" s="17" t="s">
        <v>148</v>
      </c>
      <c r="C13" s="17" t="s">
        <v>151</v>
      </c>
      <c r="D13" s="17" t="s">
        <v>149</v>
      </c>
      <c r="E13" s="17" t="s">
        <v>141</v>
      </c>
      <c r="F13" s="17" t="s">
        <v>189</v>
      </c>
      <c r="G13" s="17" t="s">
        <v>203</v>
      </c>
      <c r="H13" s="16"/>
      <c r="I13" s="16" t="n">
        <v>0</v>
      </c>
      <c r="J13" s="16" t="n">
        <v>0</v>
      </c>
      <c r="K13" s="17" t="n">
        <v>0</v>
      </c>
      <c r="L13" s="17" t="str">
        <f aca="false">IF(AND(H13&lt;&gt;"",I13=1,J13=1,K13=0),"READY","OPEN")</f>
        <v>OPEN</v>
      </c>
      <c r="M13" s="17" t="str">
        <f aca="false">IF(F13="ACTIVE","WARM PATH REMAINS","PRIMARY PATH REMAINS")</f>
        <v>WARM PATH REMAINS</v>
      </c>
      <c r="N13" s="4"/>
    </row>
    <row r="14" customFormat="false" ht="15" hidden="false" customHeight="false" outlineLevel="0" collapsed="false">
      <c r="A14" s="17" t="s">
        <v>204</v>
      </c>
      <c r="B14" s="17" t="s">
        <v>148</v>
      </c>
      <c r="C14" s="17" t="s">
        <v>151</v>
      </c>
      <c r="D14" s="17" t="s">
        <v>149</v>
      </c>
      <c r="E14" s="17" t="s">
        <v>142</v>
      </c>
      <c r="F14" s="17" t="s">
        <v>192</v>
      </c>
      <c r="G14" s="17" t="s">
        <v>205</v>
      </c>
      <c r="H14" s="16"/>
      <c r="I14" s="16" t="n">
        <v>0</v>
      </c>
      <c r="J14" s="16" t="n">
        <v>0</v>
      </c>
      <c r="K14" s="17" t="n">
        <v>0</v>
      </c>
      <c r="L14" s="17" t="str">
        <f aca="false">IF(AND(H14&lt;&gt;"",I14=1,J14=1,K14=0),"READY","OPEN")</f>
        <v>OPEN</v>
      </c>
      <c r="M14" s="17" t="str">
        <f aca="false">IF(F14="ACTIVE","WARM PATH REMAINS","PRIMARY PATH REMAINS")</f>
        <v>PRIMARY PATH REMAINS</v>
      </c>
      <c r="N14" s="4"/>
    </row>
    <row r="15" customFormat="false" ht="15" hidden="false" customHeight="false" outlineLevel="0" collapsed="false">
      <c r="A15" s="17" t="s">
        <v>206</v>
      </c>
      <c r="B15" s="17" t="s">
        <v>152</v>
      </c>
      <c r="C15" s="17" t="s">
        <v>153</v>
      </c>
      <c r="D15" s="17" t="s">
        <v>149</v>
      </c>
      <c r="E15" s="17" t="s">
        <v>145</v>
      </c>
      <c r="F15" s="17" t="s">
        <v>189</v>
      </c>
      <c r="G15" s="17" t="s">
        <v>207</v>
      </c>
      <c r="H15" s="16"/>
      <c r="I15" s="16" t="n">
        <v>0</v>
      </c>
      <c r="J15" s="16" t="n">
        <v>0</v>
      </c>
      <c r="K15" s="17" t="n">
        <v>0</v>
      </c>
      <c r="L15" s="17" t="str">
        <f aca="false">IF(AND(H15&lt;&gt;"",I15=1,J15=1,K15=0),"READY","OPEN")</f>
        <v>OPEN</v>
      </c>
      <c r="M15" s="17" t="str">
        <f aca="false">IF(F15="ACTIVE","WARM PATH REMAINS","PRIMARY PATH REMAINS")</f>
        <v>WARM PATH REMAINS</v>
      </c>
      <c r="N15" s="4"/>
    </row>
    <row r="16" customFormat="false" ht="15" hidden="false" customHeight="false" outlineLevel="0" collapsed="false">
      <c r="A16" s="17" t="s">
        <v>208</v>
      </c>
      <c r="B16" s="17" t="s">
        <v>152</v>
      </c>
      <c r="C16" s="17" t="s">
        <v>153</v>
      </c>
      <c r="D16" s="17" t="s">
        <v>149</v>
      </c>
      <c r="E16" s="17" t="s">
        <v>141</v>
      </c>
      <c r="F16" s="17" t="s">
        <v>192</v>
      </c>
      <c r="G16" s="17" t="s">
        <v>209</v>
      </c>
      <c r="H16" s="16"/>
      <c r="I16" s="16" t="n">
        <v>0</v>
      </c>
      <c r="J16" s="16" t="n">
        <v>0</v>
      </c>
      <c r="K16" s="17" t="n">
        <v>0</v>
      </c>
      <c r="L16" s="17" t="str">
        <f aca="false">IF(AND(H16&lt;&gt;"",I16=1,J16=1,K16=0),"READY","OPEN")</f>
        <v>OPEN</v>
      </c>
      <c r="M16" s="17" t="str">
        <f aca="false">IF(F16="ACTIVE","WARM PATH REMAINS","PRIMARY PATH REMAINS")</f>
        <v>PRIMARY PATH REMAINS</v>
      </c>
      <c r="N16" s="4"/>
    </row>
    <row r="17" customFormat="false" ht="15" hidden="false" customHeight="false" outlineLevel="0" collapsed="false">
      <c r="A17" s="17" t="s">
        <v>210</v>
      </c>
      <c r="B17" s="17" t="s">
        <v>154</v>
      </c>
      <c r="C17" s="17" t="s">
        <v>155</v>
      </c>
      <c r="D17" s="17" t="s">
        <v>149</v>
      </c>
      <c r="E17" s="17" t="s">
        <v>142</v>
      </c>
      <c r="F17" s="17" t="s">
        <v>189</v>
      </c>
      <c r="G17" s="17" t="s">
        <v>211</v>
      </c>
      <c r="H17" s="16"/>
      <c r="I17" s="16" t="n">
        <v>0</v>
      </c>
      <c r="J17" s="16" t="n">
        <v>0</v>
      </c>
      <c r="K17" s="17" t="n">
        <v>0</v>
      </c>
      <c r="L17" s="17" t="str">
        <f aca="false">IF(AND(H17&lt;&gt;"",I17=1,J17=1,K17=0),"READY","OPEN")</f>
        <v>OPEN</v>
      </c>
      <c r="M17" s="17" t="str">
        <f aca="false">IF(F17="ACTIVE","WARM PATH REMAINS","PRIMARY PATH REMAINS")</f>
        <v>WARM PATH REMAINS</v>
      </c>
      <c r="N17" s="4"/>
    </row>
    <row r="18" customFormat="false" ht="15" hidden="false" customHeight="false" outlineLevel="0" collapsed="false">
      <c r="A18" s="17" t="s">
        <v>212</v>
      </c>
      <c r="B18" s="17" t="s">
        <v>154</v>
      </c>
      <c r="C18" s="17" t="s">
        <v>155</v>
      </c>
      <c r="D18" s="17" t="s">
        <v>149</v>
      </c>
      <c r="E18" s="17" t="s">
        <v>145</v>
      </c>
      <c r="F18" s="17" t="s">
        <v>192</v>
      </c>
      <c r="G18" s="17" t="s">
        <v>213</v>
      </c>
      <c r="H18" s="16"/>
      <c r="I18" s="16" t="n">
        <v>0</v>
      </c>
      <c r="J18" s="16" t="n">
        <v>0</v>
      </c>
      <c r="K18" s="17" t="n">
        <v>0</v>
      </c>
      <c r="L18" s="17" t="str">
        <f aca="false">IF(AND(H18&lt;&gt;"",I18=1,J18=1,K18=0),"READY","OPEN")</f>
        <v>OPEN</v>
      </c>
      <c r="M18" s="17" t="str">
        <f aca="false">IF(F18="ACTIVE","WARM PATH REMAINS","PRIMARY PATH REMAINS")</f>
        <v>PRIMARY PATH REMAINS</v>
      </c>
      <c r="N18" s="4"/>
    </row>
    <row r="19" customFormat="false" ht="15" hidden="false" customHeight="false" outlineLevel="0" collapsed="false">
      <c r="A19" s="17" t="s">
        <v>214</v>
      </c>
      <c r="B19" s="17" t="s">
        <v>156</v>
      </c>
      <c r="C19" s="17" t="s">
        <v>140</v>
      </c>
      <c r="D19" s="17" t="s">
        <v>157</v>
      </c>
      <c r="E19" s="17" t="s">
        <v>141</v>
      </c>
      <c r="F19" s="17" t="s">
        <v>189</v>
      </c>
      <c r="G19" s="17" t="s">
        <v>215</v>
      </c>
      <c r="H19" s="16"/>
      <c r="I19" s="16" t="n">
        <v>0</v>
      </c>
      <c r="J19" s="16" t="n">
        <v>0</v>
      </c>
      <c r="K19" s="17" t="n">
        <v>0</v>
      </c>
      <c r="L19" s="17" t="str">
        <f aca="false">IF(AND(H19&lt;&gt;"",I19=1,J19=1,K19=0),"READY","OPEN")</f>
        <v>OPEN</v>
      </c>
      <c r="M19" s="17" t="str">
        <f aca="false">IF(F19="ACTIVE","WARM PATH REMAINS","PRIMARY PATH REMAINS")</f>
        <v>WARM PATH REMAINS</v>
      </c>
      <c r="N19" s="4"/>
    </row>
    <row r="20" customFormat="false" ht="15" hidden="false" customHeight="false" outlineLevel="0" collapsed="false">
      <c r="A20" s="17" t="s">
        <v>216</v>
      </c>
      <c r="B20" s="17" t="s">
        <v>156</v>
      </c>
      <c r="C20" s="17" t="s">
        <v>140</v>
      </c>
      <c r="D20" s="17" t="s">
        <v>157</v>
      </c>
      <c r="E20" s="17" t="s">
        <v>142</v>
      </c>
      <c r="F20" s="17" t="s">
        <v>192</v>
      </c>
      <c r="G20" s="17" t="s">
        <v>217</v>
      </c>
      <c r="H20" s="16"/>
      <c r="I20" s="16" t="n">
        <v>0</v>
      </c>
      <c r="J20" s="16" t="n">
        <v>0</v>
      </c>
      <c r="K20" s="17" t="n">
        <v>0</v>
      </c>
      <c r="L20" s="17" t="str">
        <f aca="false">IF(AND(H20&lt;&gt;"",I20=1,J20=1,K20=0),"READY","OPEN")</f>
        <v>OPEN</v>
      </c>
      <c r="M20" s="17" t="str">
        <f aca="false">IF(F20="ACTIVE","WARM PATH REMAINS","PRIMARY PATH REMAINS")</f>
        <v>PRIMARY PATH REMAINS</v>
      </c>
      <c r="N20" s="4"/>
    </row>
    <row r="21" customFormat="false" ht="15" hidden="false" customHeight="false" outlineLevel="0" collapsed="false">
      <c r="A21" s="17" t="s">
        <v>218</v>
      </c>
      <c r="B21" s="17" t="s">
        <v>159</v>
      </c>
      <c r="C21" s="17" t="s">
        <v>153</v>
      </c>
      <c r="D21" s="17" t="s">
        <v>157</v>
      </c>
      <c r="E21" s="17" t="s">
        <v>145</v>
      </c>
      <c r="F21" s="17" t="s">
        <v>189</v>
      </c>
      <c r="G21" s="17" t="s">
        <v>219</v>
      </c>
      <c r="H21" s="16"/>
      <c r="I21" s="16" t="n">
        <v>0</v>
      </c>
      <c r="J21" s="16" t="n">
        <v>0</v>
      </c>
      <c r="K21" s="17" t="n">
        <v>0</v>
      </c>
      <c r="L21" s="17" t="str">
        <f aca="false">IF(AND(H21&lt;&gt;"",I21=1,J21=1,K21=0),"READY","OPEN")</f>
        <v>OPEN</v>
      </c>
      <c r="M21" s="17" t="str">
        <f aca="false">IF(F21="ACTIVE","WARM PATH REMAINS","PRIMARY PATH REMAINS")</f>
        <v>WARM PATH REMAINS</v>
      </c>
      <c r="N21" s="4"/>
    </row>
    <row r="22" customFormat="false" ht="15" hidden="false" customHeight="false" outlineLevel="0" collapsed="false">
      <c r="A22" s="17" t="s">
        <v>220</v>
      </c>
      <c r="B22" s="17" t="s">
        <v>159</v>
      </c>
      <c r="C22" s="17" t="s">
        <v>153</v>
      </c>
      <c r="D22" s="17" t="s">
        <v>157</v>
      </c>
      <c r="E22" s="17" t="s">
        <v>141</v>
      </c>
      <c r="F22" s="17" t="s">
        <v>192</v>
      </c>
      <c r="G22" s="17" t="s">
        <v>221</v>
      </c>
      <c r="H22" s="16"/>
      <c r="I22" s="16" t="n">
        <v>0</v>
      </c>
      <c r="J22" s="16" t="n">
        <v>0</v>
      </c>
      <c r="K22" s="17" t="n">
        <v>0</v>
      </c>
      <c r="L22" s="17" t="str">
        <f aca="false">IF(AND(H22&lt;&gt;"",I22=1,J22=1,K22=0),"READY","OPEN")</f>
        <v>OPEN</v>
      </c>
      <c r="M22" s="17" t="str">
        <f aca="false">IF(F22="ACTIVE","WARM PATH REMAINS","PRIMARY PATH REMAINS")</f>
        <v>PRIMARY PATH REMAINS</v>
      </c>
      <c r="N22" s="4"/>
    </row>
    <row r="23" customFormat="false" ht="15" hidden="false" customHeight="false" outlineLevel="0" collapsed="false">
      <c r="A23" s="17" t="s">
        <v>222</v>
      </c>
      <c r="B23" s="17" t="s">
        <v>160</v>
      </c>
      <c r="C23" s="17" t="s">
        <v>147</v>
      </c>
      <c r="D23" s="17" t="s">
        <v>157</v>
      </c>
      <c r="E23" s="17" t="s">
        <v>142</v>
      </c>
      <c r="F23" s="17" t="s">
        <v>189</v>
      </c>
      <c r="G23" s="17" t="s">
        <v>223</v>
      </c>
      <c r="H23" s="16"/>
      <c r="I23" s="16" t="n">
        <v>0</v>
      </c>
      <c r="J23" s="16" t="n">
        <v>0</v>
      </c>
      <c r="K23" s="17" t="n">
        <v>0</v>
      </c>
      <c r="L23" s="17" t="str">
        <f aca="false">IF(AND(H23&lt;&gt;"",I23=1,J23=1,K23=0),"READY","OPEN")</f>
        <v>OPEN</v>
      </c>
      <c r="M23" s="17" t="str">
        <f aca="false">IF(F23="ACTIVE","WARM PATH REMAINS","PRIMARY PATH REMAINS")</f>
        <v>WARM PATH REMAINS</v>
      </c>
      <c r="N23" s="4"/>
    </row>
    <row r="24" customFormat="false" ht="15" hidden="false" customHeight="false" outlineLevel="0" collapsed="false">
      <c r="A24" s="17" t="s">
        <v>224</v>
      </c>
      <c r="B24" s="17" t="s">
        <v>160</v>
      </c>
      <c r="C24" s="17" t="s">
        <v>147</v>
      </c>
      <c r="D24" s="17" t="s">
        <v>157</v>
      </c>
      <c r="E24" s="17" t="s">
        <v>145</v>
      </c>
      <c r="F24" s="17" t="s">
        <v>192</v>
      </c>
      <c r="G24" s="17" t="s">
        <v>225</v>
      </c>
      <c r="H24" s="16"/>
      <c r="I24" s="16" t="n">
        <v>0</v>
      </c>
      <c r="J24" s="16" t="n">
        <v>0</v>
      </c>
      <c r="K24" s="17" t="n">
        <v>0</v>
      </c>
      <c r="L24" s="17" t="str">
        <f aca="false">IF(AND(H24&lt;&gt;"",I24=1,J24=1,K24=0),"READY","OPEN")</f>
        <v>OPEN</v>
      </c>
      <c r="M24" s="17" t="str">
        <f aca="false">IF(F24="ACTIVE","WARM PATH REMAINS","PRIMARY PATH REMAINS")</f>
        <v>PRIMARY PATH REMAINS</v>
      </c>
      <c r="N24" s="4"/>
    </row>
    <row r="25" customFormat="false" ht="15" hidden="false" customHeight="false" outlineLevel="0" collapsed="false">
      <c r="A25" s="17" t="s">
        <v>226</v>
      </c>
      <c r="B25" s="17" t="s">
        <v>161</v>
      </c>
      <c r="C25" s="17" t="s">
        <v>151</v>
      </c>
      <c r="D25" s="17" t="s">
        <v>162</v>
      </c>
      <c r="E25" s="17" t="s">
        <v>141</v>
      </c>
      <c r="F25" s="17" t="s">
        <v>189</v>
      </c>
      <c r="G25" s="17" t="s">
        <v>227</v>
      </c>
      <c r="H25" s="16"/>
      <c r="I25" s="16" t="n">
        <v>0</v>
      </c>
      <c r="J25" s="16" t="n">
        <v>0</v>
      </c>
      <c r="K25" s="17" t="n">
        <v>0</v>
      </c>
      <c r="L25" s="17" t="str">
        <f aca="false">IF(AND(H25&lt;&gt;"",I25=1,J25=1,K25=0),"READY","OPEN")</f>
        <v>OPEN</v>
      </c>
      <c r="M25" s="17" t="str">
        <f aca="false">IF(F25="ACTIVE","WARM PATH REMAINS","PRIMARY PATH REMAINS")</f>
        <v>WARM PATH REMAINS</v>
      </c>
      <c r="N25" s="4"/>
    </row>
    <row r="26" customFormat="false" ht="15" hidden="false" customHeight="false" outlineLevel="0" collapsed="false">
      <c r="A26" s="17" t="s">
        <v>228</v>
      </c>
      <c r="B26" s="17" t="s">
        <v>161</v>
      </c>
      <c r="C26" s="17" t="s">
        <v>151</v>
      </c>
      <c r="D26" s="17" t="s">
        <v>162</v>
      </c>
      <c r="E26" s="17" t="s">
        <v>142</v>
      </c>
      <c r="F26" s="17" t="s">
        <v>192</v>
      </c>
      <c r="G26" s="17" t="s">
        <v>229</v>
      </c>
      <c r="H26" s="16"/>
      <c r="I26" s="16" t="n">
        <v>0</v>
      </c>
      <c r="J26" s="16" t="n">
        <v>0</v>
      </c>
      <c r="K26" s="17" t="n">
        <v>0</v>
      </c>
      <c r="L26" s="17" t="str">
        <f aca="false">IF(AND(H26&lt;&gt;"",I26=1,J26=1,K26=0),"READY","OPEN")</f>
        <v>OPEN</v>
      </c>
      <c r="M26" s="17" t="str">
        <f aca="false">IF(F26="ACTIVE","WARM PATH REMAINS","PRIMARY PATH REMAINS")</f>
        <v>PRIMARY PATH REMAINS</v>
      </c>
      <c r="N26" s="4"/>
    </row>
    <row r="27" customFormat="false" ht="15" hidden="false" customHeight="false" outlineLevel="0" collapsed="false">
      <c r="A27" s="17" t="s">
        <v>230</v>
      </c>
      <c r="B27" s="17" t="s">
        <v>164</v>
      </c>
      <c r="C27" s="17" t="s">
        <v>144</v>
      </c>
      <c r="D27" s="17" t="s">
        <v>162</v>
      </c>
      <c r="E27" s="17" t="s">
        <v>145</v>
      </c>
      <c r="F27" s="17" t="s">
        <v>189</v>
      </c>
      <c r="G27" s="17" t="s">
        <v>231</v>
      </c>
      <c r="H27" s="16"/>
      <c r="I27" s="16" t="n">
        <v>0</v>
      </c>
      <c r="J27" s="16" t="n">
        <v>0</v>
      </c>
      <c r="K27" s="17" t="n">
        <v>0</v>
      </c>
      <c r="L27" s="17" t="str">
        <f aca="false">IF(AND(H27&lt;&gt;"",I27=1,J27=1,K27=0),"READY","OPEN")</f>
        <v>OPEN</v>
      </c>
      <c r="M27" s="17" t="str">
        <f aca="false">IF(F27="ACTIVE","WARM PATH REMAINS","PRIMARY PATH REMAINS")</f>
        <v>WARM PATH REMAINS</v>
      </c>
      <c r="N27" s="4"/>
    </row>
    <row r="28" customFormat="false" ht="15" hidden="false" customHeight="false" outlineLevel="0" collapsed="false">
      <c r="A28" s="17" t="s">
        <v>232</v>
      </c>
      <c r="B28" s="17" t="s">
        <v>164</v>
      </c>
      <c r="C28" s="17" t="s">
        <v>144</v>
      </c>
      <c r="D28" s="17" t="s">
        <v>162</v>
      </c>
      <c r="E28" s="17" t="s">
        <v>141</v>
      </c>
      <c r="F28" s="17" t="s">
        <v>192</v>
      </c>
      <c r="G28" s="17" t="s">
        <v>233</v>
      </c>
      <c r="H28" s="16"/>
      <c r="I28" s="16" t="n">
        <v>0</v>
      </c>
      <c r="J28" s="16" t="n">
        <v>0</v>
      </c>
      <c r="K28" s="17" t="n">
        <v>0</v>
      </c>
      <c r="L28" s="17" t="str">
        <f aca="false">IF(AND(H28&lt;&gt;"",I28=1,J28=1,K28=0),"READY","OPEN")</f>
        <v>OPEN</v>
      </c>
      <c r="M28" s="17" t="str">
        <f aca="false">IF(F28="ACTIVE","WARM PATH REMAINS","PRIMARY PATH REMAINS")</f>
        <v>PRIMARY PATH REMAINS</v>
      </c>
      <c r="N28" s="4"/>
    </row>
    <row r="29" customFormat="false" ht="15" hidden="false" customHeight="false" outlineLevel="0" collapsed="false">
      <c r="A29" s="17" t="s">
        <v>234</v>
      </c>
      <c r="B29" s="17" t="s">
        <v>165</v>
      </c>
      <c r="C29" s="17" t="s">
        <v>155</v>
      </c>
      <c r="D29" s="17" t="s">
        <v>162</v>
      </c>
      <c r="E29" s="17" t="s">
        <v>142</v>
      </c>
      <c r="F29" s="17" t="s">
        <v>189</v>
      </c>
      <c r="G29" s="17" t="s">
        <v>235</v>
      </c>
      <c r="H29" s="16"/>
      <c r="I29" s="16" t="n">
        <v>0</v>
      </c>
      <c r="J29" s="16" t="n">
        <v>0</v>
      </c>
      <c r="K29" s="17" t="n">
        <v>0</v>
      </c>
      <c r="L29" s="17" t="str">
        <f aca="false">IF(AND(H29&lt;&gt;"",I29=1,J29=1,K29=0),"READY","OPEN")</f>
        <v>OPEN</v>
      </c>
      <c r="M29" s="17" t="str">
        <f aca="false">IF(F29="ACTIVE","WARM PATH REMAINS","PRIMARY PATH REMAINS")</f>
        <v>WARM PATH REMAINS</v>
      </c>
      <c r="N29" s="4"/>
    </row>
    <row r="30" customFormat="false" ht="15" hidden="false" customHeight="false" outlineLevel="0" collapsed="false">
      <c r="A30" s="17" t="s">
        <v>236</v>
      </c>
      <c r="B30" s="17" t="s">
        <v>165</v>
      </c>
      <c r="C30" s="17" t="s">
        <v>155</v>
      </c>
      <c r="D30" s="17" t="s">
        <v>162</v>
      </c>
      <c r="E30" s="17" t="s">
        <v>145</v>
      </c>
      <c r="F30" s="17" t="s">
        <v>192</v>
      </c>
      <c r="G30" s="17" t="s">
        <v>237</v>
      </c>
      <c r="H30" s="16"/>
      <c r="I30" s="16" t="n">
        <v>0</v>
      </c>
      <c r="J30" s="16" t="n">
        <v>0</v>
      </c>
      <c r="K30" s="17" t="n">
        <v>0</v>
      </c>
      <c r="L30" s="17" t="str">
        <f aca="false">IF(AND(H30&lt;&gt;"",I30=1,J30=1,K30=0),"READY","OPEN")</f>
        <v>OPEN</v>
      </c>
      <c r="M30" s="17" t="str">
        <f aca="false">IF(F30="ACTIVE","WARM PATH REMAINS","PRIMARY PATH REMAINS")</f>
        <v>PRIMARY PATH REMAINS</v>
      </c>
      <c r="N30" s="4"/>
    </row>
    <row r="31" customFormat="false" ht="15" hidden="false" customHeight="false" outlineLevel="0" collapsed="false">
      <c r="A31" s="17" t="s">
        <v>238</v>
      </c>
      <c r="B31" s="17" t="s">
        <v>166</v>
      </c>
      <c r="C31" s="17" t="s">
        <v>140</v>
      </c>
      <c r="D31" s="17" t="s">
        <v>167</v>
      </c>
      <c r="E31" s="17" t="s">
        <v>141</v>
      </c>
      <c r="F31" s="17" t="s">
        <v>189</v>
      </c>
      <c r="G31" s="17" t="s">
        <v>239</v>
      </c>
      <c r="H31" s="16"/>
      <c r="I31" s="16" t="n">
        <v>0</v>
      </c>
      <c r="J31" s="16" t="n">
        <v>0</v>
      </c>
      <c r="K31" s="17" t="n">
        <v>0</v>
      </c>
      <c r="L31" s="17" t="str">
        <f aca="false">IF(AND(H31&lt;&gt;"",I31=1,J31=1,K31=0),"READY","OPEN")</f>
        <v>OPEN</v>
      </c>
      <c r="M31" s="17" t="str">
        <f aca="false">IF(F31="ACTIVE","WARM PATH REMAINS","PRIMARY PATH REMAINS")</f>
        <v>WARM PATH REMAINS</v>
      </c>
      <c r="N31" s="4"/>
    </row>
    <row r="32" customFormat="false" ht="15" hidden="false" customHeight="false" outlineLevel="0" collapsed="false">
      <c r="A32" s="17" t="s">
        <v>240</v>
      </c>
      <c r="B32" s="17" t="s">
        <v>166</v>
      </c>
      <c r="C32" s="17" t="s">
        <v>140</v>
      </c>
      <c r="D32" s="17" t="s">
        <v>167</v>
      </c>
      <c r="E32" s="17" t="s">
        <v>142</v>
      </c>
      <c r="F32" s="17" t="s">
        <v>192</v>
      </c>
      <c r="G32" s="17" t="s">
        <v>241</v>
      </c>
      <c r="H32" s="16"/>
      <c r="I32" s="16" t="n">
        <v>0</v>
      </c>
      <c r="J32" s="16" t="n">
        <v>0</v>
      </c>
      <c r="K32" s="17" t="n">
        <v>0</v>
      </c>
      <c r="L32" s="17" t="str">
        <f aca="false">IF(AND(H32&lt;&gt;"",I32=1,J32=1,K32=0),"READY","OPEN")</f>
        <v>OPEN</v>
      </c>
      <c r="M32" s="17" t="str">
        <f aca="false">IF(F32="ACTIVE","WARM PATH REMAINS","PRIMARY PATH REMAINS")</f>
        <v>PRIMARY PATH REMAINS</v>
      </c>
      <c r="N32" s="4"/>
    </row>
    <row r="33" customFormat="false" ht="15" hidden="false" customHeight="false" outlineLevel="0" collapsed="false">
      <c r="A33" s="17" t="s">
        <v>242</v>
      </c>
      <c r="B33" s="17" t="s">
        <v>169</v>
      </c>
      <c r="C33" s="17" t="s">
        <v>153</v>
      </c>
      <c r="D33" s="17" t="s">
        <v>167</v>
      </c>
      <c r="E33" s="17" t="s">
        <v>145</v>
      </c>
      <c r="F33" s="17" t="s">
        <v>189</v>
      </c>
      <c r="G33" s="17" t="s">
        <v>243</v>
      </c>
      <c r="H33" s="16"/>
      <c r="I33" s="16" t="n">
        <v>0</v>
      </c>
      <c r="J33" s="16" t="n">
        <v>0</v>
      </c>
      <c r="K33" s="17" t="n">
        <v>0</v>
      </c>
      <c r="L33" s="17" t="str">
        <f aca="false">IF(AND(H33&lt;&gt;"",I33=1,J33=1,K33=0),"READY","OPEN")</f>
        <v>OPEN</v>
      </c>
      <c r="M33" s="17" t="str">
        <f aca="false">IF(F33="ACTIVE","WARM PATH REMAINS","PRIMARY PATH REMAINS")</f>
        <v>WARM PATH REMAINS</v>
      </c>
      <c r="N33" s="4"/>
    </row>
    <row r="34" customFormat="false" ht="15" hidden="false" customHeight="false" outlineLevel="0" collapsed="false">
      <c r="A34" s="17" t="s">
        <v>244</v>
      </c>
      <c r="B34" s="17" t="s">
        <v>169</v>
      </c>
      <c r="C34" s="17" t="s">
        <v>153</v>
      </c>
      <c r="D34" s="17" t="s">
        <v>167</v>
      </c>
      <c r="E34" s="17" t="s">
        <v>141</v>
      </c>
      <c r="F34" s="17" t="s">
        <v>192</v>
      </c>
      <c r="G34" s="17" t="s">
        <v>245</v>
      </c>
      <c r="H34" s="16"/>
      <c r="I34" s="16" t="n">
        <v>0</v>
      </c>
      <c r="J34" s="16" t="n">
        <v>0</v>
      </c>
      <c r="K34" s="17" t="n">
        <v>0</v>
      </c>
      <c r="L34" s="17" t="str">
        <f aca="false">IF(AND(H34&lt;&gt;"",I34=1,J34=1,K34=0),"READY","OPEN")</f>
        <v>OPEN</v>
      </c>
      <c r="M34" s="17" t="str">
        <f aca="false">IF(F34="ACTIVE","WARM PATH REMAINS","PRIMARY PATH REMAINS")</f>
        <v>PRIMARY PATH REMAINS</v>
      </c>
      <c r="N34" s="4"/>
    </row>
    <row r="35" customFormat="false" ht="15" hidden="false" customHeight="false" outlineLevel="0" collapsed="false">
      <c r="A35" s="17" t="s">
        <v>246</v>
      </c>
      <c r="B35" s="17" t="s">
        <v>170</v>
      </c>
      <c r="C35" s="17" t="s">
        <v>155</v>
      </c>
      <c r="D35" s="17" t="s">
        <v>167</v>
      </c>
      <c r="E35" s="17" t="s">
        <v>142</v>
      </c>
      <c r="F35" s="17" t="s">
        <v>189</v>
      </c>
      <c r="G35" s="17" t="s">
        <v>247</v>
      </c>
      <c r="H35" s="16"/>
      <c r="I35" s="16" t="n">
        <v>0</v>
      </c>
      <c r="J35" s="16" t="n">
        <v>0</v>
      </c>
      <c r="K35" s="17" t="n">
        <v>0</v>
      </c>
      <c r="L35" s="17" t="str">
        <f aca="false">IF(AND(H35&lt;&gt;"",I35=1,J35=1,K35=0),"READY","OPEN")</f>
        <v>OPEN</v>
      </c>
      <c r="M35" s="17" t="str">
        <f aca="false">IF(F35="ACTIVE","WARM PATH REMAINS","PRIMARY PATH REMAINS")</f>
        <v>WARM PATH REMAINS</v>
      </c>
      <c r="N35" s="4"/>
    </row>
    <row r="36" customFormat="false" ht="15" hidden="false" customHeight="false" outlineLevel="0" collapsed="false">
      <c r="A36" s="17" t="s">
        <v>248</v>
      </c>
      <c r="B36" s="17" t="s">
        <v>170</v>
      </c>
      <c r="C36" s="17" t="s">
        <v>155</v>
      </c>
      <c r="D36" s="17" t="s">
        <v>167</v>
      </c>
      <c r="E36" s="17" t="s">
        <v>145</v>
      </c>
      <c r="F36" s="17" t="s">
        <v>192</v>
      </c>
      <c r="G36" s="17" t="s">
        <v>249</v>
      </c>
      <c r="H36" s="16"/>
      <c r="I36" s="16" t="n">
        <v>0</v>
      </c>
      <c r="J36" s="16" t="n">
        <v>0</v>
      </c>
      <c r="K36" s="17" t="n">
        <v>0</v>
      </c>
      <c r="L36" s="17" t="str">
        <f aca="false">IF(AND(H36&lt;&gt;"",I36=1,J36=1,K36=0),"READY","OPEN")</f>
        <v>OPEN</v>
      </c>
      <c r="M36" s="17" t="str">
        <f aca="false">IF(F36="ACTIVE","WARM PATH REMAINS","PRIMARY PATH REMAINS")</f>
        <v>PRIMARY PATH REMAINS</v>
      </c>
      <c r="N36" s="4"/>
    </row>
    <row r="37" customFormat="false" ht="15" hidden="false" customHeight="false" outlineLevel="0" collapsed="false">
      <c r="A37" s="17" t="s">
        <v>250</v>
      </c>
      <c r="B37" s="17" t="s">
        <v>171</v>
      </c>
      <c r="C37" s="17" t="s">
        <v>151</v>
      </c>
      <c r="D37" s="17" t="s">
        <v>172</v>
      </c>
      <c r="E37" s="17" t="s">
        <v>141</v>
      </c>
      <c r="F37" s="17" t="s">
        <v>189</v>
      </c>
      <c r="G37" s="17" t="s">
        <v>251</v>
      </c>
      <c r="H37" s="16"/>
      <c r="I37" s="16" t="n">
        <v>0</v>
      </c>
      <c r="J37" s="16" t="n">
        <v>0</v>
      </c>
      <c r="K37" s="17" t="n">
        <v>0</v>
      </c>
      <c r="L37" s="17" t="str">
        <f aca="false">IF(AND(H37&lt;&gt;"",I37=1,J37=1,K37=0),"READY","OPEN")</f>
        <v>OPEN</v>
      </c>
      <c r="M37" s="17" t="str">
        <f aca="false">IF(F37="ACTIVE","WARM PATH REMAINS","PRIMARY PATH REMAINS")</f>
        <v>WARM PATH REMAINS</v>
      </c>
      <c r="N37" s="4"/>
    </row>
    <row r="38" customFormat="false" ht="15" hidden="false" customHeight="false" outlineLevel="0" collapsed="false">
      <c r="A38" s="17" t="s">
        <v>252</v>
      </c>
      <c r="B38" s="17" t="s">
        <v>171</v>
      </c>
      <c r="C38" s="17" t="s">
        <v>151</v>
      </c>
      <c r="D38" s="17" t="s">
        <v>172</v>
      </c>
      <c r="E38" s="17" t="s">
        <v>142</v>
      </c>
      <c r="F38" s="17" t="s">
        <v>192</v>
      </c>
      <c r="G38" s="17" t="s">
        <v>253</v>
      </c>
      <c r="H38" s="16"/>
      <c r="I38" s="16" t="n">
        <v>0</v>
      </c>
      <c r="J38" s="16" t="n">
        <v>0</v>
      </c>
      <c r="K38" s="17" t="n">
        <v>0</v>
      </c>
      <c r="L38" s="17" t="str">
        <f aca="false">IF(AND(H38&lt;&gt;"",I38=1,J38=1,K38=0),"READY","OPEN")</f>
        <v>OPEN</v>
      </c>
      <c r="M38" s="17" t="str">
        <f aca="false">IF(F38="ACTIVE","WARM PATH REMAINS","PRIMARY PATH REMAINS")</f>
        <v>PRIMARY PATH REMAINS</v>
      </c>
      <c r="N38" s="4"/>
    </row>
    <row r="39" customFormat="false" ht="15" hidden="false" customHeight="false" outlineLevel="0" collapsed="false">
      <c r="A39" s="17" t="s">
        <v>254</v>
      </c>
      <c r="B39" s="17" t="s">
        <v>174</v>
      </c>
      <c r="C39" s="17" t="s">
        <v>144</v>
      </c>
      <c r="D39" s="17" t="s">
        <v>172</v>
      </c>
      <c r="E39" s="17" t="s">
        <v>145</v>
      </c>
      <c r="F39" s="17" t="s">
        <v>189</v>
      </c>
      <c r="G39" s="17" t="s">
        <v>255</v>
      </c>
      <c r="H39" s="16"/>
      <c r="I39" s="16" t="n">
        <v>0</v>
      </c>
      <c r="J39" s="16" t="n">
        <v>0</v>
      </c>
      <c r="K39" s="17" t="n">
        <v>0</v>
      </c>
      <c r="L39" s="17" t="str">
        <f aca="false">IF(AND(H39&lt;&gt;"",I39=1,J39=1,K39=0),"READY","OPEN")</f>
        <v>OPEN</v>
      </c>
      <c r="M39" s="17" t="str">
        <f aca="false">IF(F39="ACTIVE","WARM PATH REMAINS","PRIMARY PATH REMAINS")</f>
        <v>WARM PATH REMAINS</v>
      </c>
      <c r="N39" s="4"/>
    </row>
    <row r="40" customFormat="false" ht="15" hidden="false" customHeight="false" outlineLevel="0" collapsed="false">
      <c r="A40" s="17" t="s">
        <v>256</v>
      </c>
      <c r="B40" s="17" t="s">
        <v>174</v>
      </c>
      <c r="C40" s="17" t="s">
        <v>144</v>
      </c>
      <c r="D40" s="17" t="s">
        <v>172</v>
      </c>
      <c r="E40" s="17" t="s">
        <v>141</v>
      </c>
      <c r="F40" s="17" t="s">
        <v>192</v>
      </c>
      <c r="G40" s="17" t="s">
        <v>257</v>
      </c>
      <c r="H40" s="16"/>
      <c r="I40" s="16" t="n">
        <v>0</v>
      </c>
      <c r="J40" s="16" t="n">
        <v>0</v>
      </c>
      <c r="K40" s="17" t="n">
        <v>0</v>
      </c>
      <c r="L40" s="17" t="str">
        <f aca="false">IF(AND(H40&lt;&gt;"",I40=1,J40=1,K40=0),"READY","OPEN")</f>
        <v>OPEN</v>
      </c>
      <c r="M40" s="17" t="str">
        <f aca="false">IF(F40="ACTIVE","WARM PATH REMAINS","PRIMARY PATH REMAINS")</f>
        <v>PRIMARY PATH REMAINS</v>
      </c>
      <c r="N40" s="4"/>
    </row>
    <row r="41" customFormat="false" ht="15" hidden="false" customHeight="false" outlineLevel="0" collapsed="false">
      <c r="A41" s="17" t="s">
        <v>258</v>
      </c>
      <c r="B41" s="17" t="s">
        <v>175</v>
      </c>
      <c r="C41" s="17" t="s">
        <v>147</v>
      </c>
      <c r="D41" s="17" t="s">
        <v>172</v>
      </c>
      <c r="E41" s="17" t="s">
        <v>142</v>
      </c>
      <c r="F41" s="17" t="s">
        <v>189</v>
      </c>
      <c r="G41" s="17" t="s">
        <v>259</v>
      </c>
      <c r="H41" s="16"/>
      <c r="I41" s="16" t="n">
        <v>0</v>
      </c>
      <c r="J41" s="16" t="n">
        <v>0</v>
      </c>
      <c r="K41" s="17" t="n">
        <v>0</v>
      </c>
      <c r="L41" s="17" t="str">
        <f aca="false">IF(AND(H41&lt;&gt;"",I41=1,J41=1,K41=0),"READY","OPEN")</f>
        <v>OPEN</v>
      </c>
      <c r="M41" s="17" t="str">
        <f aca="false">IF(F41="ACTIVE","WARM PATH REMAINS","PRIMARY PATH REMAINS")</f>
        <v>WARM PATH REMAINS</v>
      </c>
      <c r="N41" s="4"/>
    </row>
    <row r="42" customFormat="false" ht="15" hidden="false" customHeight="false" outlineLevel="0" collapsed="false">
      <c r="A42" s="17" t="s">
        <v>260</v>
      </c>
      <c r="B42" s="17" t="s">
        <v>175</v>
      </c>
      <c r="C42" s="17" t="s">
        <v>147</v>
      </c>
      <c r="D42" s="17" t="s">
        <v>172</v>
      </c>
      <c r="E42" s="17" t="s">
        <v>145</v>
      </c>
      <c r="F42" s="17" t="s">
        <v>192</v>
      </c>
      <c r="G42" s="17" t="s">
        <v>261</v>
      </c>
      <c r="H42" s="16"/>
      <c r="I42" s="16" t="n">
        <v>0</v>
      </c>
      <c r="J42" s="16" t="n">
        <v>0</v>
      </c>
      <c r="K42" s="17" t="n">
        <v>0</v>
      </c>
      <c r="L42" s="17" t="str">
        <f aca="false">IF(AND(H42&lt;&gt;"",I42=1,J42=1,K42=0),"READY","OPEN")</f>
        <v>OPEN</v>
      </c>
      <c r="M42" s="17" t="str">
        <f aca="false">IF(F42="ACTIVE","WARM PATH REMAINS","PRIMARY PATH REMAINS")</f>
        <v>PRIMARY PATH REMAINS</v>
      </c>
      <c r="N42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21"/>
    <col collapsed="false" customWidth="true" hidden="false" outlineLevel="0" max="9" min="7" style="0" width="15"/>
    <col collapsed="false" customWidth="true" hidden="false" outlineLevel="0" max="11" min="10" style="0" width="14"/>
  </cols>
  <sheetData>
    <row r="2" customFormat="false" ht="18.55" hidden="false" customHeight="false" outlineLevel="0" collapsed="false">
      <c r="A2" s="1" t="s">
        <v>262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263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264</v>
      </c>
      <c r="B6" s="7" t="s">
        <v>125</v>
      </c>
      <c r="C6" s="7" t="s">
        <v>124</v>
      </c>
      <c r="D6" s="7" t="s">
        <v>179</v>
      </c>
      <c r="E6" s="7" t="s">
        <v>265</v>
      </c>
      <c r="F6" s="7" t="s">
        <v>266</v>
      </c>
      <c r="G6" s="7" t="s">
        <v>267</v>
      </c>
      <c r="H6" s="7" t="s">
        <v>268</v>
      </c>
      <c r="I6" s="7" t="s">
        <v>269</v>
      </c>
      <c r="J6" s="7" t="s">
        <v>270</v>
      </c>
      <c r="K6" s="8" t="s">
        <v>271</v>
      </c>
      <c r="L6" s="4"/>
      <c r="M6" s="4"/>
      <c r="N6" s="4"/>
    </row>
    <row r="7" customFormat="false" ht="15" hidden="false" customHeight="false" outlineLevel="0" collapsed="false">
      <c r="A7" s="17" t="s">
        <v>272</v>
      </c>
      <c r="B7" s="17" t="s">
        <v>138</v>
      </c>
      <c r="C7" s="17" t="s">
        <v>137</v>
      </c>
      <c r="D7" s="17" t="s">
        <v>140</v>
      </c>
      <c r="E7" s="17" t="n">
        <v>1</v>
      </c>
      <c r="F7" s="16"/>
      <c r="G7" s="16" t="n">
        <v>0</v>
      </c>
      <c r="H7" s="16" t="n">
        <v>0</v>
      </c>
      <c r="I7" s="22" t="n">
        <f aca="false">IF(AND(F7&lt;&gt;"",G7=1,H7=1),1,0)</f>
        <v>0</v>
      </c>
      <c r="J7" s="22" t="n">
        <f aca="false">Inputs!$B$10</f>
        <v>2</v>
      </c>
      <c r="K7" s="22" t="str">
        <f aca="false">IF(I7=1,"SEAT READY","OPEN")</f>
        <v>OPEN</v>
      </c>
      <c r="L7" s="4"/>
      <c r="M7" s="4"/>
      <c r="N7" s="4"/>
    </row>
    <row r="8" customFormat="false" ht="15" hidden="false" customHeight="false" outlineLevel="0" collapsed="false">
      <c r="A8" s="17" t="s">
        <v>273</v>
      </c>
      <c r="B8" s="17" t="s">
        <v>138</v>
      </c>
      <c r="C8" s="17" t="s">
        <v>143</v>
      </c>
      <c r="D8" s="17" t="s">
        <v>144</v>
      </c>
      <c r="E8" s="17" t="n">
        <v>1</v>
      </c>
      <c r="F8" s="16"/>
      <c r="G8" s="16" t="n">
        <v>0</v>
      </c>
      <c r="H8" s="16" t="n">
        <v>0</v>
      </c>
      <c r="I8" s="22" t="n">
        <f aca="false">IF(AND(F8&lt;&gt;"",G8=1,H8=1),1,0)</f>
        <v>0</v>
      </c>
      <c r="J8" s="22" t="n">
        <f aca="false">Inputs!$B$10</f>
        <v>2</v>
      </c>
      <c r="K8" s="22" t="str">
        <f aca="false">IF(I8=1,"SEAT READY","OPEN")</f>
        <v>OPEN</v>
      </c>
      <c r="L8" s="4"/>
      <c r="M8" s="4"/>
      <c r="N8" s="4"/>
    </row>
    <row r="9" customFormat="false" ht="15" hidden="false" customHeight="false" outlineLevel="0" collapsed="false">
      <c r="A9" s="17" t="s">
        <v>274</v>
      </c>
      <c r="B9" s="17" t="s">
        <v>138</v>
      </c>
      <c r="C9" s="17" t="s">
        <v>146</v>
      </c>
      <c r="D9" s="17" t="s">
        <v>147</v>
      </c>
      <c r="E9" s="17" t="n">
        <v>1</v>
      </c>
      <c r="F9" s="16"/>
      <c r="G9" s="16" t="n">
        <v>0</v>
      </c>
      <c r="H9" s="16" t="n">
        <v>0</v>
      </c>
      <c r="I9" s="22" t="n">
        <f aca="false">IF(AND(F9&lt;&gt;"",G9=1,H9=1),1,0)</f>
        <v>0</v>
      </c>
      <c r="J9" s="22" t="n">
        <f aca="false">Inputs!$B$10</f>
        <v>2</v>
      </c>
      <c r="K9" s="22" t="str">
        <f aca="false">IF(I9=1,"SEAT READY","OPEN")</f>
        <v>OPEN</v>
      </c>
      <c r="L9" s="4"/>
      <c r="M9" s="4"/>
      <c r="N9" s="4"/>
    </row>
    <row r="10" customFormat="false" ht="15" hidden="false" customHeight="false" outlineLevel="0" collapsed="false">
      <c r="A10" s="17" t="s">
        <v>275</v>
      </c>
      <c r="B10" s="17" t="s">
        <v>149</v>
      </c>
      <c r="C10" s="17" t="s">
        <v>148</v>
      </c>
      <c r="D10" s="17" t="s">
        <v>151</v>
      </c>
      <c r="E10" s="17" t="n">
        <v>1</v>
      </c>
      <c r="F10" s="16"/>
      <c r="G10" s="16" t="n">
        <v>0</v>
      </c>
      <c r="H10" s="16" t="n">
        <v>0</v>
      </c>
      <c r="I10" s="22" t="n">
        <f aca="false">IF(AND(F10&lt;&gt;"",G10=1,H10=1),1,0)</f>
        <v>0</v>
      </c>
      <c r="J10" s="22" t="n">
        <f aca="false">Inputs!$B$10</f>
        <v>2</v>
      </c>
      <c r="K10" s="22" t="str">
        <f aca="false">IF(I10=1,"SEAT READY","OPEN")</f>
        <v>OPEN</v>
      </c>
      <c r="L10" s="4"/>
      <c r="M10" s="4"/>
      <c r="N10" s="4"/>
    </row>
    <row r="11" customFormat="false" ht="15" hidden="false" customHeight="false" outlineLevel="0" collapsed="false">
      <c r="A11" s="17" t="s">
        <v>276</v>
      </c>
      <c r="B11" s="17" t="s">
        <v>149</v>
      </c>
      <c r="C11" s="17" t="s">
        <v>152</v>
      </c>
      <c r="D11" s="17" t="s">
        <v>153</v>
      </c>
      <c r="E11" s="17" t="n">
        <v>1</v>
      </c>
      <c r="F11" s="16"/>
      <c r="G11" s="16" t="n">
        <v>0</v>
      </c>
      <c r="H11" s="16" t="n">
        <v>0</v>
      </c>
      <c r="I11" s="22" t="n">
        <f aca="false">IF(AND(F11&lt;&gt;"",G11=1,H11=1),1,0)</f>
        <v>0</v>
      </c>
      <c r="J11" s="22" t="n">
        <f aca="false">Inputs!$B$10</f>
        <v>2</v>
      </c>
      <c r="K11" s="22" t="str">
        <f aca="false">IF(I11=1,"SEAT READY","OPEN")</f>
        <v>OPEN</v>
      </c>
      <c r="L11" s="4"/>
      <c r="M11" s="4"/>
      <c r="N11" s="4"/>
    </row>
    <row r="12" customFormat="false" ht="15" hidden="false" customHeight="false" outlineLevel="0" collapsed="false">
      <c r="A12" s="17" t="s">
        <v>277</v>
      </c>
      <c r="B12" s="17" t="s">
        <v>149</v>
      </c>
      <c r="C12" s="17" t="s">
        <v>154</v>
      </c>
      <c r="D12" s="17" t="s">
        <v>155</v>
      </c>
      <c r="E12" s="17" t="n">
        <v>1</v>
      </c>
      <c r="F12" s="16"/>
      <c r="G12" s="16" t="n">
        <v>0</v>
      </c>
      <c r="H12" s="16" t="n">
        <v>0</v>
      </c>
      <c r="I12" s="22" t="n">
        <f aca="false">IF(AND(F12&lt;&gt;"",G12=1,H12=1),1,0)</f>
        <v>0</v>
      </c>
      <c r="J12" s="22" t="n">
        <f aca="false">Inputs!$B$10</f>
        <v>2</v>
      </c>
      <c r="K12" s="22" t="str">
        <f aca="false">IF(I12=1,"SEAT READY","OPEN")</f>
        <v>OPEN</v>
      </c>
      <c r="L12" s="4"/>
      <c r="M12" s="4"/>
      <c r="N12" s="4"/>
    </row>
    <row r="13" customFormat="false" ht="15" hidden="false" customHeight="false" outlineLevel="0" collapsed="false">
      <c r="A13" s="17" t="s">
        <v>278</v>
      </c>
      <c r="B13" s="17" t="s">
        <v>157</v>
      </c>
      <c r="C13" s="17" t="s">
        <v>156</v>
      </c>
      <c r="D13" s="17" t="s">
        <v>140</v>
      </c>
      <c r="E13" s="17" t="n">
        <v>1</v>
      </c>
      <c r="F13" s="16"/>
      <c r="G13" s="16" t="n">
        <v>0</v>
      </c>
      <c r="H13" s="16" t="n">
        <v>0</v>
      </c>
      <c r="I13" s="22" t="n">
        <f aca="false">IF(AND(F13&lt;&gt;"",G13=1,H13=1),1,0)</f>
        <v>0</v>
      </c>
      <c r="J13" s="22" t="n">
        <f aca="false">Inputs!$B$10</f>
        <v>2</v>
      </c>
      <c r="K13" s="22" t="str">
        <f aca="false">IF(I13=1,"SEAT READY","OPEN")</f>
        <v>OPEN</v>
      </c>
      <c r="L13" s="4"/>
      <c r="M13" s="4"/>
      <c r="N13" s="4"/>
    </row>
    <row r="14" customFormat="false" ht="15" hidden="false" customHeight="false" outlineLevel="0" collapsed="false">
      <c r="A14" s="17" t="s">
        <v>279</v>
      </c>
      <c r="B14" s="17" t="s">
        <v>157</v>
      </c>
      <c r="C14" s="17" t="s">
        <v>159</v>
      </c>
      <c r="D14" s="17" t="s">
        <v>153</v>
      </c>
      <c r="E14" s="17" t="n">
        <v>1</v>
      </c>
      <c r="F14" s="16"/>
      <c r="G14" s="16" t="n">
        <v>0</v>
      </c>
      <c r="H14" s="16" t="n">
        <v>0</v>
      </c>
      <c r="I14" s="22" t="n">
        <f aca="false">IF(AND(F14&lt;&gt;"",G14=1,H14=1),1,0)</f>
        <v>0</v>
      </c>
      <c r="J14" s="22" t="n">
        <f aca="false">Inputs!$B$10</f>
        <v>2</v>
      </c>
      <c r="K14" s="22" t="str">
        <f aca="false">IF(I14=1,"SEAT READY","OPEN")</f>
        <v>OPEN</v>
      </c>
      <c r="L14" s="4"/>
      <c r="M14" s="4"/>
      <c r="N14" s="4"/>
    </row>
    <row r="15" customFormat="false" ht="15" hidden="false" customHeight="false" outlineLevel="0" collapsed="false">
      <c r="A15" s="17" t="s">
        <v>280</v>
      </c>
      <c r="B15" s="17" t="s">
        <v>157</v>
      </c>
      <c r="C15" s="17" t="s">
        <v>160</v>
      </c>
      <c r="D15" s="17" t="s">
        <v>147</v>
      </c>
      <c r="E15" s="17" t="n">
        <v>1</v>
      </c>
      <c r="F15" s="16"/>
      <c r="G15" s="16" t="n">
        <v>0</v>
      </c>
      <c r="H15" s="16" t="n">
        <v>0</v>
      </c>
      <c r="I15" s="22" t="n">
        <f aca="false">IF(AND(F15&lt;&gt;"",G15=1,H15=1),1,0)</f>
        <v>0</v>
      </c>
      <c r="J15" s="22" t="n">
        <f aca="false">Inputs!$B$10</f>
        <v>2</v>
      </c>
      <c r="K15" s="22" t="str">
        <f aca="false">IF(I15=1,"SEAT READY","OPEN")</f>
        <v>OPEN</v>
      </c>
      <c r="L15" s="4"/>
      <c r="M15" s="4"/>
      <c r="N15" s="4"/>
    </row>
    <row r="16" customFormat="false" ht="15" hidden="false" customHeight="false" outlineLevel="0" collapsed="false">
      <c r="A16" s="17" t="s">
        <v>281</v>
      </c>
      <c r="B16" s="17" t="s">
        <v>162</v>
      </c>
      <c r="C16" s="17" t="s">
        <v>161</v>
      </c>
      <c r="D16" s="17" t="s">
        <v>151</v>
      </c>
      <c r="E16" s="17" t="n">
        <v>1</v>
      </c>
      <c r="F16" s="16"/>
      <c r="G16" s="16" t="n">
        <v>0</v>
      </c>
      <c r="H16" s="16" t="n">
        <v>0</v>
      </c>
      <c r="I16" s="22" t="n">
        <f aca="false">IF(AND(F16&lt;&gt;"",G16=1,H16=1),1,0)</f>
        <v>0</v>
      </c>
      <c r="J16" s="22" t="n">
        <f aca="false">Inputs!$B$10</f>
        <v>2</v>
      </c>
      <c r="K16" s="22" t="str">
        <f aca="false">IF(I16=1,"SEAT READY","OPEN")</f>
        <v>OPEN</v>
      </c>
      <c r="L16" s="4"/>
      <c r="M16" s="4"/>
      <c r="N16" s="4"/>
    </row>
    <row r="17" customFormat="false" ht="15" hidden="false" customHeight="false" outlineLevel="0" collapsed="false">
      <c r="A17" s="17" t="s">
        <v>282</v>
      </c>
      <c r="B17" s="17" t="s">
        <v>162</v>
      </c>
      <c r="C17" s="17" t="s">
        <v>164</v>
      </c>
      <c r="D17" s="17" t="s">
        <v>144</v>
      </c>
      <c r="E17" s="17" t="n">
        <v>1</v>
      </c>
      <c r="F17" s="16"/>
      <c r="G17" s="16" t="n">
        <v>0</v>
      </c>
      <c r="H17" s="16" t="n">
        <v>0</v>
      </c>
      <c r="I17" s="22" t="n">
        <f aca="false">IF(AND(F17&lt;&gt;"",G17=1,H17=1),1,0)</f>
        <v>0</v>
      </c>
      <c r="J17" s="22" t="n">
        <f aca="false">Inputs!$B$10</f>
        <v>2</v>
      </c>
      <c r="K17" s="22" t="str">
        <f aca="false">IF(I17=1,"SEAT READY","OPEN")</f>
        <v>OPEN</v>
      </c>
      <c r="L17" s="4"/>
      <c r="M17" s="4"/>
      <c r="N17" s="4"/>
    </row>
    <row r="18" customFormat="false" ht="15" hidden="false" customHeight="false" outlineLevel="0" collapsed="false">
      <c r="A18" s="17" t="s">
        <v>283</v>
      </c>
      <c r="B18" s="17" t="s">
        <v>162</v>
      </c>
      <c r="C18" s="17" t="s">
        <v>165</v>
      </c>
      <c r="D18" s="17" t="s">
        <v>155</v>
      </c>
      <c r="E18" s="17" t="n">
        <v>1</v>
      </c>
      <c r="F18" s="16"/>
      <c r="G18" s="16" t="n">
        <v>0</v>
      </c>
      <c r="H18" s="16" t="n">
        <v>0</v>
      </c>
      <c r="I18" s="22" t="n">
        <f aca="false">IF(AND(F18&lt;&gt;"",G18=1,H18=1),1,0)</f>
        <v>0</v>
      </c>
      <c r="J18" s="22" t="n">
        <f aca="false">Inputs!$B$10</f>
        <v>2</v>
      </c>
      <c r="K18" s="22" t="str">
        <f aca="false">IF(I18=1,"SEAT READY","OPEN")</f>
        <v>OPEN</v>
      </c>
      <c r="L18" s="4"/>
      <c r="M18" s="4"/>
      <c r="N18" s="4"/>
    </row>
    <row r="19" customFormat="false" ht="15" hidden="false" customHeight="false" outlineLevel="0" collapsed="false">
      <c r="A19" s="17" t="s">
        <v>284</v>
      </c>
      <c r="B19" s="17" t="s">
        <v>167</v>
      </c>
      <c r="C19" s="17" t="s">
        <v>166</v>
      </c>
      <c r="D19" s="17" t="s">
        <v>140</v>
      </c>
      <c r="E19" s="17" t="n">
        <v>1</v>
      </c>
      <c r="F19" s="16"/>
      <c r="G19" s="16" t="n">
        <v>0</v>
      </c>
      <c r="H19" s="16" t="n">
        <v>0</v>
      </c>
      <c r="I19" s="22" t="n">
        <f aca="false">IF(AND(F19&lt;&gt;"",G19=1,H19=1),1,0)</f>
        <v>0</v>
      </c>
      <c r="J19" s="22" t="n">
        <f aca="false">Inputs!$B$10</f>
        <v>2</v>
      </c>
      <c r="K19" s="22" t="str">
        <f aca="false">IF(I19=1,"SEAT READY","OPEN")</f>
        <v>OPEN</v>
      </c>
      <c r="L19" s="4"/>
      <c r="M19" s="4"/>
      <c r="N19" s="4"/>
    </row>
    <row r="20" customFormat="false" ht="15" hidden="false" customHeight="false" outlineLevel="0" collapsed="false">
      <c r="A20" s="17" t="s">
        <v>285</v>
      </c>
      <c r="B20" s="17" t="s">
        <v>167</v>
      </c>
      <c r="C20" s="17" t="s">
        <v>169</v>
      </c>
      <c r="D20" s="17" t="s">
        <v>153</v>
      </c>
      <c r="E20" s="17" t="n">
        <v>1</v>
      </c>
      <c r="F20" s="16"/>
      <c r="G20" s="16" t="n">
        <v>0</v>
      </c>
      <c r="H20" s="16" t="n">
        <v>0</v>
      </c>
      <c r="I20" s="22" t="n">
        <f aca="false">IF(AND(F20&lt;&gt;"",G20=1,H20=1),1,0)</f>
        <v>0</v>
      </c>
      <c r="J20" s="22" t="n">
        <f aca="false">Inputs!$B$10</f>
        <v>2</v>
      </c>
      <c r="K20" s="22" t="str">
        <f aca="false">IF(I20=1,"SEAT READY","OPEN")</f>
        <v>OPEN</v>
      </c>
      <c r="L20" s="4"/>
      <c r="M20" s="4"/>
      <c r="N20" s="4"/>
    </row>
    <row r="21" customFormat="false" ht="15" hidden="false" customHeight="false" outlineLevel="0" collapsed="false">
      <c r="A21" s="17" t="s">
        <v>286</v>
      </c>
      <c r="B21" s="17" t="s">
        <v>167</v>
      </c>
      <c r="C21" s="17" t="s">
        <v>170</v>
      </c>
      <c r="D21" s="17" t="s">
        <v>155</v>
      </c>
      <c r="E21" s="17" t="n">
        <v>1</v>
      </c>
      <c r="F21" s="16"/>
      <c r="G21" s="16" t="n">
        <v>0</v>
      </c>
      <c r="H21" s="16" t="n">
        <v>0</v>
      </c>
      <c r="I21" s="22" t="n">
        <f aca="false">IF(AND(F21&lt;&gt;"",G21=1,H21=1),1,0)</f>
        <v>0</v>
      </c>
      <c r="J21" s="22" t="n">
        <f aca="false">Inputs!$B$10</f>
        <v>2</v>
      </c>
      <c r="K21" s="22" t="str">
        <f aca="false">IF(I21=1,"SEAT READY","OPEN")</f>
        <v>OPEN</v>
      </c>
      <c r="L21" s="4"/>
      <c r="M21" s="4"/>
      <c r="N21" s="4"/>
    </row>
    <row r="22" customFormat="false" ht="15" hidden="false" customHeight="false" outlineLevel="0" collapsed="false">
      <c r="A22" s="17" t="s">
        <v>287</v>
      </c>
      <c r="B22" s="17" t="s">
        <v>172</v>
      </c>
      <c r="C22" s="17" t="s">
        <v>171</v>
      </c>
      <c r="D22" s="17" t="s">
        <v>151</v>
      </c>
      <c r="E22" s="17" t="n">
        <v>1</v>
      </c>
      <c r="F22" s="16"/>
      <c r="G22" s="16" t="n">
        <v>0</v>
      </c>
      <c r="H22" s="16" t="n">
        <v>0</v>
      </c>
      <c r="I22" s="22" t="n">
        <f aca="false">IF(AND(F22&lt;&gt;"",G22=1,H22=1),1,0)</f>
        <v>0</v>
      </c>
      <c r="J22" s="22" t="n">
        <f aca="false">Inputs!$B$10</f>
        <v>2</v>
      </c>
      <c r="K22" s="22" t="str">
        <f aca="false">IF(I22=1,"SEAT READY","OPEN")</f>
        <v>OPEN</v>
      </c>
      <c r="L22" s="4"/>
      <c r="M22" s="4"/>
      <c r="N22" s="4"/>
    </row>
    <row r="23" customFormat="false" ht="15" hidden="false" customHeight="false" outlineLevel="0" collapsed="false">
      <c r="A23" s="17" t="s">
        <v>288</v>
      </c>
      <c r="B23" s="17" t="s">
        <v>172</v>
      </c>
      <c r="C23" s="17" t="s">
        <v>174</v>
      </c>
      <c r="D23" s="17" t="s">
        <v>144</v>
      </c>
      <c r="E23" s="17" t="n">
        <v>1</v>
      </c>
      <c r="F23" s="16"/>
      <c r="G23" s="16" t="n">
        <v>0</v>
      </c>
      <c r="H23" s="16" t="n">
        <v>0</v>
      </c>
      <c r="I23" s="22" t="n">
        <f aca="false">IF(AND(F23&lt;&gt;"",G23=1,H23=1),1,0)</f>
        <v>0</v>
      </c>
      <c r="J23" s="22" t="n">
        <f aca="false">Inputs!$B$10</f>
        <v>2</v>
      </c>
      <c r="K23" s="22" t="str">
        <f aca="false">IF(I23=1,"SEAT READY","OPEN")</f>
        <v>OPEN</v>
      </c>
      <c r="L23" s="4"/>
      <c r="M23" s="4"/>
      <c r="N23" s="4"/>
    </row>
    <row r="24" customFormat="false" ht="15" hidden="false" customHeight="false" outlineLevel="0" collapsed="false">
      <c r="A24" s="17" t="s">
        <v>289</v>
      </c>
      <c r="B24" s="17" t="s">
        <v>172</v>
      </c>
      <c r="C24" s="17" t="s">
        <v>175</v>
      </c>
      <c r="D24" s="17" t="s">
        <v>147</v>
      </c>
      <c r="E24" s="17" t="n">
        <v>1</v>
      </c>
      <c r="F24" s="16"/>
      <c r="G24" s="16" t="n">
        <v>0</v>
      </c>
      <c r="H24" s="16" t="n">
        <v>0</v>
      </c>
      <c r="I24" s="22" t="n">
        <f aca="false">IF(AND(F24&lt;&gt;"",G24=1,H24=1),1,0)</f>
        <v>0</v>
      </c>
      <c r="J24" s="22" t="n">
        <f aca="false">Inputs!$B$10</f>
        <v>2</v>
      </c>
      <c r="K24" s="22" t="str">
        <f aca="false">IF(I24=1,"SEAT READY","OPEN")</f>
        <v>OPEN</v>
      </c>
      <c r="L24" s="4"/>
      <c r="M24" s="4"/>
      <c r="N24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7"/>
    <col collapsed="false" customWidth="true" hidden="false" outlineLevel="0" max="6" min="4" style="0" width="15"/>
    <col collapsed="false" customWidth="true" hidden="false" outlineLevel="0" max="7" min="7" style="0" width="20"/>
    <col collapsed="false" customWidth="true" hidden="false" outlineLevel="0" max="11" min="8" style="0" width="15"/>
    <col collapsed="false" customWidth="true" hidden="false" outlineLevel="0" max="12" min="12" style="0" width="18"/>
  </cols>
  <sheetData>
    <row r="2" customFormat="false" ht="18.55" hidden="false" customHeight="false" outlineLevel="0" collapsed="false">
      <c r="A2" s="1" t="s">
        <v>290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291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292</v>
      </c>
      <c r="B6" s="7" t="s">
        <v>179</v>
      </c>
      <c r="C6" s="7" t="s">
        <v>293</v>
      </c>
      <c r="D6" s="7" t="s">
        <v>294</v>
      </c>
      <c r="E6" s="7" t="s">
        <v>295</v>
      </c>
      <c r="F6" s="7" t="s">
        <v>296</v>
      </c>
      <c r="G6" s="7" t="s">
        <v>182</v>
      </c>
      <c r="H6" s="7" t="s">
        <v>40</v>
      </c>
      <c r="I6" s="7" t="s">
        <v>269</v>
      </c>
      <c r="J6" s="7" t="s">
        <v>297</v>
      </c>
      <c r="K6" s="7" t="s">
        <v>298</v>
      </c>
      <c r="L6" s="8" t="s">
        <v>299</v>
      </c>
      <c r="M6" s="4"/>
      <c r="N6" s="4"/>
    </row>
    <row r="7" customFormat="false" ht="15" hidden="false" customHeight="false" outlineLevel="0" collapsed="false">
      <c r="A7" s="17" t="s">
        <v>300</v>
      </c>
      <c r="B7" s="17" t="s">
        <v>140</v>
      </c>
      <c r="C7" s="17" t="s">
        <v>301</v>
      </c>
      <c r="D7" s="17" t="n">
        <v>1</v>
      </c>
      <c r="E7" s="17" t="n">
        <v>1</v>
      </c>
      <c r="F7" s="17" t="n">
        <v>1</v>
      </c>
      <c r="G7" s="16"/>
      <c r="H7" s="16" t="n">
        <v>0</v>
      </c>
      <c r="I7" s="22" t="n">
        <f aca="false">IF(AND(G7&lt;&gt;"",H7=1),1,0)</f>
        <v>0</v>
      </c>
      <c r="J7" s="22" t="s">
        <v>302</v>
      </c>
      <c r="K7" s="22" t="n">
        <f aca="false">Inputs!$B$13-1</f>
        <v>5</v>
      </c>
      <c r="L7" s="22" t="str">
        <f aca="false">IF(K7&gt;=Inputs!$B$12,"RELEASE CAPABLE","HOLD")</f>
        <v>RELEASE CAPABLE</v>
      </c>
      <c r="M7" s="4"/>
      <c r="N7" s="4"/>
    </row>
    <row r="8" customFormat="false" ht="15" hidden="false" customHeight="false" outlineLevel="0" collapsed="false">
      <c r="A8" s="17" t="s">
        <v>303</v>
      </c>
      <c r="B8" s="17" t="s">
        <v>151</v>
      </c>
      <c r="C8" s="17" t="s">
        <v>304</v>
      </c>
      <c r="D8" s="17" t="n">
        <v>1</v>
      </c>
      <c r="E8" s="17" t="n">
        <v>1</v>
      </c>
      <c r="F8" s="17" t="n">
        <v>1</v>
      </c>
      <c r="G8" s="16"/>
      <c r="H8" s="16" t="n">
        <v>0</v>
      </c>
      <c r="I8" s="22" t="n">
        <f aca="false">IF(AND(G8&lt;&gt;"",H8=1),1,0)</f>
        <v>0</v>
      </c>
      <c r="J8" s="22" t="s">
        <v>305</v>
      </c>
      <c r="K8" s="22" t="n">
        <f aca="false">Inputs!$B$13-1</f>
        <v>5</v>
      </c>
      <c r="L8" s="22" t="str">
        <f aca="false">IF(K8&gt;=Inputs!$B$12,"RELEASE CAPABLE","HOLD")</f>
        <v>RELEASE CAPABLE</v>
      </c>
      <c r="M8" s="4"/>
      <c r="N8" s="4"/>
    </row>
    <row r="9" customFormat="false" ht="15" hidden="false" customHeight="false" outlineLevel="0" collapsed="false">
      <c r="A9" s="17" t="s">
        <v>306</v>
      </c>
      <c r="B9" s="17" t="s">
        <v>144</v>
      </c>
      <c r="C9" s="17" t="s">
        <v>307</v>
      </c>
      <c r="D9" s="17" t="n">
        <v>1</v>
      </c>
      <c r="E9" s="17" t="n">
        <v>1</v>
      </c>
      <c r="F9" s="17" t="n">
        <v>1</v>
      </c>
      <c r="G9" s="16"/>
      <c r="H9" s="16" t="n">
        <v>0</v>
      </c>
      <c r="I9" s="22" t="n">
        <f aca="false">IF(AND(G9&lt;&gt;"",H9=1),1,0)</f>
        <v>0</v>
      </c>
      <c r="J9" s="22" t="s">
        <v>308</v>
      </c>
      <c r="K9" s="22" t="n">
        <f aca="false">Inputs!$B$13-1</f>
        <v>5</v>
      </c>
      <c r="L9" s="22" t="str">
        <f aca="false">IF(K9&gt;=Inputs!$B$12,"RELEASE CAPABLE","HOLD")</f>
        <v>RELEASE CAPABLE</v>
      </c>
      <c r="M9" s="4"/>
      <c r="N9" s="4"/>
    </row>
    <row r="10" customFormat="false" ht="15" hidden="false" customHeight="false" outlineLevel="0" collapsed="false">
      <c r="A10" s="17" t="s">
        <v>309</v>
      </c>
      <c r="B10" s="17" t="s">
        <v>153</v>
      </c>
      <c r="C10" s="17" t="s">
        <v>310</v>
      </c>
      <c r="D10" s="17" t="n">
        <v>1</v>
      </c>
      <c r="E10" s="17" t="n">
        <v>1</v>
      </c>
      <c r="F10" s="17" t="n">
        <v>1</v>
      </c>
      <c r="G10" s="16"/>
      <c r="H10" s="16" t="n">
        <v>0</v>
      </c>
      <c r="I10" s="22" t="n">
        <f aca="false">IF(AND(G10&lt;&gt;"",H10=1),1,0)</f>
        <v>0</v>
      </c>
      <c r="J10" s="22" t="s">
        <v>311</v>
      </c>
      <c r="K10" s="22" t="n">
        <f aca="false">Inputs!$B$13-1</f>
        <v>5</v>
      </c>
      <c r="L10" s="22" t="str">
        <f aca="false">IF(K10&gt;=Inputs!$B$12,"RELEASE CAPABLE","HOLD")</f>
        <v>RELEASE CAPABLE</v>
      </c>
      <c r="M10" s="4"/>
      <c r="N10" s="4"/>
    </row>
    <row r="11" customFormat="false" ht="15" hidden="false" customHeight="false" outlineLevel="0" collapsed="false">
      <c r="A11" s="17" t="s">
        <v>312</v>
      </c>
      <c r="B11" s="17" t="s">
        <v>147</v>
      </c>
      <c r="C11" s="17" t="s">
        <v>313</v>
      </c>
      <c r="D11" s="17" t="n">
        <v>1</v>
      </c>
      <c r="E11" s="17" t="n">
        <v>1</v>
      </c>
      <c r="F11" s="17" t="n">
        <v>1</v>
      </c>
      <c r="G11" s="16"/>
      <c r="H11" s="16" t="n">
        <v>0</v>
      </c>
      <c r="I11" s="22" t="n">
        <f aca="false">IF(AND(G11&lt;&gt;"",H11=1),1,0)</f>
        <v>0</v>
      </c>
      <c r="J11" s="22" t="s">
        <v>314</v>
      </c>
      <c r="K11" s="22" t="n">
        <f aca="false">Inputs!$B$13-1</f>
        <v>5</v>
      </c>
      <c r="L11" s="22" t="str">
        <f aca="false">IF(K11&gt;=Inputs!$B$12,"RELEASE CAPABLE","HOLD")</f>
        <v>RELEASE CAPABLE</v>
      </c>
      <c r="M11" s="4"/>
      <c r="N11" s="4"/>
    </row>
    <row r="12" customFormat="false" ht="15" hidden="false" customHeight="false" outlineLevel="0" collapsed="false">
      <c r="A12" s="17" t="s">
        <v>315</v>
      </c>
      <c r="B12" s="17" t="s">
        <v>155</v>
      </c>
      <c r="C12" s="17" t="s">
        <v>316</v>
      </c>
      <c r="D12" s="17" t="n">
        <v>1</v>
      </c>
      <c r="E12" s="17" t="n">
        <v>1</v>
      </c>
      <c r="F12" s="17" t="n">
        <v>1</v>
      </c>
      <c r="G12" s="16"/>
      <c r="H12" s="16" t="n">
        <v>0</v>
      </c>
      <c r="I12" s="22" t="n">
        <f aca="false">IF(AND(G12&lt;&gt;"",H12=1),1,0)</f>
        <v>0</v>
      </c>
      <c r="J12" s="22" t="s">
        <v>317</v>
      </c>
      <c r="K12" s="22" t="n">
        <f aca="false">Inputs!$B$13-1</f>
        <v>5</v>
      </c>
      <c r="L12" s="22" t="str">
        <f aca="false">IF(K12&gt;=Inputs!$B$12,"RELEASE CAPABLE","HOLD")</f>
        <v>RELEASE CAPABLE</v>
      </c>
      <c r="M12" s="4"/>
      <c r="N12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1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11" min="6" style="0" width="15"/>
    <col collapsed="false" customWidth="true" hidden="false" outlineLevel="0" max="12" min="12" style="0" width="13"/>
  </cols>
  <sheetData>
    <row r="2" customFormat="false" ht="18.55" hidden="false" customHeight="false" outlineLevel="0" collapsed="false">
      <c r="A2" s="1" t="s">
        <v>318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319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2.35" hidden="false" customHeight="false" outlineLevel="0" collapsed="false">
      <c r="A6" s="6" t="s">
        <v>320</v>
      </c>
      <c r="B6" s="7" t="s">
        <v>321</v>
      </c>
      <c r="C6" s="7" t="s">
        <v>322</v>
      </c>
      <c r="D6" s="7" t="s">
        <v>323</v>
      </c>
      <c r="E6" s="7" t="s">
        <v>324</v>
      </c>
      <c r="F6" s="7" t="s">
        <v>32</v>
      </c>
      <c r="G6" s="7" t="s">
        <v>325</v>
      </c>
      <c r="H6" s="7" t="s">
        <v>326</v>
      </c>
      <c r="I6" s="7" t="s">
        <v>327</v>
      </c>
      <c r="J6" s="7" t="s">
        <v>328</v>
      </c>
      <c r="K6" s="7" t="s">
        <v>329</v>
      </c>
      <c r="L6" s="8" t="s">
        <v>330</v>
      </c>
      <c r="M6" s="4"/>
      <c r="N6" s="4"/>
    </row>
    <row r="7" customFormat="false" ht="15" hidden="false" customHeight="false" outlineLevel="0" collapsed="false">
      <c r="A7" s="17" t="s">
        <v>331</v>
      </c>
      <c r="B7" s="17" t="s">
        <v>332</v>
      </c>
      <c r="C7" s="17" t="s">
        <v>137</v>
      </c>
      <c r="D7" s="17"/>
      <c r="E7" s="17"/>
      <c r="F7" s="17" t="n">
        <v>0</v>
      </c>
      <c r="G7" s="17" t="n">
        <v>0</v>
      </c>
      <c r="H7" s="22" t="n">
        <f aca="false">COUNTIFS('Failure Detail'!$A$7:$A$546,A7,'Failure Detail'!$J$7:$J$546,"PASS")</f>
        <v>18</v>
      </c>
      <c r="I7" s="22" t="n">
        <f aca="false">18</f>
        <v>18</v>
      </c>
      <c r="J7" s="22" t="n">
        <f aca="false">Inputs!$B$13-G7</f>
        <v>6</v>
      </c>
      <c r="K7" s="22" t="n">
        <f aca="false">IF(F7+Inputs!$B$15=2,0,1)</f>
        <v>1</v>
      </c>
      <c r="L7" s="22" t="str">
        <f aca="false">IF(H7=I7,IF(J7&gt;=Inputs!$B$12,IF(K7=1,"SURVIVE","FAIL"),"FAIL"),"FAIL")</f>
        <v>SURVIVE</v>
      </c>
      <c r="M7" s="4"/>
      <c r="N7" s="4"/>
    </row>
    <row r="8" customFormat="false" ht="15" hidden="false" customHeight="false" outlineLevel="0" collapsed="false">
      <c r="A8" s="17" t="s">
        <v>333</v>
      </c>
      <c r="B8" s="17" t="s">
        <v>332</v>
      </c>
      <c r="C8" s="17" t="s">
        <v>143</v>
      </c>
      <c r="D8" s="17"/>
      <c r="E8" s="17"/>
      <c r="F8" s="17" t="n">
        <v>0</v>
      </c>
      <c r="G8" s="17" t="n">
        <v>0</v>
      </c>
      <c r="H8" s="22" t="n">
        <f aca="false">COUNTIFS('Failure Detail'!$A$7:$A$546,A8,'Failure Detail'!$J$7:$J$546,"PASS")</f>
        <v>18</v>
      </c>
      <c r="I8" s="22" t="n">
        <f aca="false">18</f>
        <v>18</v>
      </c>
      <c r="J8" s="22" t="n">
        <f aca="false">Inputs!$B$13-G8</f>
        <v>6</v>
      </c>
      <c r="K8" s="22" t="n">
        <f aca="false">IF(F8+Inputs!$B$15=2,0,1)</f>
        <v>1</v>
      </c>
      <c r="L8" s="22" t="str">
        <f aca="false">IF(H8=I8,IF(J8&gt;=Inputs!$B$12,IF(K8=1,"SURVIVE","FAIL"),"FAIL"),"FAIL")</f>
        <v>SURVIVE</v>
      </c>
      <c r="M8" s="4"/>
      <c r="N8" s="4"/>
    </row>
    <row r="9" customFormat="false" ht="15" hidden="false" customHeight="false" outlineLevel="0" collapsed="false">
      <c r="A9" s="17" t="s">
        <v>334</v>
      </c>
      <c r="B9" s="17" t="s">
        <v>332</v>
      </c>
      <c r="C9" s="17" t="s">
        <v>146</v>
      </c>
      <c r="D9" s="17"/>
      <c r="E9" s="17"/>
      <c r="F9" s="17" t="n">
        <v>0</v>
      </c>
      <c r="G9" s="17" t="n">
        <v>0</v>
      </c>
      <c r="H9" s="22" t="n">
        <f aca="false">COUNTIFS('Failure Detail'!$A$7:$A$546,A9,'Failure Detail'!$J$7:$J$546,"PASS")</f>
        <v>18</v>
      </c>
      <c r="I9" s="22" t="n">
        <f aca="false">18</f>
        <v>18</v>
      </c>
      <c r="J9" s="22" t="n">
        <f aca="false">Inputs!$B$13-G9</f>
        <v>6</v>
      </c>
      <c r="K9" s="22" t="n">
        <f aca="false">IF(F9+Inputs!$B$15=2,0,1)</f>
        <v>1</v>
      </c>
      <c r="L9" s="22" t="str">
        <f aca="false">IF(H9=I9,IF(J9&gt;=Inputs!$B$12,IF(K9=1,"SURVIVE","FAIL"),"FAIL"),"FAIL")</f>
        <v>SURVIVE</v>
      </c>
      <c r="M9" s="4"/>
      <c r="N9" s="4"/>
    </row>
    <row r="10" customFormat="false" ht="15" hidden="false" customHeight="false" outlineLevel="0" collapsed="false">
      <c r="A10" s="17" t="s">
        <v>335</v>
      </c>
      <c r="B10" s="17" t="s">
        <v>332</v>
      </c>
      <c r="C10" s="17" t="s">
        <v>148</v>
      </c>
      <c r="D10" s="17"/>
      <c r="E10" s="17"/>
      <c r="F10" s="17" t="n">
        <v>0</v>
      </c>
      <c r="G10" s="17" t="n">
        <v>0</v>
      </c>
      <c r="H10" s="22" t="n">
        <f aca="false">COUNTIFS('Failure Detail'!$A$7:$A$546,A10,'Failure Detail'!$J$7:$J$546,"PASS")</f>
        <v>18</v>
      </c>
      <c r="I10" s="22" t="n">
        <f aca="false">18</f>
        <v>18</v>
      </c>
      <c r="J10" s="22" t="n">
        <f aca="false">Inputs!$B$13-G10</f>
        <v>6</v>
      </c>
      <c r="K10" s="22" t="n">
        <f aca="false">IF(F10+Inputs!$B$15=2,0,1)</f>
        <v>1</v>
      </c>
      <c r="L10" s="22" t="str">
        <f aca="false">IF(H10=I10,IF(J10&gt;=Inputs!$B$12,IF(K10=1,"SURVIVE","FAIL"),"FAIL"),"FAIL")</f>
        <v>SURVIVE</v>
      </c>
      <c r="M10" s="4"/>
      <c r="N10" s="4"/>
    </row>
    <row r="11" customFormat="false" ht="15" hidden="false" customHeight="false" outlineLevel="0" collapsed="false">
      <c r="A11" s="17" t="s">
        <v>336</v>
      </c>
      <c r="B11" s="17" t="s">
        <v>332</v>
      </c>
      <c r="C11" s="17" t="s">
        <v>152</v>
      </c>
      <c r="D11" s="17"/>
      <c r="E11" s="17"/>
      <c r="F11" s="17" t="n">
        <v>0</v>
      </c>
      <c r="G11" s="17" t="n">
        <v>0</v>
      </c>
      <c r="H11" s="22" t="n">
        <f aca="false">COUNTIFS('Failure Detail'!$A$7:$A$546,A11,'Failure Detail'!$J$7:$J$546,"PASS")</f>
        <v>18</v>
      </c>
      <c r="I11" s="22" t="n">
        <f aca="false">18</f>
        <v>18</v>
      </c>
      <c r="J11" s="22" t="n">
        <f aca="false">Inputs!$B$13-G11</f>
        <v>6</v>
      </c>
      <c r="K11" s="22" t="n">
        <f aca="false">IF(F11+Inputs!$B$15=2,0,1)</f>
        <v>1</v>
      </c>
      <c r="L11" s="22" t="str">
        <f aca="false">IF(H11=I11,IF(J11&gt;=Inputs!$B$12,IF(K11=1,"SURVIVE","FAIL"),"FAIL"),"FAIL")</f>
        <v>SURVIVE</v>
      </c>
      <c r="M11" s="4"/>
      <c r="N11" s="4"/>
    </row>
    <row r="12" customFormat="false" ht="15" hidden="false" customHeight="false" outlineLevel="0" collapsed="false">
      <c r="A12" s="17" t="s">
        <v>337</v>
      </c>
      <c r="B12" s="17" t="s">
        <v>332</v>
      </c>
      <c r="C12" s="17" t="s">
        <v>154</v>
      </c>
      <c r="D12" s="17"/>
      <c r="E12" s="17"/>
      <c r="F12" s="17" t="n">
        <v>0</v>
      </c>
      <c r="G12" s="17" t="n">
        <v>0</v>
      </c>
      <c r="H12" s="22" t="n">
        <f aca="false">COUNTIFS('Failure Detail'!$A$7:$A$546,A12,'Failure Detail'!$J$7:$J$546,"PASS")</f>
        <v>18</v>
      </c>
      <c r="I12" s="22" t="n">
        <f aca="false">18</f>
        <v>18</v>
      </c>
      <c r="J12" s="22" t="n">
        <f aca="false">Inputs!$B$13-G12</f>
        <v>6</v>
      </c>
      <c r="K12" s="22" t="n">
        <f aca="false">IF(F12+Inputs!$B$15=2,0,1)</f>
        <v>1</v>
      </c>
      <c r="L12" s="22" t="str">
        <f aca="false">IF(H12=I12,IF(J12&gt;=Inputs!$B$12,IF(K12=1,"SURVIVE","FAIL"),"FAIL"),"FAIL")</f>
        <v>SURVIVE</v>
      </c>
      <c r="M12" s="4"/>
      <c r="N12" s="4"/>
    </row>
    <row r="13" customFormat="false" ht="15" hidden="false" customHeight="false" outlineLevel="0" collapsed="false">
      <c r="A13" s="17" t="s">
        <v>338</v>
      </c>
      <c r="B13" s="17" t="s">
        <v>332</v>
      </c>
      <c r="C13" s="17" t="s">
        <v>156</v>
      </c>
      <c r="D13" s="17"/>
      <c r="E13" s="17"/>
      <c r="F13" s="17" t="n">
        <v>0</v>
      </c>
      <c r="G13" s="17" t="n">
        <v>0</v>
      </c>
      <c r="H13" s="22" t="n">
        <f aca="false">COUNTIFS('Failure Detail'!$A$7:$A$546,A13,'Failure Detail'!$J$7:$J$546,"PASS")</f>
        <v>18</v>
      </c>
      <c r="I13" s="22" t="n">
        <f aca="false">18</f>
        <v>18</v>
      </c>
      <c r="J13" s="22" t="n">
        <f aca="false">Inputs!$B$13-G13</f>
        <v>6</v>
      </c>
      <c r="K13" s="22" t="n">
        <f aca="false">IF(F13+Inputs!$B$15=2,0,1)</f>
        <v>1</v>
      </c>
      <c r="L13" s="22" t="str">
        <f aca="false">IF(H13=I13,IF(J13&gt;=Inputs!$B$12,IF(K13=1,"SURVIVE","FAIL"),"FAIL"),"FAIL")</f>
        <v>SURVIVE</v>
      </c>
      <c r="M13" s="4"/>
      <c r="N13" s="4"/>
    </row>
    <row r="14" customFormat="false" ht="15" hidden="false" customHeight="false" outlineLevel="0" collapsed="false">
      <c r="A14" s="17" t="s">
        <v>339</v>
      </c>
      <c r="B14" s="17" t="s">
        <v>332</v>
      </c>
      <c r="C14" s="17" t="s">
        <v>159</v>
      </c>
      <c r="D14" s="17"/>
      <c r="E14" s="17"/>
      <c r="F14" s="17" t="n">
        <v>0</v>
      </c>
      <c r="G14" s="17" t="n">
        <v>0</v>
      </c>
      <c r="H14" s="22" t="n">
        <f aca="false">COUNTIFS('Failure Detail'!$A$7:$A$546,A14,'Failure Detail'!$J$7:$J$546,"PASS")</f>
        <v>18</v>
      </c>
      <c r="I14" s="22" t="n">
        <f aca="false">18</f>
        <v>18</v>
      </c>
      <c r="J14" s="22" t="n">
        <f aca="false">Inputs!$B$13-G14</f>
        <v>6</v>
      </c>
      <c r="K14" s="22" t="n">
        <f aca="false">IF(F14+Inputs!$B$15=2,0,1)</f>
        <v>1</v>
      </c>
      <c r="L14" s="22" t="str">
        <f aca="false">IF(H14=I14,IF(J14&gt;=Inputs!$B$12,IF(K14=1,"SURVIVE","FAIL"),"FAIL"),"FAIL")</f>
        <v>SURVIVE</v>
      </c>
      <c r="M14" s="4"/>
      <c r="N14" s="4"/>
    </row>
    <row r="15" customFormat="false" ht="15" hidden="false" customHeight="false" outlineLevel="0" collapsed="false">
      <c r="A15" s="17" t="s">
        <v>340</v>
      </c>
      <c r="B15" s="17" t="s">
        <v>332</v>
      </c>
      <c r="C15" s="17" t="s">
        <v>160</v>
      </c>
      <c r="D15" s="17"/>
      <c r="E15" s="17"/>
      <c r="F15" s="17" t="n">
        <v>0</v>
      </c>
      <c r="G15" s="17" t="n">
        <v>0</v>
      </c>
      <c r="H15" s="22" t="n">
        <f aca="false">COUNTIFS('Failure Detail'!$A$7:$A$546,A15,'Failure Detail'!$J$7:$J$546,"PASS")</f>
        <v>18</v>
      </c>
      <c r="I15" s="22" t="n">
        <f aca="false">18</f>
        <v>18</v>
      </c>
      <c r="J15" s="22" t="n">
        <f aca="false">Inputs!$B$13-G15</f>
        <v>6</v>
      </c>
      <c r="K15" s="22" t="n">
        <f aca="false">IF(F15+Inputs!$B$15=2,0,1)</f>
        <v>1</v>
      </c>
      <c r="L15" s="22" t="str">
        <f aca="false">IF(H15=I15,IF(J15&gt;=Inputs!$B$12,IF(K15=1,"SURVIVE","FAIL"),"FAIL"),"FAIL")</f>
        <v>SURVIVE</v>
      </c>
      <c r="M15" s="4"/>
      <c r="N15" s="4"/>
    </row>
    <row r="16" customFormat="false" ht="15" hidden="false" customHeight="false" outlineLevel="0" collapsed="false">
      <c r="A16" s="17" t="s">
        <v>341</v>
      </c>
      <c r="B16" s="17" t="s">
        <v>332</v>
      </c>
      <c r="C16" s="17" t="s">
        <v>161</v>
      </c>
      <c r="D16" s="17"/>
      <c r="E16" s="17"/>
      <c r="F16" s="17" t="n">
        <v>0</v>
      </c>
      <c r="G16" s="17" t="n">
        <v>0</v>
      </c>
      <c r="H16" s="22" t="n">
        <f aca="false">COUNTIFS('Failure Detail'!$A$7:$A$546,A16,'Failure Detail'!$J$7:$J$546,"PASS")</f>
        <v>18</v>
      </c>
      <c r="I16" s="22" t="n">
        <f aca="false">18</f>
        <v>18</v>
      </c>
      <c r="J16" s="22" t="n">
        <f aca="false">Inputs!$B$13-G16</f>
        <v>6</v>
      </c>
      <c r="K16" s="22" t="n">
        <f aca="false">IF(F16+Inputs!$B$15=2,0,1)</f>
        <v>1</v>
      </c>
      <c r="L16" s="22" t="str">
        <f aca="false">IF(H16=I16,IF(J16&gt;=Inputs!$B$12,IF(K16=1,"SURVIVE","FAIL"),"FAIL"),"FAIL")</f>
        <v>SURVIVE</v>
      </c>
      <c r="M16" s="4"/>
      <c r="N16" s="4"/>
    </row>
    <row r="17" customFormat="false" ht="15" hidden="false" customHeight="false" outlineLevel="0" collapsed="false">
      <c r="A17" s="17" t="s">
        <v>342</v>
      </c>
      <c r="B17" s="17" t="s">
        <v>332</v>
      </c>
      <c r="C17" s="17" t="s">
        <v>164</v>
      </c>
      <c r="D17" s="17"/>
      <c r="E17" s="17"/>
      <c r="F17" s="17" t="n">
        <v>0</v>
      </c>
      <c r="G17" s="17" t="n">
        <v>0</v>
      </c>
      <c r="H17" s="22" t="n">
        <f aca="false">COUNTIFS('Failure Detail'!$A$7:$A$546,A17,'Failure Detail'!$J$7:$J$546,"PASS")</f>
        <v>18</v>
      </c>
      <c r="I17" s="22" t="n">
        <f aca="false">18</f>
        <v>18</v>
      </c>
      <c r="J17" s="22" t="n">
        <f aca="false">Inputs!$B$13-G17</f>
        <v>6</v>
      </c>
      <c r="K17" s="22" t="n">
        <f aca="false">IF(F17+Inputs!$B$15=2,0,1)</f>
        <v>1</v>
      </c>
      <c r="L17" s="22" t="str">
        <f aca="false">IF(H17=I17,IF(J17&gt;=Inputs!$B$12,IF(K17=1,"SURVIVE","FAIL"),"FAIL"),"FAIL")</f>
        <v>SURVIVE</v>
      </c>
      <c r="M17" s="4"/>
      <c r="N17" s="4"/>
    </row>
    <row r="18" customFormat="false" ht="15" hidden="false" customHeight="false" outlineLevel="0" collapsed="false">
      <c r="A18" s="17" t="s">
        <v>343</v>
      </c>
      <c r="B18" s="17" t="s">
        <v>332</v>
      </c>
      <c r="C18" s="17" t="s">
        <v>165</v>
      </c>
      <c r="D18" s="17"/>
      <c r="E18" s="17"/>
      <c r="F18" s="17" t="n">
        <v>0</v>
      </c>
      <c r="G18" s="17" t="n">
        <v>0</v>
      </c>
      <c r="H18" s="22" t="n">
        <f aca="false">COUNTIFS('Failure Detail'!$A$7:$A$546,A18,'Failure Detail'!$J$7:$J$546,"PASS")</f>
        <v>18</v>
      </c>
      <c r="I18" s="22" t="n">
        <f aca="false">18</f>
        <v>18</v>
      </c>
      <c r="J18" s="22" t="n">
        <f aca="false">Inputs!$B$13-G18</f>
        <v>6</v>
      </c>
      <c r="K18" s="22" t="n">
        <f aca="false">IF(F18+Inputs!$B$15=2,0,1)</f>
        <v>1</v>
      </c>
      <c r="L18" s="22" t="str">
        <f aca="false">IF(H18=I18,IF(J18&gt;=Inputs!$B$12,IF(K18=1,"SURVIVE","FAIL"),"FAIL"),"FAIL")</f>
        <v>SURVIVE</v>
      </c>
      <c r="M18" s="4"/>
      <c r="N18" s="4"/>
    </row>
    <row r="19" customFormat="false" ht="15" hidden="false" customHeight="false" outlineLevel="0" collapsed="false">
      <c r="A19" s="17" t="s">
        <v>344</v>
      </c>
      <c r="B19" s="17" t="s">
        <v>332</v>
      </c>
      <c r="C19" s="17" t="s">
        <v>166</v>
      </c>
      <c r="D19" s="17"/>
      <c r="E19" s="17"/>
      <c r="F19" s="17" t="n">
        <v>0</v>
      </c>
      <c r="G19" s="17" t="n">
        <v>0</v>
      </c>
      <c r="H19" s="22" t="n">
        <f aca="false">COUNTIFS('Failure Detail'!$A$7:$A$546,A19,'Failure Detail'!$J$7:$J$546,"PASS")</f>
        <v>18</v>
      </c>
      <c r="I19" s="22" t="n">
        <f aca="false">18</f>
        <v>18</v>
      </c>
      <c r="J19" s="22" t="n">
        <f aca="false">Inputs!$B$13-G19</f>
        <v>6</v>
      </c>
      <c r="K19" s="22" t="n">
        <f aca="false">IF(F19+Inputs!$B$15=2,0,1)</f>
        <v>1</v>
      </c>
      <c r="L19" s="22" t="str">
        <f aca="false">IF(H19=I19,IF(J19&gt;=Inputs!$B$12,IF(K19=1,"SURVIVE","FAIL"),"FAIL"),"FAIL")</f>
        <v>SURVIVE</v>
      </c>
      <c r="M19" s="4"/>
      <c r="N19" s="4"/>
    </row>
    <row r="20" customFormat="false" ht="15" hidden="false" customHeight="false" outlineLevel="0" collapsed="false">
      <c r="A20" s="17" t="s">
        <v>345</v>
      </c>
      <c r="B20" s="17" t="s">
        <v>332</v>
      </c>
      <c r="C20" s="17" t="s">
        <v>169</v>
      </c>
      <c r="D20" s="17"/>
      <c r="E20" s="17"/>
      <c r="F20" s="17" t="n">
        <v>0</v>
      </c>
      <c r="G20" s="17" t="n">
        <v>0</v>
      </c>
      <c r="H20" s="22" t="n">
        <f aca="false">COUNTIFS('Failure Detail'!$A$7:$A$546,A20,'Failure Detail'!$J$7:$J$546,"PASS")</f>
        <v>18</v>
      </c>
      <c r="I20" s="22" t="n">
        <f aca="false">18</f>
        <v>18</v>
      </c>
      <c r="J20" s="22" t="n">
        <f aca="false">Inputs!$B$13-G20</f>
        <v>6</v>
      </c>
      <c r="K20" s="22" t="n">
        <f aca="false">IF(F20+Inputs!$B$15=2,0,1)</f>
        <v>1</v>
      </c>
      <c r="L20" s="22" t="str">
        <f aca="false">IF(H20=I20,IF(J20&gt;=Inputs!$B$12,IF(K20=1,"SURVIVE","FAIL"),"FAIL"),"FAIL")</f>
        <v>SURVIVE</v>
      </c>
      <c r="M20" s="4"/>
      <c r="N20" s="4"/>
    </row>
    <row r="21" customFormat="false" ht="15" hidden="false" customHeight="false" outlineLevel="0" collapsed="false">
      <c r="A21" s="17" t="s">
        <v>346</v>
      </c>
      <c r="B21" s="17" t="s">
        <v>332</v>
      </c>
      <c r="C21" s="17" t="s">
        <v>170</v>
      </c>
      <c r="D21" s="17"/>
      <c r="E21" s="17"/>
      <c r="F21" s="17" t="n">
        <v>0</v>
      </c>
      <c r="G21" s="17" t="n">
        <v>0</v>
      </c>
      <c r="H21" s="22" t="n">
        <f aca="false">COUNTIFS('Failure Detail'!$A$7:$A$546,A21,'Failure Detail'!$J$7:$J$546,"PASS")</f>
        <v>18</v>
      </c>
      <c r="I21" s="22" t="n">
        <f aca="false">18</f>
        <v>18</v>
      </c>
      <c r="J21" s="22" t="n">
        <f aca="false">Inputs!$B$13-G21</f>
        <v>6</v>
      </c>
      <c r="K21" s="22" t="n">
        <f aca="false">IF(F21+Inputs!$B$15=2,0,1)</f>
        <v>1</v>
      </c>
      <c r="L21" s="22" t="str">
        <f aca="false">IF(H21=I21,IF(J21&gt;=Inputs!$B$12,IF(K21=1,"SURVIVE","FAIL"),"FAIL"),"FAIL")</f>
        <v>SURVIVE</v>
      </c>
      <c r="M21" s="4"/>
      <c r="N21" s="4"/>
    </row>
    <row r="22" customFormat="false" ht="15" hidden="false" customHeight="false" outlineLevel="0" collapsed="false">
      <c r="A22" s="17" t="s">
        <v>347</v>
      </c>
      <c r="B22" s="17" t="s">
        <v>332</v>
      </c>
      <c r="C22" s="17" t="s">
        <v>171</v>
      </c>
      <c r="D22" s="17"/>
      <c r="E22" s="17"/>
      <c r="F22" s="17" t="n">
        <v>0</v>
      </c>
      <c r="G22" s="17" t="n">
        <v>0</v>
      </c>
      <c r="H22" s="22" t="n">
        <f aca="false">COUNTIFS('Failure Detail'!$A$7:$A$546,A22,'Failure Detail'!$J$7:$J$546,"PASS")</f>
        <v>18</v>
      </c>
      <c r="I22" s="22" t="n">
        <f aca="false">18</f>
        <v>18</v>
      </c>
      <c r="J22" s="22" t="n">
        <f aca="false">Inputs!$B$13-G22</f>
        <v>6</v>
      </c>
      <c r="K22" s="22" t="n">
        <f aca="false">IF(F22+Inputs!$B$15=2,0,1)</f>
        <v>1</v>
      </c>
      <c r="L22" s="22" t="str">
        <f aca="false">IF(H22=I22,IF(J22&gt;=Inputs!$B$12,IF(K22=1,"SURVIVE","FAIL"),"FAIL"),"FAIL")</f>
        <v>SURVIVE</v>
      </c>
      <c r="M22" s="4"/>
      <c r="N22" s="4"/>
    </row>
    <row r="23" customFormat="false" ht="15" hidden="false" customHeight="false" outlineLevel="0" collapsed="false">
      <c r="A23" s="17" t="s">
        <v>348</v>
      </c>
      <c r="B23" s="17" t="s">
        <v>332</v>
      </c>
      <c r="C23" s="17" t="s">
        <v>174</v>
      </c>
      <c r="D23" s="17"/>
      <c r="E23" s="17"/>
      <c r="F23" s="17" t="n">
        <v>0</v>
      </c>
      <c r="G23" s="17" t="n">
        <v>0</v>
      </c>
      <c r="H23" s="22" t="n">
        <f aca="false">COUNTIFS('Failure Detail'!$A$7:$A$546,A23,'Failure Detail'!$J$7:$J$546,"PASS")</f>
        <v>18</v>
      </c>
      <c r="I23" s="22" t="n">
        <f aca="false">18</f>
        <v>18</v>
      </c>
      <c r="J23" s="22" t="n">
        <f aca="false">Inputs!$B$13-G23</f>
        <v>6</v>
      </c>
      <c r="K23" s="22" t="n">
        <f aca="false">IF(F23+Inputs!$B$15=2,0,1)</f>
        <v>1</v>
      </c>
      <c r="L23" s="22" t="str">
        <f aca="false">IF(H23=I23,IF(J23&gt;=Inputs!$B$12,IF(K23=1,"SURVIVE","FAIL"),"FAIL"),"FAIL")</f>
        <v>SURVIVE</v>
      </c>
      <c r="M23" s="4"/>
      <c r="N23" s="4"/>
    </row>
    <row r="24" customFormat="false" ht="15" hidden="false" customHeight="false" outlineLevel="0" collapsed="false">
      <c r="A24" s="17" t="s">
        <v>349</v>
      </c>
      <c r="B24" s="17" t="s">
        <v>332</v>
      </c>
      <c r="C24" s="17" t="s">
        <v>175</v>
      </c>
      <c r="D24" s="17"/>
      <c r="E24" s="17"/>
      <c r="F24" s="17" t="n">
        <v>0</v>
      </c>
      <c r="G24" s="17" t="n">
        <v>0</v>
      </c>
      <c r="H24" s="22" t="n">
        <f aca="false">COUNTIFS('Failure Detail'!$A$7:$A$546,A24,'Failure Detail'!$J$7:$J$546,"PASS")</f>
        <v>18</v>
      </c>
      <c r="I24" s="22" t="n">
        <f aca="false">18</f>
        <v>18</v>
      </c>
      <c r="J24" s="22" t="n">
        <f aca="false">Inputs!$B$13-G24</f>
        <v>6</v>
      </c>
      <c r="K24" s="22" t="n">
        <f aca="false">IF(F24+Inputs!$B$15=2,0,1)</f>
        <v>1</v>
      </c>
      <c r="L24" s="22" t="str">
        <f aca="false">IF(H24=I24,IF(J24&gt;=Inputs!$B$12,IF(K24=1,"SURVIVE","FAIL"),"FAIL"),"FAIL")</f>
        <v>SURVIVE</v>
      </c>
      <c r="M24" s="4"/>
      <c r="N24" s="4"/>
    </row>
    <row r="25" customFormat="false" ht="15" hidden="false" customHeight="false" outlineLevel="0" collapsed="false">
      <c r="A25" s="17" t="s">
        <v>350</v>
      </c>
      <c r="B25" s="17" t="s">
        <v>351</v>
      </c>
      <c r="C25" s="17"/>
      <c r="D25" s="17" t="s">
        <v>140</v>
      </c>
      <c r="E25" s="17"/>
      <c r="F25" s="17" t="n">
        <v>0</v>
      </c>
      <c r="G25" s="17" t="n">
        <v>1</v>
      </c>
      <c r="H25" s="22" t="n">
        <f aca="false">COUNTIFS('Failure Detail'!$A$7:$A$546,A25,'Failure Detail'!$J$7:$J$546,"PASS")</f>
        <v>18</v>
      </c>
      <c r="I25" s="22" t="n">
        <f aca="false">18</f>
        <v>18</v>
      </c>
      <c r="J25" s="22" t="n">
        <f aca="false">Inputs!$B$13-G25</f>
        <v>5</v>
      </c>
      <c r="K25" s="22" t="n">
        <f aca="false">IF(F25+Inputs!$B$15=2,0,1)</f>
        <v>1</v>
      </c>
      <c r="L25" s="22" t="str">
        <f aca="false">IF(H25=I25,IF(J25&gt;=Inputs!$B$12,IF(K25=1,"SURVIVE","FAIL"),"FAIL"),"FAIL")</f>
        <v>SURVIVE</v>
      </c>
      <c r="M25" s="4"/>
      <c r="N25" s="4"/>
    </row>
    <row r="26" customFormat="false" ht="15" hidden="false" customHeight="false" outlineLevel="0" collapsed="false">
      <c r="A26" s="17" t="s">
        <v>352</v>
      </c>
      <c r="B26" s="17" t="s">
        <v>351</v>
      </c>
      <c r="C26" s="17"/>
      <c r="D26" s="17" t="s">
        <v>151</v>
      </c>
      <c r="E26" s="17"/>
      <c r="F26" s="17" t="n">
        <v>0</v>
      </c>
      <c r="G26" s="17" t="n">
        <v>1</v>
      </c>
      <c r="H26" s="22" t="n">
        <f aca="false">COUNTIFS('Failure Detail'!$A$7:$A$546,A26,'Failure Detail'!$J$7:$J$546,"PASS")</f>
        <v>18</v>
      </c>
      <c r="I26" s="22" t="n">
        <f aca="false">18</f>
        <v>18</v>
      </c>
      <c r="J26" s="22" t="n">
        <f aca="false">Inputs!$B$13-G26</f>
        <v>5</v>
      </c>
      <c r="K26" s="22" t="n">
        <f aca="false">IF(F26+Inputs!$B$15=2,0,1)</f>
        <v>1</v>
      </c>
      <c r="L26" s="22" t="str">
        <f aca="false">IF(H26=I26,IF(J26&gt;=Inputs!$B$12,IF(K26=1,"SURVIVE","FAIL"),"FAIL"),"FAIL")</f>
        <v>SURVIVE</v>
      </c>
      <c r="M26" s="4"/>
      <c r="N26" s="4"/>
    </row>
    <row r="27" customFormat="false" ht="15" hidden="false" customHeight="false" outlineLevel="0" collapsed="false">
      <c r="A27" s="17" t="s">
        <v>353</v>
      </c>
      <c r="B27" s="17" t="s">
        <v>351</v>
      </c>
      <c r="C27" s="17"/>
      <c r="D27" s="17" t="s">
        <v>144</v>
      </c>
      <c r="E27" s="17"/>
      <c r="F27" s="17" t="n">
        <v>0</v>
      </c>
      <c r="G27" s="17" t="n">
        <v>1</v>
      </c>
      <c r="H27" s="22" t="n">
        <f aca="false">COUNTIFS('Failure Detail'!$A$7:$A$546,A27,'Failure Detail'!$J$7:$J$546,"PASS")</f>
        <v>18</v>
      </c>
      <c r="I27" s="22" t="n">
        <f aca="false">18</f>
        <v>18</v>
      </c>
      <c r="J27" s="22" t="n">
        <f aca="false">Inputs!$B$13-G27</f>
        <v>5</v>
      </c>
      <c r="K27" s="22" t="n">
        <f aca="false">IF(F27+Inputs!$B$15=2,0,1)</f>
        <v>1</v>
      </c>
      <c r="L27" s="22" t="str">
        <f aca="false">IF(H27=I27,IF(J27&gt;=Inputs!$B$12,IF(K27=1,"SURVIVE","FAIL"),"FAIL"),"FAIL")</f>
        <v>SURVIVE</v>
      </c>
      <c r="M27" s="4"/>
      <c r="N27" s="4"/>
    </row>
    <row r="28" customFormat="false" ht="15" hidden="false" customHeight="false" outlineLevel="0" collapsed="false">
      <c r="A28" s="17" t="s">
        <v>354</v>
      </c>
      <c r="B28" s="17" t="s">
        <v>351</v>
      </c>
      <c r="C28" s="17"/>
      <c r="D28" s="17" t="s">
        <v>153</v>
      </c>
      <c r="E28" s="17"/>
      <c r="F28" s="17" t="n">
        <v>0</v>
      </c>
      <c r="G28" s="17" t="n">
        <v>1</v>
      </c>
      <c r="H28" s="22" t="n">
        <f aca="false">COUNTIFS('Failure Detail'!$A$7:$A$546,A28,'Failure Detail'!$J$7:$J$546,"PASS")</f>
        <v>18</v>
      </c>
      <c r="I28" s="22" t="n">
        <f aca="false">18</f>
        <v>18</v>
      </c>
      <c r="J28" s="22" t="n">
        <f aca="false">Inputs!$B$13-G28</f>
        <v>5</v>
      </c>
      <c r="K28" s="22" t="n">
        <f aca="false">IF(F28+Inputs!$B$15=2,0,1)</f>
        <v>1</v>
      </c>
      <c r="L28" s="22" t="str">
        <f aca="false">IF(H28=I28,IF(J28&gt;=Inputs!$B$12,IF(K28=1,"SURVIVE","FAIL"),"FAIL"),"FAIL")</f>
        <v>SURVIVE</v>
      </c>
      <c r="M28" s="4"/>
      <c r="N28" s="4"/>
    </row>
    <row r="29" customFormat="false" ht="15" hidden="false" customHeight="false" outlineLevel="0" collapsed="false">
      <c r="A29" s="17" t="s">
        <v>355</v>
      </c>
      <c r="B29" s="17" t="s">
        <v>351</v>
      </c>
      <c r="C29" s="17"/>
      <c r="D29" s="17" t="s">
        <v>147</v>
      </c>
      <c r="E29" s="17"/>
      <c r="F29" s="17" t="n">
        <v>0</v>
      </c>
      <c r="G29" s="17" t="n">
        <v>1</v>
      </c>
      <c r="H29" s="22" t="n">
        <f aca="false">COUNTIFS('Failure Detail'!$A$7:$A$546,A29,'Failure Detail'!$J$7:$J$546,"PASS")</f>
        <v>18</v>
      </c>
      <c r="I29" s="22" t="n">
        <f aca="false">18</f>
        <v>18</v>
      </c>
      <c r="J29" s="22" t="n">
        <f aca="false">Inputs!$B$13-G29</f>
        <v>5</v>
      </c>
      <c r="K29" s="22" t="n">
        <f aca="false">IF(F29+Inputs!$B$15=2,0,1)</f>
        <v>1</v>
      </c>
      <c r="L29" s="22" t="str">
        <f aca="false">IF(H29=I29,IF(J29&gt;=Inputs!$B$12,IF(K29=1,"SURVIVE","FAIL"),"FAIL"),"FAIL")</f>
        <v>SURVIVE</v>
      </c>
      <c r="M29" s="4"/>
      <c r="N29" s="4"/>
    </row>
    <row r="30" customFormat="false" ht="15" hidden="false" customHeight="false" outlineLevel="0" collapsed="false">
      <c r="A30" s="17" t="s">
        <v>356</v>
      </c>
      <c r="B30" s="17" t="s">
        <v>351</v>
      </c>
      <c r="C30" s="17"/>
      <c r="D30" s="17" t="s">
        <v>155</v>
      </c>
      <c r="E30" s="17"/>
      <c r="F30" s="17" t="n">
        <v>0</v>
      </c>
      <c r="G30" s="17" t="n">
        <v>1</v>
      </c>
      <c r="H30" s="22" t="n">
        <f aca="false">COUNTIFS('Failure Detail'!$A$7:$A$546,A30,'Failure Detail'!$J$7:$J$546,"PASS")</f>
        <v>18</v>
      </c>
      <c r="I30" s="22" t="n">
        <f aca="false">18</f>
        <v>18</v>
      </c>
      <c r="J30" s="22" t="n">
        <f aca="false">Inputs!$B$13-G30</f>
        <v>5</v>
      </c>
      <c r="K30" s="22" t="n">
        <f aca="false">IF(F30+Inputs!$B$15=2,0,1)</f>
        <v>1</v>
      </c>
      <c r="L30" s="22" t="str">
        <f aca="false">IF(H30=I30,IF(J30&gt;=Inputs!$B$12,IF(K30=1,"SURVIVE","FAIL"),"FAIL"),"FAIL")</f>
        <v>SURVIVE</v>
      </c>
      <c r="M30" s="4"/>
      <c r="N30" s="4"/>
    </row>
    <row r="31" customFormat="false" ht="15" hidden="false" customHeight="false" outlineLevel="0" collapsed="false">
      <c r="A31" s="17" t="s">
        <v>357</v>
      </c>
      <c r="B31" s="17" t="s">
        <v>358</v>
      </c>
      <c r="C31" s="17"/>
      <c r="D31" s="17"/>
      <c r="E31" s="17"/>
      <c r="F31" s="17" t="n">
        <v>1</v>
      </c>
      <c r="G31" s="17" t="n">
        <v>0</v>
      </c>
      <c r="H31" s="22" t="n">
        <f aca="false">COUNTIFS('Failure Detail'!$A$7:$A$546,A31,'Failure Detail'!$J$7:$J$546,"PASS")</f>
        <v>18</v>
      </c>
      <c r="I31" s="22" t="n">
        <f aca="false">18</f>
        <v>18</v>
      </c>
      <c r="J31" s="22" t="n">
        <f aca="false">Inputs!$B$13-G31</f>
        <v>6</v>
      </c>
      <c r="K31" s="22" t="n">
        <f aca="false">IF(F31+Inputs!$B$15=2,0,1)</f>
        <v>1</v>
      </c>
      <c r="L31" s="22" t="str">
        <f aca="false">IF(H31=I31,IF(J31&gt;=Inputs!$B$12,IF(K31=1,"SURVIVE","FAIL"),"FAIL"),"FAIL")</f>
        <v>SURVIVE</v>
      </c>
      <c r="M31" s="4"/>
      <c r="N31" s="4"/>
    </row>
    <row r="32" customFormat="false" ht="15" hidden="false" customHeight="false" outlineLevel="0" collapsed="false">
      <c r="A32" s="17" t="s">
        <v>359</v>
      </c>
      <c r="B32" s="17" t="s">
        <v>360</v>
      </c>
      <c r="C32" s="17"/>
      <c r="D32" s="17"/>
      <c r="E32" s="17" t="s">
        <v>141</v>
      </c>
      <c r="F32" s="17" t="n">
        <v>0</v>
      </c>
      <c r="G32" s="17" t="n">
        <v>0</v>
      </c>
      <c r="H32" s="22" t="n">
        <f aca="false">COUNTIFS('Failure Detail'!$A$7:$A$546,A32,'Failure Detail'!$J$7:$J$546,"PASS")</f>
        <v>18</v>
      </c>
      <c r="I32" s="22" t="n">
        <f aca="false">18</f>
        <v>18</v>
      </c>
      <c r="J32" s="22" t="n">
        <f aca="false">Inputs!$B$13-G32</f>
        <v>6</v>
      </c>
      <c r="K32" s="22" t="n">
        <f aca="false">IF(F32+Inputs!$B$15=2,0,1)</f>
        <v>1</v>
      </c>
      <c r="L32" s="22" t="str">
        <f aca="false">IF(H32=I32,IF(J32&gt;=Inputs!$B$12,IF(K32=1,"SURVIVE","FAIL"),"FAIL"),"FAIL")</f>
        <v>SURVIVE</v>
      </c>
      <c r="M32" s="4"/>
      <c r="N32" s="4"/>
    </row>
    <row r="33" customFormat="false" ht="15" hidden="false" customHeight="false" outlineLevel="0" collapsed="false">
      <c r="A33" s="17" t="s">
        <v>361</v>
      </c>
      <c r="B33" s="17" t="s">
        <v>362</v>
      </c>
      <c r="C33" s="17"/>
      <c r="D33" s="17"/>
      <c r="E33" s="17" t="s">
        <v>145</v>
      </c>
      <c r="F33" s="17" t="n">
        <v>0</v>
      </c>
      <c r="G33" s="17" t="n">
        <v>0</v>
      </c>
      <c r="H33" s="22" t="n">
        <f aca="false">COUNTIFS('Failure Detail'!$A$7:$A$546,A33,'Failure Detail'!$J$7:$J$546,"PASS")</f>
        <v>18</v>
      </c>
      <c r="I33" s="22" t="n">
        <f aca="false">18</f>
        <v>18</v>
      </c>
      <c r="J33" s="22" t="n">
        <f aca="false">Inputs!$B$13-G33</f>
        <v>6</v>
      </c>
      <c r="K33" s="22" t="n">
        <f aca="false">IF(F33+Inputs!$B$15=2,0,1)</f>
        <v>1</v>
      </c>
      <c r="L33" s="22" t="str">
        <f aca="false">IF(H33=I33,IF(J33&gt;=Inputs!$B$12,IF(K33=1,"SURVIVE","FAIL"),"FAIL"),"FAIL")</f>
        <v>SURVIVE</v>
      </c>
      <c r="M33" s="4"/>
      <c r="N33" s="4"/>
    </row>
    <row r="34" customFormat="false" ht="15" hidden="false" customHeight="false" outlineLevel="0" collapsed="false">
      <c r="A34" s="17" t="s">
        <v>363</v>
      </c>
      <c r="B34" s="17" t="s">
        <v>364</v>
      </c>
      <c r="C34" s="17"/>
      <c r="D34" s="17"/>
      <c r="E34" s="17" t="s">
        <v>142</v>
      </c>
      <c r="F34" s="17" t="n">
        <v>0</v>
      </c>
      <c r="G34" s="17" t="n">
        <v>0</v>
      </c>
      <c r="H34" s="22" t="n">
        <f aca="false">COUNTIFS('Failure Detail'!$A$7:$A$546,A34,'Failure Detail'!$J$7:$J$546,"PASS")</f>
        <v>18</v>
      </c>
      <c r="I34" s="22" t="n">
        <f aca="false">18</f>
        <v>18</v>
      </c>
      <c r="J34" s="22" t="n">
        <f aca="false">Inputs!$B$13-G34</f>
        <v>6</v>
      </c>
      <c r="K34" s="22" t="n">
        <f aca="false">IF(F34+Inputs!$B$15=2,0,1)</f>
        <v>1</v>
      </c>
      <c r="L34" s="22" t="str">
        <f aca="false">IF(H34=I34,IF(J34&gt;=Inputs!$B$12,IF(K34=1,"SURVIVE","FAIL"),"FAIL"),"FAIL")</f>
        <v>SURVIVE</v>
      </c>
      <c r="M34" s="4"/>
      <c r="N34" s="4"/>
    </row>
    <row r="35" customFormat="false" ht="15" hidden="false" customHeight="false" outlineLevel="0" collapsed="false">
      <c r="A35" s="17" t="s">
        <v>365</v>
      </c>
      <c r="B35" s="17" t="s">
        <v>366</v>
      </c>
      <c r="C35" s="17"/>
      <c r="D35" s="17"/>
      <c r="E35" s="17" t="s">
        <v>367</v>
      </c>
      <c r="F35" s="17" t="n">
        <v>0</v>
      </c>
      <c r="G35" s="17" t="n">
        <v>0</v>
      </c>
      <c r="H35" s="22" t="n">
        <f aca="false">COUNTIFS('Failure Detail'!$A$7:$A$546,A35,'Failure Detail'!$J$7:$J$546,"PASS")</f>
        <v>18</v>
      </c>
      <c r="I35" s="22" t="n">
        <f aca="false">18</f>
        <v>18</v>
      </c>
      <c r="J35" s="22" t="n">
        <f aca="false">Inputs!$B$13-G35</f>
        <v>6</v>
      </c>
      <c r="K35" s="22" t="n">
        <f aca="false">IF(F35+Inputs!$B$15=2,0,1)</f>
        <v>1</v>
      </c>
      <c r="L35" s="22" t="str">
        <f aca="false">IF(H35=I35,IF(J35&gt;=Inputs!$B$12,IF(K35=1,"SURVIVE","FAIL"),"FAIL"),"FAIL")</f>
        <v>SURVIVE</v>
      </c>
      <c r="M35" s="4"/>
      <c r="N35" s="4"/>
    </row>
    <row r="36" customFormat="false" ht="15" hidden="false" customHeight="false" outlineLevel="0" collapsed="false">
      <c r="A36" s="17" t="s">
        <v>368</v>
      </c>
      <c r="B36" s="17" t="s">
        <v>369</v>
      </c>
      <c r="C36" s="17"/>
      <c r="D36" s="17"/>
      <c r="E36" s="17"/>
      <c r="F36" s="17" t="n">
        <v>0</v>
      </c>
      <c r="G36" s="17" t="n">
        <v>1</v>
      </c>
      <c r="H36" s="22" t="n">
        <f aca="false">COUNTIFS('Failure Detail'!$A$7:$A$546,A36,'Failure Detail'!$J$7:$J$546,"PASS")</f>
        <v>18</v>
      </c>
      <c r="I36" s="22" t="n">
        <f aca="false">18</f>
        <v>18</v>
      </c>
      <c r="J36" s="22" t="n">
        <f aca="false">Inputs!$B$13-G36</f>
        <v>5</v>
      </c>
      <c r="K36" s="22" t="n">
        <f aca="false">IF(F36+Inputs!$B$15=2,0,1)</f>
        <v>1</v>
      </c>
      <c r="L36" s="22" t="str">
        <f aca="false">IF(H36=I36,IF(J36&gt;=Inputs!$B$12,IF(K36=1,"SURVIVE","FAIL"),"FAIL"),"FAIL")</f>
        <v>SURVIVE</v>
      </c>
      <c r="M36" s="4"/>
      <c r="N36" s="4"/>
    </row>
  </sheetData>
  <mergeCells count="2">
    <mergeCell ref="A2:N2"/>
    <mergeCell ref="A4:N4"/>
  </mergeCells>
  <conditionalFormatting sqref="L7:L36">
    <cfRule type="containsText" priority="2" operator="containsText" aboveAverage="0" equalAverage="0" bottom="0" percent="0" rank="0" text="FAIL" dxfId="0">
      <formula>NOT(ISERROR(SEARCH("FAIL",L7)))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5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15"/>
    <col collapsed="false" customWidth="true" hidden="false" outlineLevel="0" max="10" min="10" style="0" width="12"/>
  </cols>
  <sheetData>
    <row r="2" customFormat="false" ht="18.55" hidden="false" customHeight="false" outlineLevel="0" collapsed="false">
      <c r="A2" s="1" t="s">
        <v>370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371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2.35" hidden="false" customHeight="false" outlineLevel="0" collapsed="false">
      <c r="A6" s="6" t="s">
        <v>320</v>
      </c>
      <c r="B6" s="7" t="s">
        <v>125</v>
      </c>
      <c r="C6" s="7" t="s">
        <v>91</v>
      </c>
      <c r="D6" s="7" t="s">
        <v>322</v>
      </c>
      <c r="E6" s="7" t="s">
        <v>323</v>
      </c>
      <c r="F6" s="7" t="s">
        <v>324</v>
      </c>
      <c r="G6" s="7" t="s">
        <v>372</v>
      </c>
      <c r="H6" s="7" t="s">
        <v>7</v>
      </c>
      <c r="I6" s="7" t="s">
        <v>373</v>
      </c>
      <c r="J6" s="8" t="s">
        <v>186</v>
      </c>
      <c r="K6" s="4"/>
      <c r="L6" s="4"/>
      <c r="M6" s="4"/>
      <c r="N6" s="4"/>
    </row>
    <row r="7" customFormat="false" ht="15" hidden="false" customHeight="false" outlineLevel="0" collapsed="false">
      <c r="A7" s="17" t="s">
        <v>331</v>
      </c>
      <c r="B7" s="17" t="s">
        <v>138</v>
      </c>
      <c r="C7" s="17" t="s">
        <v>141</v>
      </c>
      <c r="D7" s="17" t="s">
        <v>137</v>
      </c>
      <c r="E7" s="17"/>
      <c r="F7" s="17"/>
      <c r="G7" s="22" t="n">
        <f aca="false">COUNTIFS('Role Enclaves'!$D$7:$D$42,B7,'Role Enclaves'!$E$7:$E$42,C7,'Role Enclaves'!$B$7:$B$42,"&lt;&gt;"&amp;D7,'Role Enclaves'!$C$7:$C$42,"&lt;&gt;"&amp;E7)-IF(F7=C7,1,0)</f>
        <v>1</v>
      </c>
      <c r="H7" s="22" t="n">
        <f aca="false">COUNTIFS('Court Quorum'!$B$7:$B$24,B7,'Court Quorum'!$C$7:$C$24,"&lt;&gt;"&amp;D7,'Court Quorum'!$D$7:$D$24,"&lt;&gt;"&amp;E7)-IF(F7="Court",1,0)</f>
        <v>2</v>
      </c>
      <c r="I7" s="22" t="n">
        <f aca="false">Inputs!$B$10</f>
        <v>2</v>
      </c>
      <c r="J7" s="22" t="str">
        <f aca="false">IF(AND(G7&gt;=1,H7&gt;=I7),"PASS","FAIL")</f>
        <v>PASS</v>
      </c>
      <c r="K7" s="4"/>
      <c r="L7" s="4"/>
      <c r="M7" s="4"/>
      <c r="N7" s="4"/>
    </row>
    <row r="8" customFormat="false" ht="15" hidden="false" customHeight="false" outlineLevel="0" collapsed="false">
      <c r="A8" s="17" t="s">
        <v>331</v>
      </c>
      <c r="B8" s="17" t="s">
        <v>138</v>
      </c>
      <c r="C8" s="17" t="s">
        <v>145</v>
      </c>
      <c r="D8" s="17" t="s">
        <v>137</v>
      </c>
      <c r="E8" s="17"/>
      <c r="F8" s="17"/>
      <c r="G8" s="22" t="n">
        <f aca="false">COUNTIFS('Role Enclaves'!$D$7:$D$42,B8,'Role Enclaves'!$E$7:$E$42,C8,'Role Enclaves'!$B$7:$B$42,"&lt;&gt;"&amp;D8,'Role Enclaves'!$C$7:$C$42,"&lt;&gt;"&amp;E8)-IF(F8=C8,1,0)</f>
        <v>2</v>
      </c>
      <c r="H8" s="22" t="n">
        <f aca="false">COUNTIFS('Court Quorum'!$B$7:$B$24,B8,'Court Quorum'!$C$7:$C$24,"&lt;&gt;"&amp;D8,'Court Quorum'!$D$7:$D$24,"&lt;&gt;"&amp;E8)-IF(F8="Court",1,0)</f>
        <v>2</v>
      </c>
      <c r="I8" s="22" t="n">
        <f aca="false">Inputs!$B$10</f>
        <v>2</v>
      </c>
      <c r="J8" s="22" t="str">
        <f aca="false">IF(AND(G8&gt;=1,H8&gt;=I8),"PASS","FAIL")</f>
        <v>PASS</v>
      </c>
      <c r="K8" s="4"/>
      <c r="L8" s="4"/>
      <c r="M8" s="4"/>
      <c r="N8" s="4"/>
    </row>
    <row r="9" customFormat="false" ht="15" hidden="false" customHeight="false" outlineLevel="0" collapsed="false">
      <c r="A9" s="17" t="s">
        <v>331</v>
      </c>
      <c r="B9" s="17" t="s">
        <v>138</v>
      </c>
      <c r="C9" s="17" t="s">
        <v>142</v>
      </c>
      <c r="D9" s="17" t="s">
        <v>137</v>
      </c>
      <c r="E9" s="17"/>
      <c r="F9" s="17"/>
      <c r="G9" s="22" t="n">
        <f aca="false">COUNTIFS('Role Enclaves'!$D$7:$D$42,B9,'Role Enclaves'!$E$7:$E$42,C9,'Role Enclaves'!$B$7:$B$42,"&lt;&gt;"&amp;D9,'Role Enclaves'!$C$7:$C$42,"&lt;&gt;"&amp;E9)-IF(F9=C9,1,0)</f>
        <v>1</v>
      </c>
      <c r="H9" s="22" t="n">
        <f aca="false">COUNTIFS('Court Quorum'!$B$7:$B$24,B9,'Court Quorum'!$C$7:$C$24,"&lt;&gt;"&amp;D9,'Court Quorum'!$D$7:$D$24,"&lt;&gt;"&amp;E9)-IF(F9="Court",1,0)</f>
        <v>2</v>
      </c>
      <c r="I9" s="22" t="n">
        <f aca="false">Inputs!$B$10</f>
        <v>2</v>
      </c>
      <c r="J9" s="22" t="str">
        <f aca="false">IF(AND(G9&gt;=1,H9&gt;=I9),"PASS","FAIL")</f>
        <v>PASS</v>
      </c>
      <c r="K9" s="4"/>
      <c r="L9" s="4"/>
      <c r="M9" s="4"/>
      <c r="N9" s="4"/>
    </row>
    <row r="10" customFormat="false" ht="15" hidden="false" customHeight="false" outlineLevel="0" collapsed="false">
      <c r="A10" s="17" t="s">
        <v>331</v>
      </c>
      <c r="B10" s="17" t="s">
        <v>149</v>
      </c>
      <c r="C10" s="17" t="s">
        <v>141</v>
      </c>
      <c r="D10" s="17" t="s">
        <v>137</v>
      </c>
      <c r="E10" s="17"/>
      <c r="F10" s="17"/>
      <c r="G10" s="22" t="n">
        <f aca="false">COUNTIFS('Role Enclaves'!$D$7:$D$42,B10,'Role Enclaves'!$E$7:$E$42,C10,'Role Enclaves'!$B$7:$B$42,"&lt;&gt;"&amp;D10,'Role Enclaves'!$C$7:$C$42,"&lt;&gt;"&amp;E10)-IF(F10=C10,1,0)</f>
        <v>2</v>
      </c>
      <c r="H10" s="22" t="n">
        <f aca="false">COUNTIFS('Court Quorum'!$B$7:$B$24,B10,'Court Quorum'!$C$7:$C$24,"&lt;&gt;"&amp;D10,'Court Quorum'!$D$7:$D$24,"&lt;&gt;"&amp;E10)-IF(F10="Court",1,0)</f>
        <v>3</v>
      </c>
      <c r="I10" s="22" t="n">
        <f aca="false">Inputs!$B$10</f>
        <v>2</v>
      </c>
      <c r="J10" s="22" t="str">
        <f aca="false">IF(AND(G10&gt;=1,H10&gt;=I10),"PASS","FAIL")</f>
        <v>PASS</v>
      </c>
      <c r="K10" s="4"/>
      <c r="L10" s="4"/>
      <c r="M10" s="4"/>
      <c r="N10" s="4"/>
    </row>
    <row r="11" customFormat="false" ht="15" hidden="false" customHeight="false" outlineLevel="0" collapsed="false">
      <c r="A11" s="17" t="s">
        <v>331</v>
      </c>
      <c r="B11" s="17" t="s">
        <v>149</v>
      </c>
      <c r="C11" s="17" t="s">
        <v>145</v>
      </c>
      <c r="D11" s="17" t="s">
        <v>137</v>
      </c>
      <c r="E11" s="17"/>
      <c r="F11" s="17"/>
      <c r="G11" s="22" t="n">
        <f aca="false">COUNTIFS('Role Enclaves'!$D$7:$D$42,B11,'Role Enclaves'!$E$7:$E$42,C11,'Role Enclaves'!$B$7:$B$42,"&lt;&gt;"&amp;D11,'Role Enclaves'!$C$7:$C$42,"&lt;&gt;"&amp;E11)-IF(F11=C11,1,0)</f>
        <v>2</v>
      </c>
      <c r="H11" s="22" t="n">
        <f aca="false">COUNTIFS('Court Quorum'!$B$7:$B$24,B11,'Court Quorum'!$C$7:$C$24,"&lt;&gt;"&amp;D11,'Court Quorum'!$D$7:$D$24,"&lt;&gt;"&amp;E11)-IF(F11="Court",1,0)</f>
        <v>3</v>
      </c>
      <c r="I11" s="22" t="n">
        <f aca="false">Inputs!$B$10</f>
        <v>2</v>
      </c>
      <c r="J11" s="22" t="str">
        <f aca="false">IF(AND(G11&gt;=1,H11&gt;=I11),"PASS","FAIL")</f>
        <v>PASS</v>
      </c>
      <c r="K11" s="4"/>
      <c r="L11" s="4"/>
      <c r="M11" s="4"/>
      <c r="N11" s="4"/>
    </row>
    <row r="12" customFormat="false" ht="15" hidden="false" customHeight="false" outlineLevel="0" collapsed="false">
      <c r="A12" s="17" t="s">
        <v>331</v>
      </c>
      <c r="B12" s="17" t="s">
        <v>149</v>
      </c>
      <c r="C12" s="17" t="s">
        <v>142</v>
      </c>
      <c r="D12" s="17" t="s">
        <v>137</v>
      </c>
      <c r="E12" s="17"/>
      <c r="F12" s="17"/>
      <c r="G12" s="22" t="n">
        <f aca="false">COUNTIFS('Role Enclaves'!$D$7:$D$42,B12,'Role Enclaves'!$E$7:$E$42,C12,'Role Enclaves'!$B$7:$B$42,"&lt;&gt;"&amp;D12,'Role Enclaves'!$C$7:$C$42,"&lt;&gt;"&amp;E12)-IF(F12=C12,1,0)</f>
        <v>2</v>
      </c>
      <c r="H12" s="22" t="n">
        <f aca="false">COUNTIFS('Court Quorum'!$B$7:$B$24,B12,'Court Quorum'!$C$7:$C$24,"&lt;&gt;"&amp;D12,'Court Quorum'!$D$7:$D$24,"&lt;&gt;"&amp;E12)-IF(F12="Court",1,0)</f>
        <v>3</v>
      </c>
      <c r="I12" s="22" t="n">
        <f aca="false">Inputs!$B$10</f>
        <v>2</v>
      </c>
      <c r="J12" s="22" t="str">
        <f aca="false">IF(AND(G12&gt;=1,H12&gt;=I12),"PASS","FAIL")</f>
        <v>PASS</v>
      </c>
      <c r="K12" s="4"/>
      <c r="L12" s="4"/>
      <c r="M12" s="4"/>
      <c r="N12" s="4"/>
    </row>
    <row r="13" customFormat="false" ht="15" hidden="false" customHeight="false" outlineLevel="0" collapsed="false">
      <c r="A13" s="17" t="s">
        <v>331</v>
      </c>
      <c r="B13" s="17" t="s">
        <v>157</v>
      </c>
      <c r="C13" s="17" t="s">
        <v>141</v>
      </c>
      <c r="D13" s="17" t="s">
        <v>137</v>
      </c>
      <c r="E13" s="17"/>
      <c r="F13" s="17"/>
      <c r="G13" s="22" t="n">
        <f aca="false">COUNTIFS('Role Enclaves'!$D$7:$D$42,B13,'Role Enclaves'!$E$7:$E$42,C13,'Role Enclaves'!$B$7:$B$42,"&lt;&gt;"&amp;D13,'Role Enclaves'!$C$7:$C$42,"&lt;&gt;"&amp;E13)-IF(F13=C13,1,0)</f>
        <v>2</v>
      </c>
      <c r="H13" s="22" t="n">
        <f aca="false">COUNTIFS('Court Quorum'!$B$7:$B$24,B13,'Court Quorum'!$C$7:$C$24,"&lt;&gt;"&amp;D13,'Court Quorum'!$D$7:$D$24,"&lt;&gt;"&amp;E13)-IF(F13="Court",1,0)</f>
        <v>3</v>
      </c>
      <c r="I13" s="22" t="n">
        <f aca="false">Inputs!$B$10</f>
        <v>2</v>
      </c>
      <c r="J13" s="22" t="str">
        <f aca="false">IF(AND(G13&gt;=1,H13&gt;=I13),"PASS","FAIL")</f>
        <v>PASS</v>
      </c>
      <c r="K13" s="4"/>
      <c r="L13" s="4"/>
      <c r="M13" s="4"/>
      <c r="N13" s="4"/>
    </row>
    <row r="14" customFormat="false" ht="15" hidden="false" customHeight="false" outlineLevel="0" collapsed="false">
      <c r="A14" s="17" t="s">
        <v>331</v>
      </c>
      <c r="B14" s="17" t="s">
        <v>157</v>
      </c>
      <c r="C14" s="17" t="s">
        <v>145</v>
      </c>
      <c r="D14" s="17" t="s">
        <v>137</v>
      </c>
      <c r="E14" s="17"/>
      <c r="F14" s="17"/>
      <c r="G14" s="22" t="n">
        <f aca="false">COUNTIFS('Role Enclaves'!$D$7:$D$42,B14,'Role Enclaves'!$E$7:$E$42,C14,'Role Enclaves'!$B$7:$B$42,"&lt;&gt;"&amp;D14,'Role Enclaves'!$C$7:$C$42,"&lt;&gt;"&amp;E14)-IF(F14=C14,1,0)</f>
        <v>2</v>
      </c>
      <c r="H14" s="22" t="n">
        <f aca="false">COUNTIFS('Court Quorum'!$B$7:$B$24,B14,'Court Quorum'!$C$7:$C$24,"&lt;&gt;"&amp;D14,'Court Quorum'!$D$7:$D$24,"&lt;&gt;"&amp;E14)-IF(F14="Court",1,0)</f>
        <v>3</v>
      </c>
      <c r="I14" s="22" t="n">
        <f aca="false">Inputs!$B$10</f>
        <v>2</v>
      </c>
      <c r="J14" s="22" t="str">
        <f aca="false">IF(AND(G14&gt;=1,H14&gt;=I14),"PASS","FAIL")</f>
        <v>PASS</v>
      </c>
      <c r="K14" s="4"/>
      <c r="L14" s="4"/>
      <c r="M14" s="4"/>
      <c r="N14" s="4"/>
    </row>
    <row r="15" customFormat="false" ht="15" hidden="false" customHeight="false" outlineLevel="0" collapsed="false">
      <c r="A15" s="17" t="s">
        <v>331</v>
      </c>
      <c r="B15" s="17" t="s">
        <v>157</v>
      </c>
      <c r="C15" s="17" t="s">
        <v>142</v>
      </c>
      <c r="D15" s="17" t="s">
        <v>137</v>
      </c>
      <c r="E15" s="17"/>
      <c r="F15" s="17"/>
      <c r="G15" s="22" t="n">
        <f aca="false">COUNTIFS('Role Enclaves'!$D$7:$D$42,B15,'Role Enclaves'!$E$7:$E$42,C15,'Role Enclaves'!$B$7:$B$42,"&lt;&gt;"&amp;D15,'Role Enclaves'!$C$7:$C$42,"&lt;&gt;"&amp;E15)-IF(F15=C15,1,0)</f>
        <v>2</v>
      </c>
      <c r="H15" s="22" t="n">
        <f aca="false">COUNTIFS('Court Quorum'!$B$7:$B$24,B15,'Court Quorum'!$C$7:$C$24,"&lt;&gt;"&amp;D15,'Court Quorum'!$D$7:$D$24,"&lt;&gt;"&amp;E15)-IF(F15="Court",1,0)</f>
        <v>3</v>
      </c>
      <c r="I15" s="22" t="n">
        <f aca="false">Inputs!$B$10</f>
        <v>2</v>
      </c>
      <c r="J15" s="22" t="str">
        <f aca="false">IF(AND(G15&gt;=1,H15&gt;=I15),"PASS","FAIL")</f>
        <v>PASS</v>
      </c>
      <c r="K15" s="4"/>
      <c r="L15" s="4"/>
      <c r="M15" s="4"/>
      <c r="N15" s="4"/>
    </row>
    <row r="16" customFormat="false" ht="15" hidden="false" customHeight="false" outlineLevel="0" collapsed="false">
      <c r="A16" s="17" t="s">
        <v>331</v>
      </c>
      <c r="B16" s="17" t="s">
        <v>162</v>
      </c>
      <c r="C16" s="17" t="s">
        <v>141</v>
      </c>
      <c r="D16" s="17" t="s">
        <v>137</v>
      </c>
      <c r="E16" s="17"/>
      <c r="F16" s="17"/>
      <c r="G16" s="22" t="n">
        <f aca="false">COUNTIFS('Role Enclaves'!$D$7:$D$42,B16,'Role Enclaves'!$E$7:$E$42,C16,'Role Enclaves'!$B$7:$B$42,"&lt;&gt;"&amp;D16,'Role Enclaves'!$C$7:$C$42,"&lt;&gt;"&amp;E16)-IF(F16=C16,1,0)</f>
        <v>2</v>
      </c>
      <c r="H16" s="22" t="n">
        <f aca="false">COUNTIFS('Court Quorum'!$B$7:$B$24,B16,'Court Quorum'!$C$7:$C$24,"&lt;&gt;"&amp;D16,'Court Quorum'!$D$7:$D$24,"&lt;&gt;"&amp;E16)-IF(F16="Court",1,0)</f>
        <v>3</v>
      </c>
      <c r="I16" s="22" t="n">
        <f aca="false">Inputs!$B$10</f>
        <v>2</v>
      </c>
      <c r="J16" s="22" t="str">
        <f aca="false">IF(AND(G16&gt;=1,H16&gt;=I16),"PASS","FAIL")</f>
        <v>PASS</v>
      </c>
      <c r="K16" s="4"/>
      <c r="L16" s="4"/>
      <c r="M16" s="4"/>
      <c r="N16" s="4"/>
    </row>
    <row r="17" customFormat="false" ht="15" hidden="false" customHeight="false" outlineLevel="0" collapsed="false">
      <c r="A17" s="17" t="s">
        <v>331</v>
      </c>
      <c r="B17" s="17" t="s">
        <v>162</v>
      </c>
      <c r="C17" s="17" t="s">
        <v>145</v>
      </c>
      <c r="D17" s="17" t="s">
        <v>137</v>
      </c>
      <c r="E17" s="17"/>
      <c r="F17" s="17"/>
      <c r="G17" s="22" t="n">
        <f aca="false">COUNTIFS('Role Enclaves'!$D$7:$D$42,B17,'Role Enclaves'!$E$7:$E$42,C17,'Role Enclaves'!$B$7:$B$42,"&lt;&gt;"&amp;D17,'Role Enclaves'!$C$7:$C$42,"&lt;&gt;"&amp;E17)-IF(F17=C17,1,0)</f>
        <v>2</v>
      </c>
      <c r="H17" s="22" t="n">
        <f aca="false">COUNTIFS('Court Quorum'!$B$7:$B$24,B17,'Court Quorum'!$C$7:$C$24,"&lt;&gt;"&amp;D17,'Court Quorum'!$D$7:$D$24,"&lt;&gt;"&amp;E17)-IF(F17="Court",1,0)</f>
        <v>3</v>
      </c>
      <c r="I17" s="22" t="n">
        <f aca="false">Inputs!$B$10</f>
        <v>2</v>
      </c>
      <c r="J17" s="22" t="str">
        <f aca="false">IF(AND(G17&gt;=1,H17&gt;=I17),"PASS","FAIL")</f>
        <v>PASS</v>
      </c>
      <c r="K17" s="4"/>
      <c r="L17" s="4"/>
      <c r="M17" s="4"/>
      <c r="N17" s="4"/>
    </row>
    <row r="18" customFormat="false" ht="15" hidden="false" customHeight="false" outlineLevel="0" collapsed="false">
      <c r="A18" s="17" t="s">
        <v>331</v>
      </c>
      <c r="B18" s="17" t="s">
        <v>162</v>
      </c>
      <c r="C18" s="17" t="s">
        <v>142</v>
      </c>
      <c r="D18" s="17" t="s">
        <v>137</v>
      </c>
      <c r="E18" s="17"/>
      <c r="F18" s="17"/>
      <c r="G18" s="22" t="n">
        <f aca="false">COUNTIFS('Role Enclaves'!$D$7:$D$42,B18,'Role Enclaves'!$E$7:$E$42,C18,'Role Enclaves'!$B$7:$B$42,"&lt;&gt;"&amp;D18,'Role Enclaves'!$C$7:$C$42,"&lt;&gt;"&amp;E18)-IF(F18=C18,1,0)</f>
        <v>2</v>
      </c>
      <c r="H18" s="22" t="n">
        <f aca="false">COUNTIFS('Court Quorum'!$B$7:$B$24,B18,'Court Quorum'!$C$7:$C$24,"&lt;&gt;"&amp;D18,'Court Quorum'!$D$7:$D$24,"&lt;&gt;"&amp;E18)-IF(F18="Court",1,0)</f>
        <v>3</v>
      </c>
      <c r="I18" s="22" t="n">
        <f aca="false">Inputs!$B$10</f>
        <v>2</v>
      </c>
      <c r="J18" s="22" t="str">
        <f aca="false">IF(AND(G18&gt;=1,H18&gt;=I18),"PASS","FAIL")</f>
        <v>PASS</v>
      </c>
      <c r="K18" s="4"/>
      <c r="L18" s="4"/>
      <c r="M18" s="4"/>
      <c r="N18" s="4"/>
    </row>
    <row r="19" customFormat="false" ht="15" hidden="false" customHeight="false" outlineLevel="0" collapsed="false">
      <c r="A19" s="17" t="s">
        <v>331</v>
      </c>
      <c r="B19" s="17" t="s">
        <v>167</v>
      </c>
      <c r="C19" s="17" t="s">
        <v>141</v>
      </c>
      <c r="D19" s="17" t="s">
        <v>137</v>
      </c>
      <c r="E19" s="17"/>
      <c r="F19" s="17"/>
      <c r="G19" s="22" t="n">
        <f aca="false">COUNTIFS('Role Enclaves'!$D$7:$D$42,B19,'Role Enclaves'!$E$7:$E$42,C19,'Role Enclaves'!$B$7:$B$42,"&lt;&gt;"&amp;D19,'Role Enclaves'!$C$7:$C$42,"&lt;&gt;"&amp;E19)-IF(F19=C19,1,0)</f>
        <v>2</v>
      </c>
      <c r="H19" s="22" t="n">
        <f aca="false">COUNTIFS('Court Quorum'!$B$7:$B$24,B19,'Court Quorum'!$C$7:$C$24,"&lt;&gt;"&amp;D19,'Court Quorum'!$D$7:$D$24,"&lt;&gt;"&amp;E19)-IF(F19="Court",1,0)</f>
        <v>3</v>
      </c>
      <c r="I19" s="22" t="n">
        <f aca="false">Inputs!$B$10</f>
        <v>2</v>
      </c>
      <c r="J19" s="22" t="str">
        <f aca="false">IF(AND(G19&gt;=1,H19&gt;=I19),"PASS","FAIL")</f>
        <v>PASS</v>
      </c>
      <c r="K19" s="4"/>
      <c r="L19" s="4"/>
      <c r="M19" s="4"/>
      <c r="N19" s="4"/>
    </row>
    <row r="20" customFormat="false" ht="15" hidden="false" customHeight="false" outlineLevel="0" collapsed="false">
      <c r="A20" s="17" t="s">
        <v>331</v>
      </c>
      <c r="B20" s="17" t="s">
        <v>167</v>
      </c>
      <c r="C20" s="17" t="s">
        <v>145</v>
      </c>
      <c r="D20" s="17" t="s">
        <v>137</v>
      </c>
      <c r="E20" s="17"/>
      <c r="F20" s="17"/>
      <c r="G20" s="22" t="n">
        <f aca="false">COUNTIFS('Role Enclaves'!$D$7:$D$42,B20,'Role Enclaves'!$E$7:$E$42,C20,'Role Enclaves'!$B$7:$B$42,"&lt;&gt;"&amp;D20,'Role Enclaves'!$C$7:$C$42,"&lt;&gt;"&amp;E20)-IF(F20=C20,1,0)</f>
        <v>2</v>
      </c>
      <c r="H20" s="22" t="n">
        <f aca="false">COUNTIFS('Court Quorum'!$B$7:$B$24,B20,'Court Quorum'!$C$7:$C$24,"&lt;&gt;"&amp;D20,'Court Quorum'!$D$7:$D$24,"&lt;&gt;"&amp;E20)-IF(F20="Court",1,0)</f>
        <v>3</v>
      </c>
      <c r="I20" s="22" t="n">
        <f aca="false">Inputs!$B$10</f>
        <v>2</v>
      </c>
      <c r="J20" s="22" t="str">
        <f aca="false">IF(AND(G20&gt;=1,H20&gt;=I20),"PASS","FAIL")</f>
        <v>PASS</v>
      </c>
      <c r="K20" s="4"/>
      <c r="L20" s="4"/>
      <c r="M20" s="4"/>
      <c r="N20" s="4"/>
    </row>
    <row r="21" customFormat="false" ht="15" hidden="false" customHeight="false" outlineLevel="0" collapsed="false">
      <c r="A21" s="17" t="s">
        <v>331</v>
      </c>
      <c r="B21" s="17" t="s">
        <v>167</v>
      </c>
      <c r="C21" s="17" t="s">
        <v>142</v>
      </c>
      <c r="D21" s="17" t="s">
        <v>137</v>
      </c>
      <c r="E21" s="17"/>
      <c r="F21" s="17"/>
      <c r="G21" s="22" t="n">
        <f aca="false">COUNTIFS('Role Enclaves'!$D$7:$D$42,B21,'Role Enclaves'!$E$7:$E$42,C21,'Role Enclaves'!$B$7:$B$42,"&lt;&gt;"&amp;D21,'Role Enclaves'!$C$7:$C$42,"&lt;&gt;"&amp;E21)-IF(F21=C21,1,0)</f>
        <v>2</v>
      </c>
      <c r="H21" s="22" t="n">
        <f aca="false">COUNTIFS('Court Quorum'!$B$7:$B$24,B21,'Court Quorum'!$C$7:$C$24,"&lt;&gt;"&amp;D21,'Court Quorum'!$D$7:$D$24,"&lt;&gt;"&amp;E21)-IF(F21="Court",1,0)</f>
        <v>3</v>
      </c>
      <c r="I21" s="22" t="n">
        <f aca="false">Inputs!$B$10</f>
        <v>2</v>
      </c>
      <c r="J21" s="22" t="str">
        <f aca="false">IF(AND(G21&gt;=1,H21&gt;=I21),"PASS","FAIL")</f>
        <v>PASS</v>
      </c>
      <c r="K21" s="4"/>
      <c r="L21" s="4"/>
      <c r="M21" s="4"/>
      <c r="N21" s="4"/>
    </row>
    <row r="22" customFormat="false" ht="15" hidden="false" customHeight="false" outlineLevel="0" collapsed="false">
      <c r="A22" s="17" t="s">
        <v>331</v>
      </c>
      <c r="B22" s="17" t="s">
        <v>172</v>
      </c>
      <c r="C22" s="17" t="s">
        <v>141</v>
      </c>
      <c r="D22" s="17" t="s">
        <v>137</v>
      </c>
      <c r="E22" s="17"/>
      <c r="F22" s="17"/>
      <c r="G22" s="22" t="n">
        <f aca="false">COUNTIFS('Role Enclaves'!$D$7:$D$42,B22,'Role Enclaves'!$E$7:$E$42,C22,'Role Enclaves'!$B$7:$B$42,"&lt;&gt;"&amp;D22,'Role Enclaves'!$C$7:$C$42,"&lt;&gt;"&amp;E22)-IF(F22=C22,1,0)</f>
        <v>2</v>
      </c>
      <c r="H22" s="22" t="n">
        <f aca="false">COUNTIFS('Court Quorum'!$B$7:$B$24,B22,'Court Quorum'!$C$7:$C$24,"&lt;&gt;"&amp;D22,'Court Quorum'!$D$7:$D$24,"&lt;&gt;"&amp;E22)-IF(F22="Court",1,0)</f>
        <v>3</v>
      </c>
      <c r="I22" s="22" t="n">
        <f aca="false">Inputs!$B$10</f>
        <v>2</v>
      </c>
      <c r="J22" s="22" t="str">
        <f aca="false">IF(AND(G22&gt;=1,H22&gt;=I22),"PASS","FAIL")</f>
        <v>PASS</v>
      </c>
      <c r="K22" s="4"/>
      <c r="L22" s="4"/>
      <c r="M22" s="4"/>
      <c r="N22" s="4"/>
    </row>
    <row r="23" customFormat="false" ht="15" hidden="false" customHeight="false" outlineLevel="0" collapsed="false">
      <c r="A23" s="17" t="s">
        <v>331</v>
      </c>
      <c r="B23" s="17" t="s">
        <v>172</v>
      </c>
      <c r="C23" s="17" t="s">
        <v>145</v>
      </c>
      <c r="D23" s="17" t="s">
        <v>137</v>
      </c>
      <c r="E23" s="17"/>
      <c r="F23" s="17"/>
      <c r="G23" s="22" t="n">
        <f aca="false">COUNTIFS('Role Enclaves'!$D$7:$D$42,B23,'Role Enclaves'!$E$7:$E$42,C23,'Role Enclaves'!$B$7:$B$42,"&lt;&gt;"&amp;D23,'Role Enclaves'!$C$7:$C$42,"&lt;&gt;"&amp;E23)-IF(F23=C23,1,0)</f>
        <v>2</v>
      </c>
      <c r="H23" s="22" t="n">
        <f aca="false">COUNTIFS('Court Quorum'!$B$7:$B$24,B23,'Court Quorum'!$C$7:$C$24,"&lt;&gt;"&amp;D23,'Court Quorum'!$D$7:$D$24,"&lt;&gt;"&amp;E23)-IF(F23="Court",1,0)</f>
        <v>3</v>
      </c>
      <c r="I23" s="22" t="n">
        <f aca="false">Inputs!$B$10</f>
        <v>2</v>
      </c>
      <c r="J23" s="22" t="str">
        <f aca="false">IF(AND(G23&gt;=1,H23&gt;=I23),"PASS","FAIL")</f>
        <v>PASS</v>
      </c>
      <c r="K23" s="4"/>
      <c r="L23" s="4"/>
      <c r="M23" s="4"/>
      <c r="N23" s="4"/>
    </row>
    <row r="24" customFormat="false" ht="15" hidden="false" customHeight="false" outlineLevel="0" collapsed="false">
      <c r="A24" s="17" t="s">
        <v>331</v>
      </c>
      <c r="B24" s="17" t="s">
        <v>172</v>
      </c>
      <c r="C24" s="17" t="s">
        <v>142</v>
      </c>
      <c r="D24" s="17" t="s">
        <v>137</v>
      </c>
      <c r="E24" s="17"/>
      <c r="F24" s="17"/>
      <c r="G24" s="22" t="n">
        <f aca="false">COUNTIFS('Role Enclaves'!$D$7:$D$42,B24,'Role Enclaves'!$E$7:$E$42,C24,'Role Enclaves'!$B$7:$B$42,"&lt;&gt;"&amp;D24,'Role Enclaves'!$C$7:$C$42,"&lt;&gt;"&amp;E24)-IF(F24=C24,1,0)</f>
        <v>2</v>
      </c>
      <c r="H24" s="22" t="n">
        <f aca="false">COUNTIFS('Court Quorum'!$B$7:$B$24,B24,'Court Quorum'!$C$7:$C$24,"&lt;&gt;"&amp;D24,'Court Quorum'!$D$7:$D$24,"&lt;&gt;"&amp;E24)-IF(F24="Court",1,0)</f>
        <v>3</v>
      </c>
      <c r="I24" s="22" t="n">
        <f aca="false">Inputs!$B$10</f>
        <v>2</v>
      </c>
      <c r="J24" s="22" t="str">
        <f aca="false">IF(AND(G24&gt;=1,H24&gt;=I24),"PASS","FAIL")</f>
        <v>PASS</v>
      </c>
      <c r="K24" s="4"/>
      <c r="L24" s="4"/>
      <c r="M24" s="4"/>
      <c r="N24" s="4"/>
    </row>
    <row r="25" customFormat="false" ht="15" hidden="false" customHeight="false" outlineLevel="0" collapsed="false">
      <c r="A25" s="17" t="s">
        <v>333</v>
      </c>
      <c r="B25" s="17" t="s">
        <v>138</v>
      </c>
      <c r="C25" s="17" t="s">
        <v>141</v>
      </c>
      <c r="D25" s="17" t="s">
        <v>143</v>
      </c>
      <c r="E25" s="17"/>
      <c r="F25" s="17"/>
      <c r="G25" s="22" t="n">
        <f aca="false">COUNTIFS('Role Enclaves'!$D$7:$D$42,B25,'Role Enclaves'!$E$7:$E$42,C25,'Role Enclaves'!$B$7:$B$42,"&lt;&gt;"&amp;D25,'Role Enclaves'!$C$7:$C$42,"&lt;&gt;"&amp;E25)-IF(F25=C25,1,0)</f>
        <v>1</v>
      </c>
      <c r="H25" s="22" t="n">
        <f aca="false">COUNTIFS('Court Quorum'!$B$7:$B$24,B25,'Court Quorum'!$C$7:$C$24,"&lt;&gt;"&amp;D25,'Court Quorum'!$D$7:$D$24,"&lt;&gt;"&amp;E25)-IF(F25="Court",1,0)</f>
        <v>2</v>
      </c>
      <c r="I25" s="22" t="n">
        <f aca="false">Inputs!$B$10</f>
        <v>2</v>
      </c>
      <c r="J25" s="22" t="str">
        <f aca="false">IF(AND(G25&gt;=1,H25&gt;=I25),"PASS","FAIL")</f>
        <v>PASS</v>
      </c>
      <c r="K25" s="4"/>
      <c r="L25" s="4"/>
      <c r="M25" s="4"/>
      <c r="N25" s="4"/>
    </row>
    <row r="26" customFormat="false" ht="15" hidden="false" customHeight="false" outlineLevel="0" collapsed="false">
      <c r="A26" s="17" t="s">
        <v>333</v>
      </c>
      <c r="B26" s="17" t="s">
        <v>138</v>
      </c>
      <c r="C26" s="17" t="s">
        <v>145</v>
      </c>
      <c r="D26" s="17" t="s">
        <v>143</v>
      </c>
      <c r="E26" s="17"/>
      <c r="F26" s="17"/>
      <c r="G26" s="22" t="n">
        <f aca="false">COUNTIFS('Role Enclaves'!$D$7:$D$42,B26,'Role Enclaves'!$E$7:$E$42,C26,'Role Enclaves'!$B$7:$B$42,"&lt;&gt;"&amp;D26,'Role Enclaves'!$C$7:$C$42,"&lt;&gt;"&amp;E26)-IF(F26=C26,1,0)</f>
        <v>1</v>
      </c>
      <c r="H26" s="22" t="n">
        <f aca="false">COUNTIFS('Court Quorum'!$B$7:$B$24,B26,'Court Quorum'!$C$7:$C$24,"&lt;&gt;"&amp;D26,'Court Quorum'!$D$7:$D$24,"&lt;&gt;"&amp;E26)-IF(F26="Court",1,0)</f>
        <v>2</v>
      </c>
      <c r="I26" s="22" t="n">
        <f aca="false">Inputs!$B$10</f>
        <v>2</v>
      </c>
      <c r="J26" s="22" t="str">
        <f aca="false">IF(AND(G26&gt;=1,H26&gt;=I26),"PASS","FAIL")</f>
        <v>PASS</v>
      </c>
      <c r="K26" s="4"/>
      <c r="L26" s="4"/>
      <c r="M26" s="4"/>
      <c r="N26" s="4"/>
    </row>
    <row r="27" customFormat="false" ht="15" hidden="false" customHeight="false" outlineLevel="0" collapsed="false">
      <c r="A27" s="17" t="s">
        <v>333</v>
      </c>
      <c r="B27" s="17" t="s">
        <v>138</v>
      </c>
      <c r="C27" s="17" t="s">
        <v>142</v>
      </c>
      <c r="D27" s="17" t="s">
        <v>143</v>
      </c>
      <c r="E27" s="17"/>
      <c r="F27" s="17"/>
      <c r="G27" s="22" t="n">
        <f aca="false">COUNTIFS('Role Enclaves'!$D$7:$D$42,B27,'Role Enclaves'!$E$7:$E$42,C27,'Role Enclaves'!$B$7:$B$42,"&lt;&gt;"&amp;D27,'Role Enclaves'!$C$7:$C$42,"&lt;&gt;"&amp;E27)-IF(F27=C27,1,0)</f>
        <v>2</v>
      </c>
      <c r="H27" s="22" t="n">
        <f aca="false">COUNTIFS('Court Quorum'!$B$7:$B$24,B27,'Court Quorum'!$C$7:$C$24,"&lt;&gt;"&amp;D27,'Court Quorum'!$D$7:$D$24,"&lt;&gt;"&amp;E27)-IF(F27="Court",1,0)</f>
        <v>2</v>
      </c>
      <c r="I27" s="22" t="n">
        <f aca="false">Inputs!$B$10</f>
        <v>2</v>
      </c>
      <c r="J27" s="22" t="str">
        <f aca="false">IF(AND(G27&gt;=1,H27&gt;=I27),"PASS","FAIL")</f>
        <v>PASS</v>
      </c>
      <c r="K27" s="4"/>
      <c r="L27" s="4"/>
      <c r="M27" s="4"/>
      <c r="N27" s="4"/>
    </row>
    <row r="28" customFormat="false" ht="15" hidden="false" customHeight="false" outlineLevel="0" collapsed="false">
      <c r="A28" s="17" t="s">
        <v>333</v>
      </c>
      <c r="B28" s="17" t="s">
        <v>149</v>
      </c>
      <c r="C28" s="17" t="s">
        <v>141</v>
      </c>
      <c r="D28" s="17" t="s">
        <v>143</v>
      </c>
      <c r="E28" s="17"/>
      <c r="F28" s="17"/>
      <c r="G28" s="22" t="n">
        <f aca="false">COUNTIFS('Role Enclaves'!$D$7:$D$42,B28,'Role Enclaves'!$E$7:$E$42,C28,'Role Enclaves'!$B$7:$B$42,"&lt;&gt;"&amp;D28,'Role Enclaves'!$C$7:$C$42,"&lt;&gt;"&amp;E28)-IF(F28=C28,1,0)</f>
        <v>2</v>
      </c>
      <c r="H28" s="22" t="n">
        <f aca="false">COUNTIFS('Court Quorum'!$B$7:$B$24,B28,'Court Quorum'!$C$7:$C$24,"&lt;&gt;"&amp;D28,'Court Quorum'!$D$7:$D$24,"&lt;&gt;"&amp;E28)-IF(F28="Court",1,0)</f>
        <v>3</v>
      </c>
      <c r="I28" s="22" t="n">
        <f aca="false">Inputs!$B$10</f>
        <v>2</v>
      </c>
      <c r="J28" s="22" t="str">
        <f aca="false">IF(AND(G28&gt;=1,H28&gt;=I28),"PASS","FAIL")</f>
        <v>PASS</v>
      </c>
      <c r="K28" s="4"/>
      <c r="L28" s="4"/>
      <c r="M28" s="4"/>
      <c r="N28" s="4"/>
    </row>
    <row r="29" customFormat="false" ht="15" hidden="false" customHeight="false" outlineLevel="0" collapsed="false">
      <c r="A29" s="17" t="s">
        <v>333</v>
      </c>
      <c r="B29" s="17" t="s">
        <v>149</v>
      </c>
      <c r="C29" s="17" t="s">
        <v>145</v>
      </c>
      <c r="D29" s="17" t="s">
        <v>143</v>
      </c>
      <c r="E29" s="17"/>
      <c r="F29" s="17"/>
      <c r="G29" s="22" t="n">
        <f aca="false">COUNTIFS('Role Enclaves'!$D$7:$D$42,B29,'Role Enclaves'!$E$7:$E$42,C29,'Role Enclaves'!$B$7:$B$42,"&lt;&gt;"&amp;D29,'Role Enclaves'!$C$7:$C$42,"&lt;&gt;"&amp;E29)-IF(F29=C29,1,0)</f>
        <v>2</v>
      </c>
      <c r="H29" s="22" t="n">
        <f aca="false">COUNTIFS('Court Quorum'!$B$7:$B$24,B29,'Court Quorum'!$C$7:$C$24,"&lt;&gt;"&amp;D29,'Court Quorum'!$D$7:$D$24,"&lt;&gt;"&amp;E29)-IF(F29="Court",1,0)</f>
        <v>3</v>
      </c>
      <c r="I29" s="22" t="n">
        <f aca="false">Inputs!$B$10</f>
        <v>2</v>
      </c>
      <c r="J29" s="22" t="str">
        <f aca="false">IF(AND(G29&gt;=1,H29&gt;=I29),"PASS","FAIL")</f>
        <v>PASS</v>
      </c>
      <c r="K29" s="4"/>
      <c r="L29" s="4"/>
      <c r="M29" s="4"/>
      <c r="N29" s="4"/>
    </row>
    <row r="30" customFormat="false" ht="15" hidden="false" customHeight="false" outlineLevel="0" collapsed="false">
      <c r="A30" s="17" t="s">
        <v>333</v>
      </c>
      <c r="B30" s="17" t="s">
        <v>149</v>
      </c>
      <c r="C30" s="17" t="s">
        <v>142</v>
      </c>
      <c r="D30" s="17" t="s">
        <v>143</v>
      </c>
      <c r="E30" s="17"/>
      <c r="F30" s="17"/>
      <c r="G30" s="22" t="n">
        <f aca="false">COUNTIFS('Role Enclaves'!$D$7:$D$42,B30,'Role Enclaves'!$E$7:$E$42,C30,'Role Enclaves'!$B$7:$B$42,"&lt;&gt;"&amp;D30,'Role Enclaves'!$C$7:$C$42,"&lt;&gt;"&amp;E30)-IF(F30=C30,1,0)</f>
        <v>2</v>
      </c>
      <c r="H30" s="22" t="n">
        <f aca="false">COUNTIFS('Court Quorum'!$B$7:$B$24,B30,'Court Quorum'!$C$7:$C$24,"&lt;&gt;"&amp;D30,'Court Quorum'!$D$7:$D$24,"&lt;&gt;"&amp;E30)-IF(F30="Court",1,0)</f>
        <v>3</v>
      </c>
      <c r="I30" s="22" t="n">
        <f aca="false">Inputs!$B$10</f>
        <v>2</v>
      </c>
      <c r="J30" s="22" t="str">
        <f aca="false">IF(AND(G30&gt;=1,H30&gt;=I30),"PASS","FAIL")</f>
        <v>PASS</v>
      </c>
      <c r="K30" s="4"/>
      <c r="L30" s="4"/>
      <c r="M30" s="4"/>
      <c r="N30" s="4"/>
    </row>
    <row r="31" customFormat="false" ht="15" hidden="false" customHeight="false" outlineLevel="0" collapsed="false">
      <c r="A31" s="17" t="s">
        <v>333</v>
      </c>
      <c r="B31" s="17" t="s">
        <v>157</v>
      </c>
      <c r="C31" s="17" t="s">
        <v>141</v>
      </c>
      <c r="D31" s="17" t="s">
        <v>143</v>
      </c>
      <c r="E31" s="17"/>
      <c r="F31" s="17"/>
      <c r="G31" s="22" t="n">
        <f aca="false">COUNTIFS('Role Enclaves'!$D$7:$D$42,B31,'Role Enclaves'!$E$7:$E$42,C31,'Role Enclaves'!$B$7:$B$42,"&lt;&gt;"&amp;D31,'Role Enclaves'!$C$7:$C$42,"&lt;&gt;"&amp;E31)-IF(F31=C31,1,0)</f>
        <v>2</v>
      </c>
      <c r="H31" s="22" t="n">
        <f aca="false">COUNTIFS('Court Quorum'!$B$7:$B$24,B31,'Court Quorum'!$C$7:$C$24,"&lt;&gt;"&amp;D31,'Court Quorum'!$D$7:$D$24,"&lt;&gt;"&amp;E31)-IF(F31="Court",1,0)</f>
        <v>3</v>
      </c>
      <c r="I31" s="22" t="n">
        <f aca="false">Inputs!$B$10</f>
        <v>2</v>
      </c>
      <c r="J31" s="22" t="str">
        <f aca="false">IF(AND(G31&gt;=1,H31&gt;=I31),"PASS","FAIL")</f>
        <v>PASS</v>
      </c>
      <c r="K31" s="4"/>
      <c r="L31" s="4"/>
      <c r="M31" s="4"/>
      <c r="N31" s="4"/>
    </row>
    <row r="32" customFormat="false" ht="15" hidden="false" customHeight="false" outlineLevel="0" collapsed="false">
      <c r="A32" s="17" t="s">
        <v>333</v>
      </c>
      <c r="B32" s="17" t="s">
        <v>157</v>
      </c>
      <c r="C32" s="17" t="s">
        <v>145</v>
      </c>
      <c r="D32" s="17" t="s">
        <v>143</v>
      </c>
      <c r="E32" s="17"/>
      <c r="F32" s="17"/>
      <c r="G32" s="22" t="n">
        <f aca="false">COUNTIFS('Role Enclaves'!$D$7:$D$42,B32,'Role Enclaves'!$E$7:$E$42,C32,'Role Enclaves'!$B$7:$B$42,"&lt;&gt;"&amp;D32,'Role Enclaves'!$C$7:$C$42,"&lt;&gt;"&amp;E32)-IF(F32=C32,1,0)</f>
        <v>2</v>
      </c>
      <c r="H32" s="22" t="n">
        <f aca="false">COUNTIFS('Court Quorum'!$B$7:$B$24,B32,'Court Quorum'!$C$7:$C$24,"&lt;&gt;"&amp;D32,'Court Quorum'!$D$7:$D$24,"&lt;&gt;"&amp;E32)-IF(F32="Court",1,0)</f>
        <v>3</v>
      </c>
      <c r="I32" s="22" t="n">
        <f aca="false">Inputs!$B$10</f>
        <v>2</v>
      </c>
      <c r="J32" s="22" t="str">
        <f aca="false">IF(AND(G32&gt;=1,H32&gt;=I32),"PASS","FAIL")</f>
        <v>PASS</v>
      </c>
      <c r="K32" s="4"/>
      <c r="L32" s="4"/>
      <c r="M32" s="4"/>
      <c r="N32" s="4"/>
    </row>
    <row r="33" customFormat="false" ht="15" hidden="false" customHeight="false" outlineLevel="0" collapsed="false">
      <c r="A33" s="17" t="s">
        <v>333</v>
      </c>
      <c r="B33" s="17" t="s">
        <v>157</v>
      </c>
      <c r="C33" s="17" t="s">
        <v>142</v>
      </c>
      <c r="D33" s="17" t="s">
        <v>143</v>
      </c>
      <c r="E33" s="17"/>
      <c r="F33" s="17"/>
      <c r="G33" s="22" t="n">
        <f aca="false">COUNTIFS('Role Enclaves'!$D$7:$D$42,B33,'Role Enclaves'!$E$7:$E$42,C33,'Role Enclaves'!$B$7:$B$42,"&lt;&gt;"&amp;D33,'Role Enclaves'!$C$7:$C$42,"&lt;&gt;"&amp;E33)-IF(F33=C33,1,0)</f>
        <v>2</v>
      </c>
      <c r="H33" s="22" t="n">
        <f aca="false">COUNTIFS('Court Quorum'!$B$7:$B$24,B33,'Court Quorum'!$C$7:$C$24,"&lt;&gt;"&amp;D33,'Court Quorum'!$D$7:$D$24,"&lt;&gt;"&amp;E33)-IF(F33="Court",1,0)</f>
        <v>3</v>
      </c>
      <c r="I33" s="22" t="n">
        <f aca="false">Inputs!$B$10</f>
        <v>2</v>
      </c>
      <c r="J33" s="22" t="str">
        <f aca="false">IF(AND(G33&gt;=1,H33&gt;=I33),"PASS","FAIL")</f>
        <v>PASS</v>
      </c>
      <c r="K33" s="4"/>
      <c r="L33" s="4"/>
      <c r="M33" s="4"/>
      <c r="N33" s="4"/>
    </row>
    <row r="34" customFormat="false" ht="15" hidden="false" customHeight="false" outlineLevel="0" collapsed="false">
      <c r="A34" s="17" t="s">
        <v>333</v>
      </c>
      <c r="B34" s="17" t="s">
        <v>162</v>
      </c>
      <c r="C34" s="17" t="s">
        <v>141</v>
      </c>
      <c r="D34" s="17" t="s">
        <v>143</v>
      </c>
      <c r="E34" s="17"/>
      <c r="F34" s="17"/>
      <c r="G34" s="22" t="n">
        <f aca="false">COUNTIFS('Role Enclaves'!$D$7:$D$42,B34,'Role Enclaves'!$E$7:$E$42,C34,'Role Enclaves'!$B$7:$B$42,"&lt;&gt;"&amp;D34,'Role Enclaves'!$C$7:$C$42,"&lt;&gt;"&amp;E34)-IF(F34=C34,1,0)</f>
        <v>2</v>
      </c>
      <c r="H34" s="22" t="n">
        <f aca="false">COUNTIFS('Court Quorum'!$B$7:$B$24,B34,'Court Quorum'!$C$7:$C$24,"&lt;&gt;"&amp;D34,'Court Quorum'!$D$7:$D$24,"&lt;&gt;"&amp;E34)-IF(F34="Court",1,0)</f>
        <v>3</v>
      </c>
      <c r="I34" s="22" t="n">
        <f aca="false">Inputs!$B$10</f>
        <v>2</v>
      </c>
      <c r="J34" s="22" t="str">
        <f aca="false">IF(AND(G34&gt;=1,H34&gt;=I34),"PASS","FAIL")</f>
        <v>PASS</v>
      </c>
      <c r="K34" s="4"/>
      <c r="L34" s="4"/>
      <c r="M34" s="4"/>
      <c r="N34" s="4"/>
    </row>
    <row r="35" customFormat="false" ht="15" hidden="false" customHeight="false" outlineLevel="0" collapsed="false">
      <c r="A35" s="17" t="s">
        <v>333</v>
      </c>
      <c r="B35" s="17" t="s">
        <v>162</v>
      </c>
      <c r="C35" s="17" t="s">
        <v>145</v>
      </c>
      <c r="D35" s="17" t="s">
        <v>143</v>
      </c>
      <c r="E35" s="17"/>
      <c r="F35" s="17"/>
      <c r="G35" s="22" t="n">
        <f aca="false">COUNTIFS('Role Enclaves'!$D$7:$D$42,B35,'Role Enclaves'!$E$7:$E$42,C35,'Role Enclaves'!$B$7:$B$42,"&lt;&gt;"&amp;D35,'Role Enclaves'!$C$7:$C$42,"&lt;&gt;"&amp;E35)-IF(F35=C35,1,0)</f>
        <v>2</v>
      </c>
      <c r="H35" s="22" t="n">
        <f aca="false">COUNTIFS('Court Quorum'!$B$7:$B$24,B35,'Court Quorum'!$C$7:$C$24,"&lt;&gt;"&amp;D35,'Court Quorum'!$D$7:$D$24,"&lt;&gt;"&amp;E35)-IF(F35="Court",1,0)</f>
        <v>3</v>
      </c>
      <c r="I35" s="22" t="n">
        <f aca="false">Inputs!$B$10</f>
        <v>2</v>
      </c>
      <c r="J35" s="22" t="str">
        <f aca="false">IF(AND(G35&gt;=1,H35&gt;=I35),"PASS","FAIL")</f>
        <v>PASS</v>
      </c>
      <c r="K35" s="4"/>
      <c r="L35" s="4"/>
      <c r="M35" s="4"/>
      <c r="N35" s="4"/>
    </row>
    <row r="36" customFormat="false" ht="15" hidden="false" customHeight="false" outlineLevel="0" collapsed="false">
      <c r="A36" s="17" t="s">
        <v>333</v>
      </c>
      <c r="B36" s="17" t="s">
        <v>162</v>
      </c>
      <c r="C36" s="17" t="s">
        <v>142</v>
      </c>
      <c r="D36" s="17" t="s">
        <v>143</v>
      </c>
      <c r="E36" s="17"/>
      <c r="F36" s="17"/>
      <c r="G36" s="22" t="n">
        <f aca="false">COUNTIFS('Role Enclaves'!$D$7:$D$42,B36,'Role Enclaves'!$E$7:$E$42,C36,'Role Enclaves'!$B$7:$B$42,"&lt;&gt;"&amp;D36,'Role Enclaves'!$C$7:$C$42,"&lt;&gt;"&amp;E36)-IF(F36=C36,1,0)</f>
        <v>2</v>
      </c>
      <c r="H36" s="22" t="n">
        <f aca="false">COUNTIFS('Court Quorum'!$B$7:$B$24,B36,'Court Quorum'!$C$7:$C$24,"&lt;&gt;"&amp;D36,'Court Quorum'!$D$7:$D$24,"&lt;&gt;"&amp;E36)-IF(F36="Court",1,0)</f>
        <v>3</v>
      </c>
      <c r="I36" s="22" t="n">
        <f aca="false">Inputs!$B$10</f>
        <v>2</v>
      </c>
      <c r="J36" s="22" t="str">
        <f aca="false">IF(AND(G36&gt;=1,H36&gt;=I36),"PASS","FAIL")</f>
        <v>PASS</v>
      </c>
      <c r="K36" s="4"/>
      <c r="L36" s="4"/>
      <c r="M36" s="4"/>
      <c r="N36" s="4"/>
    </row>
    <row r="37" customFormat="false" ht="15" hidden="false" customHeight="false" outlineLevel="0" collapsed="false">
      <c r="A37" s="17" t="s">
        <v>333</v>
      </c>
      <c r="B37" s="17" t="s">
        <v>167</v>
      </c>
      <c r="C37" s="17" t="s">
        <v>141</v>
      </c>
      <c r="D37" s="17" t="s">
        <v>143</v>
      </c>
      <c r="E37" s="17"/>
      <c r="F37" s="17"/>
      <c r="G37" s="22" t="n">
        <f aca="false">COUNTIFS('Role Enclaves'!$D$7:$D$42,B37,'Role Enclaves'!$E$7:$E$42,C37,'Role Enclaves'!$B$7:$B$42,"&lt;&gt;"&amp;D37,'Role Enclaves'!$C$7:$C$42,"&lt;&gt;"&amp;E37)-IF(F37=C37,1,0)</f>
        <v>2</v>
      </c>
      <c r="H37" s="22" t="n">
        <f aca="false">COUNTIFS('Court Quorum'!$B$7:$B$24,B37,'Court Quorum'!$C$7:$C$24,"&lt;&gt;"&amp;D37,'Court Quorum'!$D$7:$D$24,"&lt;&gt;"&amp;E37)-IF(F37="Court",1,0)</f>
        <v>3</v>
      </c>
      <c r="I37" s="22" t="n">
        <f aca="false">Inputs!$B$10</f>
        <v>2</v>
      </c>
      <c r="J37" s="22" t="str">
        <f aca="false">IF(AND(G37&gt;=1,H37&gt;=I37),"PASS","FAIL")</f>
        <v>PASS</v>
      </c>
      <c r="K37" s="4"/>
      <c r="L37" s="4"/>
      <c r="M37" s="4"/>
      <c r="N37" s="4"/>
    </row>
    <row r="38" customFormat="false" ht="15" hidden="false" customHeight="false" outlineLevel="0" collapsed="false">
      <c r="A38" s="17" t="s">
        <v>333</v>
      </c>
      <c r="B38" s="17" t="s">
        <v>167</v>
      </c>
      <c r="C38" s="17" t="s">
        <v>145</v>
      </c>
      <c r="D38" s="17" t="s">
        <v>143</v>
      </c>
      <c r="E38" s="17"/>
      <c r="F38" s="17"/>
      <c r="G38" s="22" t="n">
        <f aca="false">COUNTIFS('Role Enclaves'!$D$7:$D$42,B38,'Role Enclaves'!$E$7:$E$42,C38,'Role Enclaves'!$B$7:$B$42,"&lt;&gt;"&amp;D38,'Role Enclaves'!$C$7:$C$42,"&lt;&gt;"&amp;E38)-IF(F38=C38,1,0)</f>
        <v>2</v>
      </c>
      <c r="H38" s="22" t="n">
        <f aca="false">COUNTIFS('Court Quorum'!$B$7:$B$24,B38,'Court Quorum'!$C$7:$C$24,"&lt;&gt;"&amp;D38,'Court Quorum'!$D$7:$D$24,"&lt;&gt;"&amp;E38)-IF(F38="Court",1,0)</f>
        <v>3</v>
      </c>
      <c r="I38" s="22" t="n">
        <f aca="false">Inputs!$B$10</f>
        <v>2</v>
      </c>
      <c r="J38" s="22" t="str">
        <f aca="false">IF(AND(G38&gt;=1,H38&gt;=I38),"PASS","FAIL")</f>
        <v>PASS</v>
      </c>
      <c r="K38" s="4"/>
      <c r="L38" s="4"/>
      <c r="M38" s="4"/>
      <c r="N38" s="4"/>
    </row>
    <row r="39" customFormat="false" ht="15" hidden="false" customHeight="false" outlineLevel="0" collapsed="false">
      <c r="A39" s="17" t="s">
        <v>333</v>
      </c>
      <c r="B39" s="17" t="s">
        <v>167</v>
      </c>
      <c r="C39" s="17" t="s">
        <v>142</v>
      </c>
      <c r="D39" s="17" t="s">
        <v>143</v>
      </c>
      <c r="E39" s="17"/>
      <c r="F39" s="17"/>
      <c r="G39" s="22" t="n">
        <f aca="false">COUNTIFS('Role Enclaves'!$D$7:$D$42,B39,'Role Enclaves'!$E$7:$E$42,C39,'Role Enclaves'!$B$7:$B$42,"&lt;&gt;"&amp;D39,'Role Enclaves'!$C$7:$C$42,"&lt;&gt;"&amp;E39)-IF(F39=C39,1,0)</f>
        <v>2</v>
      </c>
      <c r="H39" s="22" t="n">
        <f aca="false">COUNTIFS('Court Quorum'!$B$7:$B$24,B39,'Court Quorum'!$C$7:$C$24,"&lt;&gt;"&amp;D39,'Court Quorum'!$D$7:$D$24,"&lt;&gt;"&amp;E39)-IF(F39="Court",1,0)</f>
        <v>3</v>
      </c>
      <c r="I39" s="22" t="n">
        <f aca="false">Inputs!$B$10</f>
        <v>2</v>
      </c>
      <c r="J39" s="22" t="str">
        <f aca="false">IF(AND(G39&gt;=1,H39&gt;=I39),"PASS","FAIL")</f>
        <v>PASS</v>
      </c>
      <c r="K39" s="4"/>
      <c r="L39" s="4"/>
      <c r="M39" s="4"/>
      <c r="N39" s="4"/>
    </row>
    <row r="40" customFormat="false" ht="15" hidden="false" customHeight="false" outlineLevel="0" collapsed="false">
      <c r="A40" s="17" t="s">
        <v>333</v>
      </c>
      <c r="B40" s="17" t="s">
        <v>172</v>
      </c>
      <c r="C40" s="17" t="s">
        <v>141</v>
      </c>
      <c r="D40" s="17" t="s">
        <v>143</v>
      </c>
      <c r="E40" s="17"/>
      <c r="F40" s="17"/>
      <c r="G40" s="22" t="n">
        <f aca="false">COUNTIFS('Role Enclaves'!$D$7:$D$42,B40,'Role Enclaves'!$E$7:$E$42,C40,'Role Enclaves'!$B$7:$B$42,"&lt;&gt;"&amp;D40,'Role Enclaves'!$C$7:$C$42,"&lt;&gt;"&amp;E40)-IF(F40=C40,1,0)</f>
        <v>2</v>
      </c>
      <c r="H40" s="22" t="n">
        <f aca="false">COUNTIFS('Court Quorum'!$B$7:$B$24,B40,'Court Quorum'!$C$7:$C$24,"&lt;&gt;"&amp;D40,'Court Quorum'!$D$7:$D$24,"&lt;&gt;"&amp;E40)-IF(F40="Court",1,0)</f>
        <v>3</v>
      </c>
      <c r="I40" s="22" t="n">
        <f aca="false">Inputs!$B$10</f>
        <v>2</v>
      </c>
      <c r="J40" s="22" t="str">
        <f aca="false">IF(AND(G40&gt;=1,H40&gt;=I40),"PASS","FAIL")</f>
        <v>PASS</v>
      </c>
      <c r="K40" s="4"/>
      <c r="L40" s="4"/>
      <c r="M40" s="4"/>
      <c r="N40" s="4"/>
    </row>
    <row r="41" customFormat="false" ht="15" hidden="false" customHeight="false" outlineLevel="0" collapsed="false">
      <c r="A41" s="17" t="s">
        <v>333</v>
      </c>
      <c r="B41" s="17" t="s">
        <v>172</v>
      </c>
      <c r="C41" s="17" t="s">
        <v>145</v>
      </c>
      <c r="D41" s="17" t="s">
        <v>143</v>
      </c>
      <c r="E41" s="17"/>
      <c r="F41" s="17"/>
      <c r="G41" s="22" t="n">
        <f aca="false">COUNTIFS('Role Enclaves'!$D$7:$D$42,B41,'Role Enclaves'!$E$7:$E$42,C41,'Role Enclaves'!$B$7:$B$42,"&lt;&gt;"&amp;D41,'Role Enclaves'!$C$7:$C$42,"&lt;&gt;"&amp;E41)-IF(F41=C41,1,0)</f>
        <v>2</v>
      </c>
      <c r="H41" s="22" t="n">
        <f aca="false">COUNTIFS('Court Quorum'!$B$7:$B$24,B41,'Court Quorum'!$C$7:$C$24,"&lt;&gt;"&amp;D41,'Court Quorum'!$D$7:$D$24,"&lt;&gt;"&amp;E41)-IF(F41="Court",1,0)</f>
        <v>3</v>
      </c>
      <c r="I41" s="22" t="n">
        <f aca="false">Inputs!$B$10</f>
        <v>2</v>
      </c>
      <c r="J41" s="22" t="str">
        <f aca="false">IF(AND(G41&gt;=1,H41&gt;=I41),"PASS","FAIL")</f>
        <v>PASS</v>
      </c>
      <c r="K41" s="4"/>
      <c r="L41" s="4"/>
      <c r="M41" s="4"/>
      <c r="N41" s="4"/>
    </row>
    <row r="42" customFormat="false" ht="15" hidden="false" customHeight="false" outlineLevel="0" collapsed="false">
      <c r="A42" s="17" t="s">
        <v>333</v>
      </c>
      <c r="B42" s="17" t="s">
        <v>172</v>
      </c>
      <c r="C42" s="17" t="s">
        <v>142</v>
      </c>
      <c r="D42" s="17" t="s">
        <v>143</v>
      </c>
      <c r="E42" s="17"/>
      <c r="F42" s="17"/>
      <c r="G42" s="22" t="n">
        <f aca="false">COUNTIFS('Role Enclaves'!$D$7:$D$42,B42,'Role Enclaves'!$E$7:$E$42,C42,'Role Enclaves'!$B$7:$B$42,"&lt;&gt;"&amp;D42,'Role Enclaves'!$C$7:$C$42,"&lt;&gt;"&amp;E42)-IF(F42=C42,1,0)</f>
        <v>2</v>
      </c>
      <c r="H42" s="22" t="n">
        <f aca="false">COUNTIFS('Court Quorum'!$B$7:$B$24,B42,'Court Quorum'!$C$7:$C$24,"&lt;&gt;"&amp;D42,'Court Quorum'!$D$7:$D$24,"&lt;&gt;"&amp;E42)-IF(F42="Court",1,0)</f>
        <v>3</v>
      </c>
      <c r="I42" s="22" t="n">
        <f aca="false">Inputs!$B$10</f>
        <v>2</v>
      </c>
      <c r="J42" s="22" t="str">
        <f aca="false">IF(AND(G42&gt;=1,H42&gt;=I42),"PASS","FAIL")</f>
        <v>PASS</v>
      </c>
      <c r="K42" s="4"/>
      <c r="L42" s="4"/>
      <c r="M42" s="4"/>
      <c r="N42" s="4"/>
    </row>
    <row r="43" customFormat="false" ht="15" hidden="false" customHeight="false" outlineLevel="0" collapsed="false">
      <c r="A43" s="17" t="s">
        <v>334</v>
      </c>
      <c r="B43" s="17" t="s">
        <v>138</v>
      </c>
      <c r="C43" s="17" t="s">
        <v>141</v>
      </c>
      <c r="D43" s="17" t="s">
        <v>146</v>
      </c>
      <c r="E43" s="17"/>
      <c r="F43" s="17"/>
      <c r="G43" s="22" t="n">
        <f aca="false">COUNTIFS('Role Enclaves'!$D$7:$D$42,B43,'Role Enclaves'!$E$7:$E$42,C43,'Role Enclaves'!$B$7:$B$42,"&lt;&gt;"&amp;D43,'Role Enclaves'!$C$7:$C$42,"&lt;&gt;"&amp;E43)-IF(F43=C43,1,0)</f>
        <v>2</v>
      </c>
      <c r="H43" s="22" t="n">
        <f aca="false">COUNTIFS('Court Quorum'!$B$7:$B$24,B43,'Court Quorum'!$C$7:$C$24,"&lt;&gt;"&amp;D43,'Court Quorum'!$D$7:$D$24,"&lt;&gt;"&amp;E43)-IF(F43="Court",1,0)</f>
        <v>2</v>
      </c>
      <c r="I43" s="22" t="n">
        <f aca="false">Inputs!$B$10</f>
        <v>2</v>
      </c>
      <c r="J43" s="22" t="str">
        <f aca="false">IF(AND(G43&gt;=1,H43&gt;=I43),"PASS","FAIL")</f>
        <v>PASS</v>
      </c>
      <c r="K43" s="4"/>
      <c r="L43" s="4"/>
      <c r="M43" s="4"/>
      <c r="N43" s="4"/>
    </row>
    <row r="44" customFormat="false" ht="15" hidden="false" customHeight="false" outlineLevel="0" collapsed="false">
      <c r="A44" s="17" t="s">
        <v>334</v>
      </c>
      <c r="B44" s="17" t="s">
        <v>138</v>
      </c>
      <c r="C44" s="17" t="s">
        <v>145</v>
      </c>
      <c r="D44" s="17" t="s">
        <v>146</v>
      </c>
      <c r="E44" s="17"/>
      <c r="F44" s="17"/>
      <c r="G44" s="22" t="n">
        <f aca="false">COUNTIFS('Role Enclaves'!$D$7:$D$42,B44,'Role Enclaves'!$E$7:$E$42,C44,'Role Enclaves'!$B$7:$B$42,"&lt;&gt;"&amp;D44,'Role Enclaves'!$C$7:$C$42,"&lt;&gt;"&amp;E44)-IF(F44=C44,1,0)</f>
        <v>1</v>
      </c>
      <c r="H44" s="22" t="n">
        <f aca="false">COUNTIFS('Court Quorum'!$B$7:$B$24,B44,'Court Quorum'!$C$7:$C$24,"&lt;&gt;"&amp;D44,'Court Quorum'!$D$7:$D$24,"&lt;&gt;"&amp;E44)-IF(F44="Court",1,0)</f>
        <v>2</v>
      </c>
      <c r="I44" s="22" t="n">
        <f aca="false">Inputs!$B$10</f>
        <v>2</v>
      </c>
      <c r="J44" s="22" t="str">
        <f aca="false">IF(AND(G44&gt;=1,H44&gt;=I44),"PASS","FAIL")</f>
        <v>PASS</v>
      </c>
      <c r="K44" s="4"/>
      <c r="L44" s="4"/>
      <c r="M44" s="4"/>
      <c r="N44" s="4"/>
    </row>
    <row r="45" customFormat="false" ht="15" hidden="false" customHeight="false" outlineLevel="0" collapsed="false">
      <c r="A45" s="17" t="s">
        <v>334</v>
      </c>
      <c r="B45" s="17" t="s">
        <v>138</v>
      </c>
      <c r="C45" s="17" t="s">
        <v>142</v>
      </c>
      <c r="D45" s="17" t="s">
        <v>146</v>
      </c>
      <c r="E45" s="17"/>
      <c r="F45" s="17"/>
      <c r="G45" s="22" t="n">
        <f aca="false">COUNTIFS('Role Enclaves'!$D$7:$D$42,B45,'Role Enclaves'!$E$7:$E$42,C45,'Role Enclaves'!$B$7:$B$42,"&lt;&gt;"&amp;D45,'Role Enclaves'!$C$7:$C$42,"&lt;&gt;"&amp;E45)-IF(F45=C45,1,0)</f>
        <v>1</v>
      </c>
      <c r="H45" s="22" t="n">
        <f aca="false">COUNTIFS('Court Quorum'!$B$7:$B$24,B45,'Court Quorum'!$C$7:$C$24,"&lt;&gt;"&amp;D45,'Court Quorum'!$D$7:$D$24,"&lt;&gt;"&amp;E45)-IF(F45="Court",1,0)</f>
        <v>2</v>
      </c>
      <c r="I45" s="22" t="n">
        <f aca="false">Inputs!$B$10</f>
        <v>2</v>
      </c>
      <c r="J45" s="22" t="str">
        <f aca="false">IF(AND(G45&gt;=1,H45&gt;=I45),"PASS","FAIL")</f>
        <v>PASS</v>
      </c>
      <c r="K45" s="4"/>
      <c r="L45" s="4"/>
      <c r="M45" s="4"/>
      <c r="N45" s="4"/>
    </row>
    <row r="46" customFormat="false" ht="15" hidden="false" customHeight="false" outlineLevel="0" collapsed="false">
      <c r="A46" s="17" t="s">
        <v>334</v>
      </c>
      <c r="B46" s="17" t="s">
        <v>149</v>
      </c>
      <c r="C46" s="17" t="s">
        <v>141</v>
      </c>
      <c r="D46" s="17" t="s">
        <v>146</v>
      </c>
      <c r="E46" s="17"/>
      <c r="F46" s="17"/>
      <c r="G46" s="22" t="n">
        <f aca="false">COUNTIFS('Role Enclaves'!$D$7:$D$42,B46,'Role Enclaves'!$E$7:$E$42,C46,'Role Enclaves'!$B$7:$B$42,"&lt;&gt;"&amp;D46,'Role Enclaves'!$C$7:$C$42,"&lt;&gt;"&amp;E46)-IF(F46=C46,1,0)</f>
        <v>2</v>
      </c>
      <c r="H46" s="22" t="n">
        <f aca="false">COUNTIFS('Court Quorum'!$B$7:$B$24,B46,'Court Quorum'!$C$7:$C$24,"&lt;&gt;"&amp;D46,'Court Quorum'!$D$7:$D$24,"&lt;&gt;"&amp;E46)-IF(F46="Court",1,0)</f>
        <v>3</v>
      </c>
      <c r="I46" s="22" t="n">
        <f aca="false">Inputs!$B$10</f>
        <v>2</v>
      </c>
      <c r="J46" s="22" t="str">
        <f aca="false">IF(AND(G46&gt;=1,H46&gt;=I46),"PASS","FAIL")</f>
        <v>PASS</v>
      </c>
      <c r="K46" s="4"/>
      <c r="L46" s="4"/>
      <c r="M46" s="4"/>
      <c r="N46" s="4"/>
    </row>
    <row r="47" customFormat="false" ht="15" hidden="false" customHeight="false" outlineLevel="0" collapsed="false">
      <c r="A47" s="17" t="s">
        <v>334</v>
      </c>
      <c r="B47" s="17" t="s">
        <v>149</v>
      </c>
      <c r="C47" s="17" t="s">
        <v>145</v>
      </c>
      <c r="D47" s="17" t="s">
        <v>146</v>
      </c>
      <c r="E47" s="17"/>
      <c r="F47" s="17"/>
      <c r="G47" s="22" t="n">
        <f aca="false">COUNTIFS('Role Enclaves'!$D$7:$D$42,B47,'Role Enclaves'!$E$7:$E$42,C47,'Role Enclaves'!$B$7:$B$42,"&lt;&gt;"&amp;D47,'Role Enclaves'!$C$7:$C$42,"&lt;&gt;"&amp;E47)-IF(F47=C47,1,0)</f>
        <v>2</v>
      </c>
      <c r="H47" s="22" t="n">
        <f aca="false">COUNTIFS('Court Quorum'!$B$7:$B$24,B47,'Court Quorum'!$C$7:$C$24,"&lt;&gt;"&amp;D47,'Court Quorum'!$D$7:$D$24,"&lt;&gt;"&amp;E47)-IF(F47="Court",1,0)</f>
        <v>3</v>
      </c>
      <c r="I47" s="22" t="n">
        <f aca="false">Inputs!$B$10</f>
        <v>2</v>
      </c>
      <c r="J47" s="22" t="str">
        <f aca="false">IF(AND(G47&gt;=1,H47&gt;=I47),"PASS","FAIL")</f>
        <v>PASS</v>
      </c>
      <c r="K47" s="4"/>
      <c r="L47" s="4"/>
      <c r="M47" s="4"/>
      <c r="N47" s="4"/>
    </row>
    <row r="48" customFormat="false" ht="15" hidden="false" customHeight="false" outlineLevel="0" collapsed="false">
      <c r="A48" s="17" t="s">
        <v>334</v>
      </c>
      <c r="B48" s="17" t="s">
        <v>149</v>
      </c>
      <c r="C48" s="17" t="s">
        <v>142</v>
      </c>
      <c r="D48" s="17" t="s">
        <v>146</v>
      </c>
      <c r="E48" s="17"/>
      <c r="F48" s="17"/>
      <c r="G48" s="22" t="n">
        <f aca="false">COUNTIFS('Role Enclaves'!$D$7:$D$42,B48,'Role Enclaves'!$E$7:$E$42,C48,'Role Enclaves'!$B$7:$B$42,"&lt;&gt;"&amp;D48,'Role Enclaves'!$C$7:$C$42,"&lt;&gt;"&amp;E48)-IF(F48=C48,1,0)</f>
        <v>2</v>
      </c>
      <c r="H48" s="22" t="n">
        <f aca="false">COUNTIFS('Court Quorum'!$B$7:$B$24,B48,'Court Quorum'!$C$7:$C$24,"&lt;&gt;"&amp;D48,'Court Quorum'!$D$7:$D$24,"&lt;&gt;"&amp;E48)-IF(F48="Court",1,0)</f>
        <v>3</v>
      </c>
      <c r="I48" s="22" t="n">
        <f aca="false">Inputs!$B$10</f>
        <v>2</v>
      </c>
      <c r="J48" s="22" t="str">
        <f aca="false">IF(AND(G48&gt;=1,H48&gt;=I48),"PASS","FAIL")</f>
        <v>PASS</v>
      </c>
      <c r="K48" s="4"/>
      <c r="L48" s="4"/>
      <c r="M48" s="4"/>
      <c r="N48" s="4"/>
    </row>
    <row r="49" customFormat="false" ht="15" hidden="false" customHeight="false" outlineLevel="0" collapsed="false">
      <c r="A49" s="17" t="s">
        <v>334</v>
      </c>
      <c r="B49" s="17" t="s">
        <v>157</v>
      </c>
      <c r="C49" s="17" t="s">
        <v>141</v>
      </c>
      <c r="D49" s="17" t="s">
        <v>146</v>
      </c>
      <c r="E49" s="17"/>
      <c r="F49" s="17"/>
      <c r="G49" s="22" t="n">
        <f aca="false">COUNTIFS('Role Enclaves'!$D$7:$D$42,B49,'Role Enclaves'!$E$7:$E$42,C49,'Role Enclaves'!$B$7:$B$42,"&lt;&gt;"&amp;D49,'Role Enclaves'!$C$7:$C$42,"&lt;&gt;"&amp;E49)-IF(F49=C49,1,0)</f>
        <v>2</v>
      </c>
      <c r="H49" s="22" t="n">
        <f aca="false">COUNTIFS('Court Quorum'!$B$7:$B$24,B49,'Court Quorum'!$C$7:$C$24,"&lt;&gt;"&amp;D49,'Court Quorum'!$D$7:$D$24,"&lt;&gt;"&amp;E49)-IF(F49="Court",1,0)</f>
        <v>3</v>
      </c>
      <c r="I49" s="22" t="n">
        <f aca="false">Inputs!$B$10</f>
        <v>2</v>
      </c>
      <c r="J49" s="22" t="str">
        <f aca="false">IF(AND(G49&gt;=1,H49&gt;=I49),"PASS","FAIL")</f>
        <v>PASS</v>
      </c>
      <c r="K49" s="4"/>
      <c r="L49" s="4"/>
      <c r="M49" s="4"/>
      <c r="N49" s="4"/>
    </row>
    <row r="50" customFormat="false" ht="15" hidden="false" customHeight="false" outlineLevel="0" collapsed="false">
      <c r="A50" s="17" t="s">
        <v>334</v>
      </c>
      <c r="B50" s="17" t="s">
        <v>157</v>
      </c>
      <c r="C50" s="17" t="s">
        <v>145</v>
      </c>
      <c r="D50" s="17" t="s">
        <v>146</v>
      </c>
      <c r="E50" s="17"/>
      <c r="F50" s="17"/>
      <c r="G50" s="22" t="n">
        <f aca="false">COUNTIFS('Role Enclaves'!$D$7:$D$42,B50,'Role Enclaves'!$E$7:$E$42,C50,'Role Enclaves'!$B$7:$B$42,"&lt;&gt;"&amp;D50,'Role Enclaves'!$C$7:$C$42,"&lt;&gt;"&amp;E50)-IF(F50=C50,1,0)</f>
        <v>2</v>
      </c>
      <c r="H50" s="22" t="n">
        <f aca="false">COUNTIFS('Court Quorum'!$B$7:$B$24,B50,'Court Quorum'!$C$7:$C$24,"&lt;&gt;"&amp;D50,'Court Quorum'!$D$7:$D$24,"&lt;&gt;"&amp;E50)-IF(F50="Court",1,0)</f>
        <v>3</v>
      </c>
      <c r="I50" s="22" t="n">
        <f aca="false">Inputs!$B$10</f>
        <v>2</v>
      </c>
      <c r="J50" s="22" t="str">
        <f aca="false">IF(AND(G50&gt;=1,H50&gt;=I50),"PASS","FAIL")</f>
        <v>PASS</v>
      </c>
      <c r="K50" s="4"/>
      <c r="L50" s="4"/>
      <c r="M50" s="4"/>
      <c r="N50" s="4"/>
    </row>
    <row r="51" customFormat="false" ht="15" hidden="false" customHeight="false" outlineLevel="0" collapsed="false">
      <c r="A51" s="17" t="s">
        <v>334</v>
      </c>
      <c r="B51" s="17" t="s">
        <v>157</v>
      </c>
      <c r="C51" s="17" t="s">
        <v>142</v>
      </c>
      <c r="D51" s="17" t="s">
        <v>146</v>
      </c>
      <c r="E51" s="17"/>
      <c r="F51" s="17"/>
      <c r="G51" s="22" t="n">
        <f aca="false">COUNTIFS('Role Enclaves'!$D$7:$D$42,B51,'Role Enclaves'!$E$7:$E$42,C51,'Role Enclaves'!$B$7:$B$42,"&lt;&gt;"&amp;D51,'Role Enclaves'!$C$7:$C$42,"&lt;&gt;"&amp;E51)-IF(F51=C51,1,0)</f>
        <v>2</v>
      </c>
      <c r="H51" s="22" t="n">
        <f aca="false">COUNTIFS('Court Quorum'!$B$7:$B$24,B51,'Court Quorum'!$C$7:$C$24,"&lt;&gt;"&amp;D51,'Court Quorum'!$D$7:$D$24,"&lt;&gt;"&amp;E51)-IF(F51="Court",1,0)</f>
        <v>3</v>
      </c>
      <c r="I51" s="22" t="n">
        <f aca="false">Inputs!$B$10</f>
        <v>2</v>
      </c>
      <c r="J51" s="22" t="str">
        <f aca="false">IF(AND(G51&gt;=1,H51&gt;=I51),"PASS","FAIL")</f>
        <v>PASS</v>
      </c>
      <c r="K51" s="4"/>
      <c r="L51" s="4"/>
      <c r="M51" s="4"/>
      <c r="N51" s="4"/>
    </row>
    <row r="52" customFormat="false" ht="15" hidden="false" customHeight="false" outlineLevel="0" collapsed="false">
      <c r="A52" s="17" t="s">
        <v>334</v>
      </c>
      <c r="B52" s="17" t="s">
        <v>162</v>
      </c>
      <c r="C52" s="17" t="s">
        <v>141</v>
      </c>
      <c r="D52" s="17" t="s">
        <v>146</v>
      </c>
      <c r="E52" s="17"/>
      <c r="F52" s="17"/>
      <c r="G52" s="22" t="n">
        <f aca="false">COUNTIFS('Role Enclaves'!$D$7:$D$42,B52,'Role Enclaves'!$E$7:$E$42,C52,'Role Enclaves'!$B$7:$B$42,"&lt;&gt;"&amp;D52,'Role Enclaves'!$C$7:$C$42,"&lt;&gt;"&amp;E52)-IF(F52=C52,1,0)</f>
        <v>2</v>
      </c>
      <c r="H52" s="22" t="n">
        <f aca="false">COUNTIFS('Court Quorum'!$B$7:$B$24,B52,'Court Quorum'!$C$7:$C$24,"&lt;&gt;"&amp;D52,'Court Quorum'!$D$7:$D$24,"&lt;&gt;"&amp;E52)-IF(F52="Court",1,0)</f>
        <v>3</v>
      </c>
      <c r="I52" s="22" t="n">
        <f aca="false">Inputs!$B$10</f>
        <v>2</v>
      </c>
      <c r="J52" s="22" t="str">
        <f aca="false">IF(AND(G52&gt;=1,H52&gt;=I52),"PASS","FAIL")</f>
        <v>PASS</v>
      </c>
      <c r="K52" s="4"/>
      <c r="L52" s="4"/>
      <c r="M52" s="4"/>
      <c r="N52" s="4"/>
    </row>
    <row r="53" customFormat="false" ht="15" hidden="false" customHeight="false" outlineLevel="0" collapsed="false">
      <c r="A53" s="17" t="s">
        <v>334</v>
      </c>
      <c r="B53" s="17" t="s">
        <v>162</v>
      </c>
      <c r="C53" s="17" t="s">
        <v>145</v>
      </c>
      <c r="D53" s="17" t="s">
        <v>146</v>
      </c>
      <c r="E53" s="17"/>
      <c r="F53" s="17"/>
      <c r="G53" s="22" t="n">
        <f aca="false">COUNTIFS('Role Enclaves'!$D$7:$D$42,B53,'Role Enclaves'!$E$7:$E$42,C53,'Role Enclaves'!$B$7:$B$42,"&lt;&gt;"&amp;D53,'Role Enclaves'!$C$7:$C$42,"&lt;&gt;"&amp;E53)-IF(F53=C53,1,0)</f>
        <v>2</v>
      </c>
      <c r="H53" s="22" t="n">
        <f aca="false">COUNTIFS('Court Quorum'!$B$7:$B$24,B53,'Court Quorum'!$C$7:$C$24,"&lt;&gt;"&amp;D53,'Court Quorum'!$D$7:$D$24,"&lt;&gt;"&amp;E53)-IF(F53="Court",1,0)</f>
        <v>3</v>
      </c>
      <c r="I53" s="22" t="n">
        <f aca="false">Inputs!$B$10</f>
        <v>2</v>
      </c>
      <c r="J53" s="22" t="str">
        <f aca="false">IF(AND(G53&gt;=1,H53&gt;=I53),"PASS","FAIL")</f>
        <v>PASS</v>
      </c>
      <c r="K53" s="4"/>
      <c r="L53" s="4"/>
      <c r="M53" s="4"/>
      <c r="N53" s="4"/>
    </row>
    <row r="54" customFormat="false" ht="15" hidden="false" customHeight="false" outlineLevel="0" collapsed="false">
      <c r="A54" s="17" t="s">
        <v>334</v>
      </c>
      <c r="B54" s="17" t="s">
        <v>162</v>
      </c>
      <c r="C54" s="17" t="s">
        <v>142</v>
      </c>
      <c r="D54" s="17" t="s">
        <v>146</v>
      </c>
      <c r="E54" s="17"/>
      <c r="F54" s="17"/>
      <c r="G54" s="22" t="n">
        <f aca="false">COUNTIFS('Role Enclaves'!$D$7:$D$42,B54,'Role Enclaves'!$E$7:$E$42,C54,'Role Enclaves'!$B$7:$B$42,"&lt;&gt;"&amp;D54,'Role Enclaves'!$C$7:$C$42,"&lt;&gt;"&amp;E54)-IF(F54=C54,1,0)</f>
        <v>2</v>
      </c>
      <c r="H54" s="22" t="n">
        <f aca="false">COUNTIFS('Court Quorum'!$B$7:$B$24,B54,'Court Quorum'!$C$7:$C$24,"&lt;&gt;"&amp;D54,'Court Quorum'!$D$7:$D$24,"&lt;&gt;"&amp;E54)-IF(F54="Court",1,0)</f>
        <v>3</v>
      </c>
      <c r="I54" s="22" t="n">
        <f aca="false">Inputs!$B$10</f>
        <v>2</v>
      </c>
      <c r="J54" s="22" t="str">
        <f aca="false">IF(AND(G54&gt;=1,H54&gt;=I54),"PASS","FAIL")</f>
        <v>PASS</v>
      </c>
      <c r="K54" s="4"/>
      <c r="L54" s="4"/>
      <c r="M54" s="4"/>
      <c r="N54" s="4"/>
    </row>
    <row r="55" customFormat="false" ht="15" hidden="false" customHeight="false" outlineLevel="0" collapsed="false">
      <c r="A55" s="17" t="s">
        <v>334</v>
      </c>
      <c r="B55" s="17" t="s">
        <v>167</v>
      </c>
      <c r="C55" s="17" t="s">
        <v>141</v>
      </c>
      <c r="D55" s="17" t="s">
        <v>146</v>
      </c>
      <c r="E55" s="17"/>
      <c r="F55" s="17"/>
      <c r="G55" s="22" t="n">
        <f aca="false">COUNTIFS('Role Enclaves'!$D$7:$D$42,B55,'Role Enclaves'!$E$7:$E$42,C55,'Role Enclaves'!$B$7:$B$42,"&lt;&gt;"&amp;D55,'Role Enclaves'!$C$7:$C$42,"&lt;&gt;"&amp;E55)-IF(F55=C55,1,0)</f>
        <v>2</v>
      </c>
      <c r="H55" s="22" t="n">
        <f aca="false">COUNTIFS('Court Quorum'!$B$7:$B$24,B55,'Court Quorum'!$C$7:$C$24,"&lt;&gt;"&amp;D55,'Court Quorum'!$D$7:$D$24,"&lt;&gt;"&amp;E55)-IF(F55="Court",1,0)</f>
        <v>3</v>
      </c>
      <c r="I55" s="22" t="n">
        <f aca="false">Inputs!$B$10</f>
        <v>2</v>
      </c>
      <c r="J55" s="22" t="str">
        <f aca="false">IF(AND(G55&gt;=1,H55&gt;=I55),"PASS","FAIL")</f>
        <v>PASS</v>
      </c>
      <c r="K55" s="4"/>
      <c r="L55" s="4"/>
      <c r="M55" s="4"/>
      <c r="N55" s="4"/>
    </row>
    <row r="56" customFormat="false" ht="15" hidden="false" customHeight="false" outlineLevel="0" collapsed="false">
      <c r="A56" s="17" t="s">
        <v>334</v>
      </c>
      <c r="B56" s="17" t="s">
        <v>167</v>
      </c>
      <c r="C56" s="17" t="s">
        <v>145</v>
      </c>
      <c r="D56" s="17" t="s">
        <v>146</v>
      </c>
      <c r="E56" s="17"/>
      <c r="F56" s="17"/>
      <c r="G56" s="22" t="n">
        <f aca="false">COUNTIFS('Role Enclaves'!$D$7:$D$42,B56,'Role Enclaves'!$E$7:$E$42,C56,'Role Enclaves'!$B$7:$B$42,"&lt;&gt;"&amp;D56,'Role Enclaves'!$C$7:$C$42,"&lt;&gt;"&amp;E56)-IF(F56=C56,1,0)</f>
        <v>2</v>
      </c>
      <c r="H56" s="22" t="n">
        <f aca="false">COUNTIFS('Court Quorum'!$B$7:$B$24,B56,'Court Quorum'!$C$7:$C$24,"&lt;&gt;"&amp;D56,'Court Quorum'!$D$7:$D$24,"&lt;&gt;"&amp;E56)-IF(F56="Court",1,0)</f>
        <v>3</v>
      </c>
      <c r="I56" s="22" t="n">
        <f aca="false">Inputs!$B$10</f>
        <v>2</v>
      </c>
      <c r="J56" s="22" t="str">
        <f aca="false">IF(AND(G56&gt;=1,H56&gt;=I56),"PASS","FAIL")</f>
        <v>PASS</v>
      </c>
      <c r="K56" s="4"/>
      <c r="L56" s="4"/>
      <c r="M56" s="4"/>
      <c r="N56" s="4"/>
    </row>
    <row r="57" customFormat="false" ht="15" hidden="false" customHeight="false" outlineLevel="0" collapsed="false">
      <c r="A57" s="17" t="s">
        <v>334</v>
      </c>
      <c r="B57" s="17" t="s">
        <v>167</v>
      </c>
      <c r="C57" s="17" t="s">
        <v>142</v>
      </c>
      <c r="D57" s="17" t="s">
        <v>146</v>
      </c>
      <c r="E57" s="17"/>
      <c r="F57" s="17"/>
      <c r="G57" s="22" t="n">
        <f aca="false">COUNTIFS('Role Enclaves'!$D$7:$D$42,B57,'Role Enclaves'!$E$7:$E$42,C57,'Role Enclaves'!$B$7:$B$42,"&lt;&gt;"&amp;D57,'Role Enclaves'!$C$7:$C$42,"&lt;&gt;"&amp;E57)-IF(F57=C57,1,0)</f>
        <v>2</v>
      </c>
      <c r="H57" s="22" t="n">
        <f aca="false">COUNTIFS('Court Quorum'!$B$7:$B$24,B57,'Court Quorum'!$C$7:$C$24,"&lt;&gt;"&amp;D57,'Court Quorum'!$D$7:$D$24,"&lt;&gt;"&amp;E57)-IF(F57="Court",1,0)</f>
        <v>3</v>
      </c>
      <c r="I57" s="22" t="n">
        <f aca="false">Inputs!$B$10</f>
        <v>2</v>
      </c>
      <c r="J57" s="22" t="str">
        <f aca="false">IF(AND(G57&gt;=1,H57&gt;=I57),"PASS","FAIL")</f>
        <v>PASS</v>
      </c>
      <c r="K57" s="4"/>
      <c r="L57" s="4"/>
      <c r="M57" s="4"/>
      <c r="N57" s="4"/>
    </row>
    <row r="58" customFormat="false" ht="15" hidden="false" customHeight="false" outlineLevel="0" collapsed="false">
      <c r="A58" s="17" t="s">
        <v>334</v>
      </c>
      <c r="B58" s="17" t="s">
        <v>172</v>
      </c>
      <c r="C58" s="17" t="s">
        <v>141</v>
      </c>
      <c r="D58" s="17" t="s">
        <v>146</v>
      </c>
      <c r="E58" s="17"/>
      <c r="F58" s="17"/>
      <c r="G58" s="22" t="n">
        <f aca="false">COUNTIFS('Role Enclaves'!$D$7:$D$42,B58,'Role Enclaves'!$E$7:$E$42,C58,'Role Enclaves'!$B$7:$B$42,"&lt;&gt;"&amp;D58,'Role Enclaves'!$C$7:$C$42,"&lt;&gt;"&amp;E58)-IF(F58=C58,1,0)</f>
        <v>2</v>
      </c>
      <c r="H58" s="22" t="n">
        <f aca="false">COUNTIFS('Court Quorum'!$B$7:$B$24,B58,'Court Quorum'!$C$7:$C$24,"&lt;&gt;"&amp;D58,'Court Quorum'!$D$7:$D$24,"&lt;&gt;"&amp;E58)-IF(F58="Court",1,0)</f>
        <v>3</v>
      </c>
      <c r="I58" s="22" t="n">
        <f aca="false">Inputs!$B$10</f>
        <v>2</v>
      </c>
      <c r="J58" s="22" t="str">
        <f aca="false">IF(AND(G58&gt;=1,H58&gt;=I58),"PASS","FAIL")</f>
        <v>PASS</v>
      </c>
      <c r="K58" s="4"/>
      <c r="L58" s="4"/>
      <c r="M58" s="4"/>
      <c r="N58" s="4"/>
    </row>
    <row r="59" customFormat="false" ht="15" hidden="false" customHeight="false" outlineLevel="0" collapsed="false">
      <c r="A59" s="17" t="s">
        <v>334</v>
      </c>
      <c r="B59" s="17" t="s">
        <v>172</v>
      </c>
      <c r="C59" s="17" t="s">
        <v>145</v>
      </c>
      <c r="D59" s="17" t="s">
        <v>146</v>
      </c>
      <c r="E59" s="17"/>
      <c r="F59" s="17"/>
      <c r="G59" s="22" t="n">
        <f aca="false">COUNTIFS('Role Enclaves'!$D$7:$D$42,B59,'Role Enclaves'!$E$7:$E$42,C59,'Role Enclaves'!$B$7:$B$42,"&lt;&gt;"&amp;D59,'Role Enclaves'!$C$7:$C$42,"&lt;&gt;"&amp;E59)-IF(F59=C59,1,0)</f>
        <v>2</v>
      </c>
      <c r="H59" s="22" t="n">
        <f aca="false">COUNTIFS('Court Quorum'!$B$7:$B$24,B59,'Court Quorum'!$C$7:$C$24,"&lt;&gt;"&amp;D59,'Court Quorum'!$D$7:$D$24,"&lt;&gt;"&amp;E59)-IF(F59="Court",1,0)</f>
        <v>3</v>
      </c>
      <c r="I59" s="22" t="n">
        <f aca="false">Inputs!$B$10</f>
        <v>2</v>
      </c>
      <c r="J59" s="22" t="str">
        <f aca="false">IF(AND(G59&gt;=1,H59&gt;=I59),"PASS","FAIL")</f>
        <v>PASS</v>
      </c>
      <c r="K59" s="4"/>
      <c r="L59" s="4"/>
      <c r="M59" s="4"/>
      <c r="N59" s="4"/>
    </row>
    <row r="60" customFormat="false" ht="15" hidden="false" customHeight="false" outlineLevel="0" collapsed="false">
      <c r="A60" s="17" t="s">
        <v>334</v>
      </c>
      <c r="B60" s="17" t="s">
        <v>172</v>
      </c>
      <c r="C60" s="17" t="s">
        <v>142</v>
      </c>
      <c r="D60" s="17" t="s">
        <v>146</v>
      </c>
      <c r="E60" s="17"/>
      <c r="F60" s="17"/>
      <c r="G60" s="22" t="n">
        <f aca="false">COUNTIFS('Role Enclaves'!$D$7:$D$42,B60,'Role Enclaves'!$E$7:$E$42,C60,'Role Enclaves'!$B$7:$B$42,"&lt;&gt;"&amp;D60,'Role Enclaves'!$C$7:$C$42,"&lt;&gt;"&amp;E60)-IF(F60=C60,1,0)</f>
        <v>2</v>
      </c>
      <c r="H60" s="22" t="n">
        <f aca="false">COUNTIFS('Court Quorum'!$B$7:$B$24,B60,'Court Quorum'!$C$7:$C$24,"&lt;&gt;"&amp;D60,'Court Quorum'!$D$7:$D$24,"&lt;&gt;"&amp;E60)-IF(F60="Court",1,0)</f>
        <v>3</v>
      </c>
      <c r="I60" s="22" t="n">
        <f aca="false">Inputs!$B$10</f>
        <v>2</v>
      </c>
      <c r="J60" s="22" t="str">
        <f aca="false">IF(AND(G60&gt;=1,H60&gt;=I60),"PASS","FAIL")</f>
        <v>PASS</v>
      </c>
      <c r="K60" s="4"/>
      <c r="L60" s="4"/>
      <c r="M60" s="4"/>
      <c r="N60" s="4"/>
    </row>
    <row r="61" customFormat="false" ht="15" hidden="false" customHeight="false" outlineLevel="0" collapsed="false">
      <c r="A61" s="17" t="s">
        <v>335</v>
      </c>
      <c r="B61" s="17" t="s">
        <v>138</v>
      </c>
      <c r="C61" s="17" t="s">
        <v>141</v>
      </c>
      <c r="D61" s="17" t="s">
        <v>148</v>
      </c>
      <c r="E61" s="17"/>
      <c r="F61" s="17"/>
      <c r="G61" s="22" t="n">
        <f aca="false">COUNTIFS('Role Enclaves'!$D$7:$D$42,B61,'Role Enclaves'!$E$7:$E$42,C61,'Role Enclaves'!$B$7:$B$42,"&lt;&gt;"&amp;D61,'Role Enclaves'!$C$7:$C$42,"&lt;&gt;"&amp;E61)-IF(F61=C61,1,0)</f>
        <v>2</v>
      </c>
      <c r="H61" s="22" t="n">
        <f aca="false">COUNTIFS('Court Quorum'!$B$7:$B$24,B61,'Court Quorum'!$C$7:$C$24,"&lt;&gt;"&amp;D61,'Court Quorum'!$D$7:$D$24,"&lt;&gt;"&amp;E61)-IF(F61="Court",1,0)</f>
        <v>3</v>
      </c>
      <c r="I61" s="22" t="n">
        <f aca="false">Inputs!$B$10</f>
        <v>2</v>
      </c>
      <c r="J61" s="22" t="str">
        <f aca="false">IF(AND(G61&gt;=1,H61&gt;=I61),"PASS","FAIL")</f>
        <v>PASS</v>
      </c>
      <c r="K61" s="4"/>
      <c r="L61" s="4"/>
      <c r="M61" s="4"/>
      <c r="N61" s="4"/>
    </row>
    <row r="62" customFormat="false" ht="15" hidden="false" customHeight="false" outlineLevel="0" collapsed="false">
      <c r="A62" s="17" t="s">
        <v>335</v>
      </c>
      <c r="B62" s="17" t="s">
        <v>138</v>
      </c>
      <c r="C62" s="17" t="s">
        <v>145</v>
      </c>
      <c r="D62" s="17" t="s">
        <v>148</v>
      </c>
      <c r="E62" s="17"/>
      <c r="F62" s="17"/>
      <c r="G62" s="22" t="n">
        <f aca="false">COUNTIFS('Role Enclaves'!$D$7:$D$42,B62,'Role Enclaves'!$E$7:$E$42,C62,'Role Enclaves'!$B$7:$B$42,"&lt;&gt;"&amp;D62,'Role Enclaves'!$C$7:$C$42,"&lt;&gt;"&amp;E62)-IF(F62=C62,1,0)</f>
        <v>2</v>
      </c>
      <c r="H62" s="22" t="n">
        <f aca="false">COUNTIFS('Court Quorum'!$B$7:$B$24,B62,'Court Quorum'!$C$7:$C$24,"&lt;&gt;"&amp;D62,'Court Quorum'!$D$7:$D$24,"&lt;&gt;"&amp;E62)-IF(F62="Court",1,0)</f>
        <v>3</v>
      </c>
      <c r="I62" s="22" t="n">
        <f aca="false">Inputs!$B$10</f>
        <v>2</v>
      </c>
      <c r="J62" s="22" t="str">
        <f aca="false">IF(AND(G62&gt;=1,H62&gt;=I62),"PASS","FAIL")</f>
        <v>PASS</v>
      </c>
      <c r="K62" s="4"/>
      <c r="L62" s="4"/>
      <c r="M62" s="4"/>
      <c r="N62" s="4"/>
    </row>
    <row r="63" customFormat="false" ht="15" hidden="false" customHeight="false" outlineLevel="0" collapsed="false">
      <c r="A63" s="17" t="s">
        <v>335</v>
      </c>
      <c r="B63" s="17" t="s">
        <v>138</v>
      </c>
      <c r="C63" s="17" t="s">
        <v>142</v>
      </c>
      <c r="D63" s="17" t="s">
        <v>148</v>
      </c>
      <c r="E63" s="17"/>
      <c r="F63" s="17"/>
      <c r="G63" s="22" t="n">
        <f aca="false">COUNTIFS('Role Enclaves'!$D$7:$D$42,B63,'Role Enclaves'!$E$7:$E$42,C63,'Role Enclaves'!$B$7:$B$42,"&lt;&gt;"&amp;D63,'Role Enclaves'!$C$7:$C$42,"&lt;&gt;"&amp;E63)-IF(F63=C63,1,0)</f>
        <v>2</v>
      </c>
      <c r="H63" s="22" t="n">
        <f aca="false">COUNTIFS('Court Quorum'!$B$7:$B$24,B63,'Court Quorum'!$C$7:$C$24,"&lt;&gt;"&amp;D63,'Court Quorum'!$D$7:$D$24,"&lt;&gt;"&amp;E63)-IF(F63="Court",1,0)</f>
        <v>3</v>
      </c>
      <c r="I63" s="22" t="n">
        <f aca="false">Inputs!$B$10</f>
        <v>2</v>
      </c>
      <c r="J63" s="22" t="str">
        <f aca="false">IF(AND(G63&gt;=1,H63&gt;=I63),"PASS","FAIL")</f>
        <v>PASS</v>
      </c>
      <c r="K63" s="4"/>
      <c r="L63" s="4"/>
      <c r="M63" s="4"/>
      <c r="N63" s="4"/>
    </row>
    <row r="64" customFormat="false" ht="15" hidden="false" customHeight="false" outlineLevel="0" collapsed="false">
      <c r="A64" s="17" t="s">
        <v>335</v>
      </c>
      <c r="B64" s="17" t="s">
        <v>149</v>
      </c>
      <c r="C64" s="17" t="s">
        <v>141</v>
      </c>
      <c r="D64" s="17" t="s">
        <v>148</v>
      </c>
      <c r="E64" s="17"/>
      <c r="F64" s="17"/>
      <c r="G64" s="22" t="n">
        <f aca="false">COUNTIFS('Role Enclaves'!$D$7:$D$42,B64,'Role Enclaves'!$E$7:$E$42,C64,'Role Enclaves'!$B$7:$B$42,"&lt;&gt;"&amp;D64,'Role Enclaves'!$C$7:$C$42,"&lt;&gt;"&amp;E64)-IF(F64=C64,1,0)</f>
        <v>1</v>
      </c>
      <c r="H64" s="22" t="n">
        <f aca="false">COUNTIFS('Court Quorum'!$B$7:$B$24,B64,'Court Quorum'!$C$7:$C$24,"&lt;&gt;"&amp;D64,'Court Quorum'!$D$7:$D$24,"&lt;&gt;"&amp;E64)-IF(F64="Court",1,0)</f>
        <v>2</v>
      </c>
      <c r="I64" s="22" t="n">
        <f aca="false">Inputs!$B$10</f>
        <v>2</v>
      </c>
      <c r="J64" s="22" t="str">
        <f aca="false">IF(AND(G64&gt;=1,H64&gt;=I64),"PASS","FAIL")</f>
        <v>PASS</v>
      </c>
      <c r="K64" s="4"/>
      <c r="L64" s="4"/>
      <c r="M64" s="4"/>
      <c r="N64" s="4"/>
    </row>
    <row r="65" customFormat="false" ht="15" hidden="false" customHeight="false" outlineLevel="0" collapsed="false">
      <c r="A65" s="17" t="s">
        <v>335</v>
      </c>
      <c r="B65" s="17" t="s">
        <v>149</v>
      </c>
      <c r="C65" s="17" t="s">
        <v>145</v>
      </c>
      <c r="D65" s="17" t="s">
        <v>148</v>
      </c>
      <c r="E65" s="17"/>
      <c r="F65" s="17"/>
      <c r="G65" s="22" t="n">
        <f aca="false">COUNTIFS('Role Enclaves'!$D$7:$D$42,B65,'Role Enclaves'!$E$7:$E$42,C65,'Role Enclaves'!$B$7:$B$42,"&lt;&gt;"&amp;D65,'Role Enclaves'!$C$7:$C$42,"&lt;&gt;"&amp;E65)-IF(F65=C65,1,0)</f>
        <v>2</v>
      </c>
      <c r="H65" s="22" t="n">
        <f aca="false">COUNTIFS('Court Quorum'!$B$7:$B$24,B65,'Court Quorum'!$C$7:$C$24,"&lt;&gt;"&amp;D65,'Court Quorum'!$D$7:$D$24,"&lt;&gt;"&amp;E65)-IF(F65="Court",1,0)</f>
        <v>2</v>
      </c>
      <c r="I65" s="22" t="n">
        <f aca="false">Inputs!$B$10</f>
        <v>2</v>
      </c>
      <c r="J65" s="22" t="str">
        <f aca="false">IF(AND(G65&gt;=1,H65&gt;=I65),"PASS","FAIL")</f>
        <v>PASS</v>
      </c>
      <c r="K65" s="4"/>
      <c r="L65" s="4"/>
      <c r="M65" s="4"/>
      <c r="N65" s="4"/>
    </row>
    <row r="66" customFormat="false" ht="15" hidden="false" customHeight="false" outlineLevel="0" collapsed="false">
      <c r="A66" s="17" t="s">
        <v>335</v>
      </c>
      <c r="B66" s="17" t="s">
        <v>149</v>
      </c>
      <c r="C66" s="17" t="s">
        <v>142</v>
      </c>
      <c r="D66" s="17" t="s">
        <v>148</v>
      </c>
      <c r="E66" s="17"/>
      <c r="F66" s="17"/>
      <c r="G66" s="22" t="n">
        <f aca="false">COUNTIFS('Role Enclaves'!$D$7:$D$42,B66,'Role Enclaves'!$E$7:$E$42,C66,'Role Enclaves'!$B$7:$B$42,"&lt;&gt;"&amp;D66,'Role Enclaves'!$C$7:$C$42,"&lt;&gt;"&amp;E66)-IF(F66=C66,1,0)</f>
        <v>1</v>
      </c>
      <c r="H66" s="22" t="n">
        <f aca="false">COUNTIFS('Court Quorum'!$B$7:$B$24,B66,'Court Quorum'!$C$7:$C$24,"&lt;&gt;"&amp;D66,'Court Quorum'!$D$7:$D$24,"&lt;&gt;"&amp;E66)-IF(F66="Court",1,0)</f>
        <v>2</v>
      </c>
      <c r="I66" s="22" t="n">
        <f aca="false">Inputs!$B$10</f>
        <v>2</v>
      </c>
      <c r="J66" s="22" t="str">
        <f aca="false">IF(AND(G66&gt;=1,H66&gt;=I66),"PASS","FAIL")</f>
        <v>PASS</v>
      </c>
      <c r="K66" s="4"/>
      <c r="L66" s="4"/>
      <c r="M66" s="4"/>
      <c r="N66" s="4"/>
    </row>
    <row r="67" customFormat="false" ht="15" hidden="false" customHeight="false" outlineLevel="0" collapsed="false">
      <c r="A67" s="17" t="s">
        <v>335</v>
      </c>
      <c r="B67" s="17" t="s">
        <v>157</v>
      </c>
      <c r="C67" s="17" t="s">
        <v>141</v>
      </c>
      <c r="D67" s="17" t="s">
        <v>148</v>
      </c>
      <c r="E67" s="17"/>
      <c r="F67" s="17"/>
      <c r="G67" s="22" t="n">
        <f aca="false">COUNTIFS('Role Enclaves'!$D$7:$D$42,B67,'Role Enclaves'!$E$7:$E$42,C67,'Role Enclaves'!$B$7:$B$42,"&lt;&gt;"&amp;D67,'Role Enclaves'!$C$7:$C$42,"&lt;&gt;"&amp;E67)-IF(F67=C67,1,0)</f>
        <v>2</v>
      </c>
      <c r="H67" s="22" t="n">
        <f aca="false">COUNTIFS('Court Quorum'!$B$7:$B$24,B67,'Court Quorum'!$C$7:$C$24,"&lt;&gt;"&amp;D67,'Court Quorum'!$D$7:$D$24,"&lt;&gt;"&amp;E67)-IF(F67="Court",1,0)</f>
        <v>3</v>
      </c>
      <c r="I67" s="22" t="n">
        <f aca="false">Inputs!$B$10</f>
        <v>2</v>
      </c>
      <c r="J67" s="22" t="str">
        <f aca="false">IF(AND(G67&gt;=1,H67&gt;=I67),"PASS","FAIL")</f>
        <v>PASS</v>
      </c>
      <c r="K67" s="4"/>
      <c r="L67" s="4"/>
      <c r="M67" s="4"/>
      <c r="N67" s="4"/>
    </row>
    <row r="68" customFormat="false" ht="15" hidden="false" customHeight="false" outlineLevel="0" collapsed="false">
      <c r="A68" s="17" t="s">
        <v>335</v>
      </c>
      <c r="B68" s="17" t="s">
        <v>157</v>
      </c>
      <c r="C68" s="17" t="s">
        <v>145</v>
      </c>
      <c r="D68" s="17" t="s">
        <v>148</v>
      </c>
      <c r="E68" s="17"/>
      <c r="F68" s="17"/>
      <c r="G68" s="22" t="n">
        <f aca="false">COUNTIFS('Role Enclaves'!$D$7:$D$42,B68,'Role Enclaves'!$E$7:$E$42,C68,'Role Enclaves'!$B$7:$B$42,"&lt;&gt;"&amp;D68,'Role Enclaves'!$C$7:$C$42,"&lt;&gt;"&amp;E68)-IF(F68=C68,1,0)</f>
        <v>2</v>
      </c>
      <c r="H68" s="22" t="n">
        <f aca="false">COUNTIFS('Court Quorum'!$B$7:$B$24,B68,'Court Quorum'!$C$7:$C$24,"&lt;&gt;"&amp;D68,'Court Quorum'!$D$7:$D$24,"&lt;&gt;"&amp;E68)-IF(F68="Court",1,0)</f>
        <v>3</v>
      </c>
      <c r="I68" s="22" t="n">
        <f aca="false">Inputs!$B$10</f>
        <v>2</v>
      </c>
      <c r="J68" s="22" t="str">
        <f aca="false">IF(AND(G68&gt;=1,H68&gt;=I68),"PASS","FAIL")</f>
        <v>PASS</v>
      </c>
      <c r="K68" s="4"/>
      <c r="L68" s="4"/>
      <c r="M68" s="4"/>
      <c r="N68" s="4"/>
    </row>
    <row r="69" customFormat="false" ht="15" hidden="false" customHeight="false" outlineLevel="0" collapsed="false">
      <c r="A69" s="17" t="s">
        <v>335</v>
      </c>
      <c r="B69" s="17" t="s">
        <v>157</v>
      </c>
      <c r="C69" s="17" t="s">
        <v>142</v>
      </c>
      <c r="D69" s="17" t="s">
        <v>148</v>
      </c>
      <c r="E69" s="17"/>
      <c r="F69" s="17"/>
      <c r="G69" s="22" t="n">
        <f aca="false">COUNTIFS('Role Enclaves'!$D$7:$D$42,B69,'Role Enclaves'!$E$7:$E$42,C69,'Role Enclaves'!$B$7:$B$42,"&lt;&gt;"&amp;D69,'Role Enclaves'!$C$7:$C$42,"&lt;&gt;"&amp;E69)-IF(F69=C69,1,0)</f>
        <v>2</v>
      </c>
      <c r="H69" s="22" t="n">
        <f aca="false">COUNTIFS('Court Quorum'!$B$7:$B$24,B69,'Court Quorum'!$C$7:$C$24,"&lt;&gt;"&amp;D69,'Court Quorum'!$D$7:$D$24,"&lt;&gt;"&amp;E69)-IF(F69="Court",1,0)</f>
        <v>3</v>
      </c>
      <c r="I69" s="22" t="n">
        <f aca="false">Inputs!$B$10</f>
        <v>2</v>
      </c>
      <c r="J69" s="22" t="str">
        <f aca="false">IF(AND(G69&gt;=1,H69&gt;=I69),"PASS","FAIL")</f>
        <v>PASS</v>
      </c>
      <c r="K69" s="4"/>
      <c r="L69" s="4"/>
      <c r="M69" s="4"/>
      <c r="N69" s="4"/>
    </row>
    <row r="70" customFormat="false" ht="15" hidden="false" customHeight="false" outlineLevel="0" collapsed="false">
      <c r="A70" s="17" t="s">
        <v>335</v>
      </c>
      <c r="B70" s="17" t="s">
        <v>162</v>
      </c>
      <c r="C70" s="17" t="s">
        <v>141</v>
      </c>
      <c r="D70" s="17" t="s">
        <v>148</v>
      </c>
      <c r="E70" s="17"/>
      <c r="F70" s="17"/>
      <c r="G70" s="22" t="n">
        <f aca="false">COUNTIFS('Role Enclaves'!$D$7:$D$42,B70,'Role Enclaves'!$E$7:$E$42,C70,'Role Enclaves'!$B$7:$B$42,"&lt;&gt;"&amp;D70,'Role Enclaves'!$C$7:$C$42,"&lt;&gt;"&amp;E70)-IF(F70=C70,1,0)</f>
        <v>2</v>
      </c>
      <c r="H70" s="22" t="n">
        <f aca="false">COUNTIFS('Court Quorum'!$B$7:$B$24,B70,'Court Quorum'!$C$7:$C$24,"&lt;&gt;"&amp;D70,'Court Quorum'!$D$7:$D$24,"&lt;&gt;"&amp;E70)-IF(F70="Court",1,0)</f>
        <v>3</v>
      </c>
      <c r="I70" s="22" t="n">
        <f aca="false">Inputs!$B$10</f>
        <v>2</v>
      </c>
      <c r="J70" s="22" t="str">
        <f aca="false">IF(AND(G70&gt;=1,H70&gt;=I70),"PASS","FAIL")</f>
        <v>PASS</v>
      </c>
      <c r="K70" s="4"/>
      <c r="L70" s="4"/>
      <c r="M70" s="4"/>
      <c r="N70" s="4"/>
    </row>
    <row r="71" customFormat="false" ht="15" hidden="false" customHeight="false" outlineLevel="0" collapsed="false">
      <c r="A71" s="17" t="s">
        <v>335</v>
      </c>
      <c r="B71" s="17" t="s">
        <v>162</v>
      </c>
      <c r="C71" s="17" t="s">
        <v>145</v>
      </c>
      <c r="D71" s="17" t="s">
        <v>148</v>
      </c>
      <c r="E71" s="17"/>
      <c r="F71" s="17"/>
      <c r="G71" s="22" t="n">
        <f aca="false">COUNTIFS('Role Enclaves'!$D$7:$D$42,B71,'Role Enclaves'!$E$7:$E$42,C71,'Role Enclaves'!$B$7:$B$42,"&lt;&gt;"&amp;D71,'Role Enclaves'!$C$7:$C$42,"&lt;&gt;"&amp;E71)-IF(F71=C71,1,0)</f>
        <v>2</v>
      </c>
      <c r="H71" s="22" t="n">
        <f aca="false">COUNTIFS('Court Quorum'!$B$7:$B$24,B71,'Court Quorum'!$C$7:$C$24,"&lt;&gt;"&amp;D71,'Court Quorum'!$D$7:$D$24,"&lt;&gt;"&amp;E71)-IF(F71="Court",1,0)</f>
        <v>3</v>
      </c>
      <c r="I71" s="22" t="n">
        <f aca="false">Inputs!$B$10</f>
        <v>2</v>
      </c>
      <c r="J71" s="22" t="str">
        <f aca="false">IF(AND(G71&gt;=1,H71&gt;=I71),"PASS","FAIL")</f>
        <v>PASS</v>
      </c>
      <c r="K71" s="4"/>
      <c r="L71" s="4"/>
      <c r="M71" s="4"/>
      <c r="N71" s="4"/>
    </row>
    <row r="72" customFormat="false" ht="15" hidden="false" customHeight="false" outlineLevel="0" collapsed="false">
      <c r="A72" s="17" t="s">
        <v>335</v>
      </c>
      <c r="B72" s="17" t="s">
        <v>162</v>
      </c>
      <c r="C72" s="17" t="s">
        <v>142</v>
      </c>
      <c r="D72" s="17" t="s">
        <v>148</v>
      </c>
      <c r="E72" s="17"/>
      <c r="F72" s="17"/>
      <c r="G72" s="22" t="n">
        <f aca="false">COUNTIFS('Role Enclaves'!$D$7:$D$42,B72,'Role Enclaves'!$E$7:$E$42,C72,'Role Enclaves'!$B$7:$B$42,"&lt;&gt;"&amp;D72,'Role Enclaves'!$C$7:$C$42,"&lt;&gt;"&amp;E72)-IF(F72=C72,1,0)</f>
        <v>2</v>
      </c>
      <c r="H72" s="22" t="n">
        <f aca="false">COUNTIFS('Court Quorum'!$B$7:$B$24,B72,'Court Quorum'!$C$7:$C$24,"&lt;&gt;"&amp;D72,'Court Quorum'!$D$7:$D$24,"&lt;&gt;"&amp;E72)-IF(F72="Court",1,0)</f>
        <v>3</v>
      </c>
      <c r="I72" s="22" t="n">
        <f aca="false">Inputs!$B$10</f>
        <v>2</v>
      </c>
      <c r="J72" s="22" t="str">
        <f aca="false">IF(AND(G72&gt;=1,H72&gt;=I72),"PASS","FAIL")</f>
        <v>PASS</v>
      </c>
      <c r="K72" s="4"/>
      <c r="L72" s="4"/>
      <c r="M72" s="4"/>
      <c r="N72" s="4"/>
    </row>
    <row r="73" customFormat="false" ht="15" hidden="false" customHeight="false" outlineLevel="0" collapsed="false">
      <c r="A73" s="17" t="s">
        <v>335</v>
      </c>
      <c r="B73" s="17" t="s">
        <v>167</v>
      </c>
      <c r="C73" s="17" t="s">
        <v>141</v>
      </c>
      <c r="D73" s="17" t="s">
        <v>148</v>
      </c>
      <c r="E73" s="17"/>
      <c r="F73" s="17"/>
      <c r="G73" s="22" t="n">
        <f aca="false">COUNTIFS('Role Enclaves'!$D$7:$D$42,B73,'Role Enclaves'!$E$7:$E$42,C73,'Role Enclaves'!$B$7:$B$42,"&lt;&gt;"&amp;D73,'Role Enclaves'!$C$7:$C$42,"&lt;&gt;"&amp;E73)-IF(F73=C73,1,0)</f>
        <v>2</v>
      </c>
      <c r="H73" s="22" t="n">
        <f aca="false">COUNTIFS('Court Quorum'!$B$7:$B$24,B73,'Court Quorum'!$C$7:$C$24,"&lt;&gt;"&amp;D73,'Court Quorum'!$D$7:$D$24,"&lt;&gt;"&amp;E73)-IF(F73="Court",1,0)</f>
        <v>3</v>
      </c>
      <c r="I73" s="22" t="n">
        <f aca="false">Inputs!$B$10</f>
        <v>2</v>
      </c>
      <c r="J73" s="22" t="str">
        <f aca="false">IF(AND(G73&gt;=1,H73&gt;=I73),"PASS","FAIL")</f>
        <v>PASS</v>
      </c>
      <c r="K73" s="4"/>
      <c r="L73" s="4"/>
      <c r="M73" s="4"/>
      <c r="N73" s="4"/>
    </row>
    <row r="74" customFormat="false" ht="15" hidden="false" customHeight="false" outlineLevel="0" collapsed="false">
      <c r="A74" s="17" t="s">
        <v>335</v>
      </c>
      <c r="B74" s="17" t="s">
        <v>167</v>
      </c>
      <c r="C74" s="17" t="s">
        <v>145</v>
      </c>
      <c r="D74" s="17" t="s">
        <v>148</v>
      </c>
      <c r="E74" s="17"/>
      <c r="F74" s="17"/>
      <c r="G74" s="22" t="n">
        <f aca="false">COUNTIFS('Role Enclaves'!$D$7:$D$42,B74,'Role Enclaves'!$E$7:$E$42,C74,'Role Enclaves'!$B$7:$B$42,"&lt;&gt;"&amp;D74,'Role Enclaves'!$C$7:$C$42,"&lt;&gt;"&amp;E74)-IF(F74=C74,1,0)</f>
        <v>2</v>
      </c>
      <c r="H74" s="22" t="n">
        <f aca="false">COUNTIFS('Court Quorum'!$B$7:$B$24,B74,'Court Quorum'!$C$7:$C$24,"&lt;&gt;"&amp;D74,'Court Quorum'!$D$7:$D$24,"&lt;&gt;"&amp;E74)-IF(F74="Court",1,0)</f>
        <v>3</v>
      </c>
      <c r="I74" s="22" t="n">
        <f aca="false">Inputs!$B$10</f>
        <v>2</v>
      </c>
      <c r="J74" s="22" t="str">
        <f aca="false">IF(AND(G74&gt;=1,H74&gt;=I74),"PASS","FAIL")</f>
        <v>PASS</v>
      </c>
      <c r="K74" s="4"/>
      <c r="L74" s="4"/>
      <c r="M74" s="4"/>
      <c r="N74" s="4"/>
    </row>
    <row r="75" customFormat="false" ht="15" hidden="false" customHeight="false" outlineLevel="0" collapsed="false">
      <c r="A75" s="17" t="s">
        <v>335</v>
      </c>
      <c r="B75" s="17" t="s">
        <v>167</v>
      </c>
      <c r="C75" s="17" t="s">
        <v>142</v>
      </c>
      <c r="D75" s="17" t="s">
        <v>148</v>
      </c>
      <c r="E75" s="17"/>
      <c r="F75" s="17"/>
      <c r="G75" s="22" t="n">
        <f aca="false">COUNTIFS('Role Enclaves'!$D$7:$D$42,B75,'Role Enclaves'!$E$7:$E$42,C75,'Role Enclaves'!$B$7:$B$42,"&lt;&gt;"&amp;D75,'Role Enclaves'!$C$7:$C$42,"&lt;&gt;"&amp;E75)-IF(F75=C75,1,0)</f>
        <v>2</v>
      </c>
      <c r="H75" s="22" t="n">
        <f aca="false">COUNTIFS('Court Quorum'!$B$7:$B$24,B75,'Court Quorum'!$C$7:$C$24,"&lt;&gt;"&amp;D75,'Court Quorum'!$D$7:$D$24,"&lt;&gt;"&amp;E75)-IF(F75="Court",1,0)</f>
        <v>3</v>
      </c>
      <c r="I75" s="22" t="n">
        <f aca="false">Inputs!$B$10</f>
        <v>2</v>
      </c>
      <c r="J75" s="22" t="str">
        <f aca="false">IF(AND(G75&gt;=1,H75&gt;=I75),"PASS","FAIL")</f>
        <v>PASS</v>
      </c>
      <c r="K75" s="4"/>
      <c r="L75" s="4"/>
      <c r="M75" s="4"/>
      <c r="N75" s="4"/>
    </row>
    <row r="76" customFormat="false" ht="15" hidden="false" customHeight="false" outlineLevel="0" collapsed="false">
      <c r="A76" s="17" t="s">
        <v>335</v>
      </c>
      <c r="B76" s="17" t="s">
        <v>172</v>
      </c>
      <c r="C76" s="17" t="s">
        <v>141</v>
      </c>
      <c r="D76" s="17" t="s">
        <v>148</v>
      </c>
      <c r="E76" s="17"/>
      <c r="F76" s="17"/>
      <c r="G76" s="22" t="n">
        <f aca="false">COUNTIFS('Role Enclaves'!$D$7:$D$42,B76,'Role Enclaves'!$E$7:$E$42,C76,'Role Enclaves'!$B$7:$B$42,"&lt;&gt;"&amp;D76,'Role Enclaves'!$C$7:$C$42,"&lt;&gt;"&amp;E76)-IF(F76=C76,1,0)</f>
        <v>2</v>
      </c>
      <c r="H76" s="22" t="n">
        <f aca="false">COUNTIFS('Court Quorum'!$B$7:$B$24,B76,'Court Quorum'!$C$7:$C$24,"&lt;&gt;"&amp;D76,'Court Quorum'!$D$7:$D$24,"&lt;&gt;"&amp;E76)-IF(F76="Court",1,0)</f>
        <v>3</v>
      </c>
      <c r="I76" s="22" t="n">
        <f aca="false">Inputs!$B$10</f>
        <v>2</v>
      </c>
      <c r="J76" s="22" t="str">
        <f aca="false">IF(AND(G76&gt;=1,H76&gt;=I76),"PASS","FAIL")</f>
        <v>PASS</v>
      </c>
      <c r="K76" s="4"/>
      <c r="L76" s="4"/>
      <c r="M76" s="4"/>
      <c r="N76" s="4"/>
    </row>
    <row r="77" customFormat="false" ht="15" hidden="false" customHeight="false" outlineLevel="0" collapsed="false">
      <c r="A77" s="17" t="s">
        <v>335</v>
      </c>
      <c r="B77" s="17" t="s">
        <v>172</v>
      </c>
      <c r="C77" s="17" t="s">
        <v>145</v>
      </c>
      <c r="D77" s="17" t="s">
        <v>148</v>
      </c>
      <c r="E77" s="17"/>
      <c r="F77" s="17"/>
      <c r="G77" s="22" t="n">
        <f aca="false">COUNTIFS('Role Enclaves'!$D$7:$D$42,B77,'Role Enclaves'!$E$7:$E$42,C77,'Role Enclaves'!$B$7:$B$42,"&lt;&gt;"&amp;D77,'Role Enclaves'!$C$7:$C$42,"&lt;&gt;"&amp;E77)-IF(F77=C77,1,0)</f>
        <v>2</v>
      </c>
      <c r="H77" s="22" t="n">
        <f aca="false">COUNTIFS('Court Quorum'!$B$7:$B$24,B77,'Court Quorum'!$C$7:$C$24,"&lt;&gt;"&amp;D77,'Court Quorum'!$D$7:$D$24,"&lt;&gt;"&amp;E77)-IF(F77="Court",1,0)</f>
        <v>3</v>
      </c>
      <c r="I77" s="22" t="n">
        <f aca="false">Inputs!$B$10</f>
        <v>2</v>
      </c>
      <c r="J77" s="22" t="str">
        <f aca="false">IF(AND(G77&gt;=1,H77&gt;=I77),"PASS","FAIL")</f>
        <v>PASS</v>
      </c>
      <c r="K77" s="4"/>
      <c r="L77" s="4"/>
      <c r="M77" s="4"/>
      <c r="N77" s="4"/>
    </row>
    <row r="78" customFormat="false" ht="15" hidden="false" customHeight="false" outlineLevel="0" collapsed="false">
      <c r="A78" s="17" t="s">
        <v>335</v>
      </c>
      <c r="B78" s="17" t="s">
        <v>172</v>
      </c>
      <c r="C78" s="17" t="s">
        <v>142</v>
      </c>
      <c r="D78" s="17" t="s">
        <v>148</v>
      </c>
      <c r="E78" s="17"/>
      <c r="F78" s="17"/>
      <c r="G78" s="22" t="n">
        <f aca="false">COUNTIFS('Role Enclaves'!$D$7:$D$42,B78,'Role Enclaves'!$E$7:$E$42,C78,'Role Enclaves'!$B$7:$B$42,"&lt;&gt;"&amp;D78,'Role Enclaves'!$C$7:$C$42,"&lt;&gt;"&amp;E78)-IF(F78=C78,1,0)</f>
        <v>2</v>
      </c>
      <c r="H78" s="22" t="n">
        <f aca="false">COUNTIFS('Court Quorum'!$B$7:$B$24,B78,'Court Quorum'!$C$7:$C$24,"&lt;&gt;"&amp;D78,'Court Quorum'!$D$7:$D$24,"&lt;&gt;"&amp;E78)-IF(F78="Court",1,0)</f>
        <v>3</v>
      </c>
      <c r="I78" s="22" t="n">
        <f aca="false">Inputs!$B$10</f>
        <v>2</v>
      </c>
      <c r="J78" s="22" t="str">
        <f aca="false">IF(AND(G78&gt;=1,H78&gt;=I78),"PASS","FAIL")</f>
        <v>PASS</v>
      </c>
      <c r="K78" s="4"/>
      <c r="L78" s="4"/>
      <c r="M78" s="4"/>
      <c r="N78" s="4"/>
    </row>
    <row r="79" customFormat="false" ht="15" hidden="false" customHeight="false" outlineLevel="0" collapsed="false">
      <c r="A79" s="17" t="s">
        <v>336</v>
      </c>
      <c r="B79" s="17" t="s">
        <v>138</v>
      </c>
      <c r="C79" s="17" t="s">
        <v>141</v>
      </c>
      <c r="D79" s="17" t="s">
        <v>152</v>
      </c>
      <c r="E79" s="17"/>
      <c r="F79" s="17"/>
      <c r="G79" s="22" t="n">
        <f aca="false">COUNTIFS('Role Enclaves'!$D$7:$D$42,B79,'Role Enclaves'!$E$7:$E$42,C79,'Role Enclaves'!$B$7:$B$42,"&lt;&gt;"&amp;D79,'Role Enclaves'!$C$7:$C$42,"&lt;&gt;"&amp;E79)-IF(F79=C79,1,0)</f>
        <v>2</v>
      </c>
      <c r="H79" s="22" t="n">
        <f aca="false">COUNTIFS('Court Quorum'!$B$7:$B$24,B79,'Court Quorum'!$C$7:$C$24,"&lt;&gt;"&amp;D79,'Court Quorum'!$D$7:$D$24,"&lt;&gt;"&amp;E79)-IF(F79="Court",1,0)</f>
        <v>3</v>
      </c>
      <c r="I79" s="22" t="n">
        <f aca="false">Inputs!$B$10</f>
        <v>2</v>
      </c>
      <c r="J79" s="22" t="str">
        <f aca="false">IF(AND(G79&gt;=1,H79&gt;=I79),"PASS","FAIL")</f>
        <v>PASS</v>
      </c>
      <c r="K79" s="4"/>
      <c r="L79" s="4"/>
      <c r="M79" s="4"/>
      <c r="N79" s="4"/>
    </row>
    <row r="80" customFormat="false" ht="15" hidden="false" customHeight="false" outlineLevel="0" collapsed="false">
      <c r="A80" s="17" t="s">
        <v>336</v>
      </c>
      <c r="B80" s="17" t="s">
        <v>138</v>
      </c>
      <c r="C80" s="17" t="s">
        <v>145</v>
      </c>
      <c r="D80" s="17" t="s">
        <v>152</v>
      </c>
      <c r="E80" s="17"/>
      <c r="F80" s="17"/>
      <c r="G80" s="22" t="n">
        <f aca="false">COUNTIFS('Role Enclaves'!$D$7:$D$42,B80,'Role Enclaves'!$E$7:$E$42,C80,'Role Enclaves'!$B$7:$B$42,"&lt;&gt;"&amp;D80,'Role Enclaves'!$C$7:$C$42,"&lt;&gt;"&amp;E80)-IF(F80=C80,1,0)</f>
        <v>2</v>
      </c>
      <c r="H80" s="22" t="n">
        <f aca="false">COUNTIFS('Court Quorum'!$B$7:$B$24,B80,'Court Quorum'!$C$7:$C$24,"&lt;&gt;"&amp;D80,'Court Quorum'!$D$7:$D$24,"&lt;&gt;"&amp;E80)-IF(F80="Court",1,0)</f>
        <v>3</v>
      </c>
      <c r="I80" s="22" t="n">
        <f aca="false">Inputs!$B$10</f>
        <v>2</v>
      </c>
      <c r="J80" s="22" t="str">
        <f aca="false">IF(AND(G80&gt;=1,H80&gt;=I80),"PASS","FAIL")</f>
        <v>PASS</v>
      </c>
      <c r="K80" s="4"/>
      <c r="L80" s="4"/>
      <c r="M80" s="4"/>
      <c r="N80" s="4"/>
    </row>
    <row r="81" customFormat="false" ht="15" hidden="false" customHeight="false" outlineLevel="0" collapsed="false">
      <c r="A81" s="17" t="s">
        <v>336</v>
      </c>
      <c r="B81" s="17" t="s">
        <v>138</v>
      </c>
      <c r="C81" s="17" t="s">
        <v>142</v>
      </c>
      <c r="D81" s="17" t="s">
        <v>152</v>
      </c>
      <c r="E81" s="17"/>
      <c r="F81" s="17"/>
      <c r="G81" s="22" t="n">
        <f aca="false">COUNTIFS('Role Enclaves'!$D$7:$D$42,B81,'Role Enclaves'!$E$7:$E$42,C81,'Role Enclaves'!$B$7:$B$42,"&lt;&gt;"&amp;D81,'Role Enclaves'!$C$7:$C$42,"&lt;&gt;"&amp;E81)-IF(F81=C81,1,0)</f>
        <v>2</v>
      </c>
      <c r="H81" s="22" t="n">
        <f aca="false">COUNTIFS('Court Quorum'!$B$7:$B$24,B81,'Court Quorum'!$C$7:$C$24,"&lt;&gt;"&amp;D81,'Court Quorum'!$D$7:$D$24,"&lt;&gt;"&amp;E81)-IF(F81="Court",1,0)</f>
        <v>3</v>
      </c>
      <c r="I81" s="22" t="n">
        <f aca="false">Inputs!$B$10</f>
        <v>2</v>
      </c>
      <c r="J81" s="22" t="str">
        <f aca="false">IF(AND(G81&gt;=1,H81&gt;=I81),"PASS","FAIL")</f>
        <v>PASS</v>
      </c>
      <c r="K81" s="4"/>
      <c r="L81" s="4"/>
      <c r="M81" s="4"/>
      <c r="N81" s="4"/>
    </row>
    <row r="82" customFormat="false" ht="15" hidden="false" customHeight="false" outlineLevel="0" collapsed="false">
      <c r="A82" s="17" t="s">
        <v>336</v>
      </c>
      <c r="B82" s="17" t="s">
        <v>149</v>
      </c>
      <c r="C82" s="17" t="s">
        <v>141</v>
      </c>
      <c r="D82" s="17" t="s">
        <v>152</v>
      </c>
      <c r="E82" s="17"/>
      <c r="F82" s="17"/>
      <c r="G82" s="22" t="n">
        <f aca="false">COUNTIFS('Role Enclaves'!$D$7:$D$42,B82,'Role Enclaves'!$E$7:$E$42,C82,'Role Enclaves'!$B$7:$B$42,"&lt;&gt;"&amp;D82,'Role Enclaves'!$C$7:$C$42,"&lt;&gt;"&amp;E82)-IF(F82=C82,1,0)</f>
        <v>1</v>
      </c>
      <c r="H82" s="22" t="n">
        <f aca="false">COUNTIFS('Court Quorum'!$B$7:$B$24,B82,'Court Quorum'!$C$7:$C$24,"&lt;&gt;"&amp;D82,'Court Quorum'!$D$7:$D$24,"&lt;&gt;"&amp;E82)-IF(F82="Court",1,0)</f>
        <v>2</v>
      </c>
      <c r="I82" s="22" t="n">
        <f aca="false">Inputs!$B$10</f>
        <v>2</v>
      </c>
      <c r="J82" s="22" t="str">
        <f aca="false">IF(AND(G82&gt;=1,H82&gt;=I82),"PASS","FAIL")</f>
        <v>PASS</v>
      </c>
      <c r="K82" s="4"/>
      <c r="L82" s="4"/>
      <c r="M82" s="4"/>
      <c r="N82" s="4"/>
    </row>
    <row r="83" customFormat="false" ht="15" hidden="false" customHeight="false" outlineLevel="0" collapsed="false">
      <c r="A83" s="17" t="s">
        <v>336</v>
      </c>
      <c r="B83" s="17" t="s">
        <v>149</v>
      </c>
      <c r="C83" s="17" t="s">
        <v>145</v>
      </c>
      <c r="D83" s="17" t="s">
        <v>152</v>
      </c>
      <c r="E83" s="17"/>
      <c r="F83" s="17"/>
      <c r="G83" s="22" t="n">
        <f aca="false">COUNTIFS('Role Enclaves'!$D$7:$D$42,B83,'Role Enclaves'!$E$7:$E$42,C83,'Role Enclaves'!$B$7:$B$42,"&lt;&gt;"&amp;D83,'Role Enclaves'!$C$7:$C$42,"&lt;&gt;"&amp;E83)-IF(F83=C83,1,0)</f>
        <v>1</v>
      </c>
      <c r="H83" s="22" t="n">
        <f aca="false">COUNTIFS('Court Quorum'!$B$7:$B$24,B83,'Court Quorum'!$C$7:$C$24,"&lt;&gt;"&amp;D83,'Court Quorum'!$D$7:$D$24,"&lt;&gt;"&amp;E83)-IF(F83="Court",1,0)</f>
        <v>2</v>
      </c>
      <c r="I83" s="22" t="n">
        <f aca="false">Inputs!$B$10</f>
        <v>2</v>
      </c>
      <c r="J83" s="22" t="str">
        <f aca="false">IF(AND(G83&gt;=1,H83&gt;=I83),"PASS","FAIL")</f>
        <v>PASS</v>
      </c>
      <c r="K83" s="4"/>
      <c r="L83" s="4"/>
      <c r="M83" s="4"/>
      <c r="N83" s="4"/>
    </row>
    <row r="84" customFormat="false" ht="15" hidden="false" customHeight="false" outlineLevel="0" collapsed="false">
      <c r="A84" s="17" t="s">
        <v>336</v>
      </c>
      <c r="B84" s="17" t="s">
        <v>149</v>
      </c>
      <c r="C84" s="17" t="s">
        <v>142</v>
      </c>
      <c r="D84" s="17" t="s">
        <v>152</v>
      </c>
      <c r="E84" s="17"/>
      <c r="F84" s="17"/>
      <c r="G84" s="22" t="n">
        <f aca="false">COUNTIFS('Role Enclaves'!$D$7:$D$42,B84,'Role Enclaves'!$E$7:$E$42,C84,'Role Enclaves'!$B$7:$B$42,"&lt;&gt;"&amp;D84,'Role Enclaves'!$C$7:$C$42,"&lt;&gt;"&amp;E84)-IF(F84=C84,1,0)</f>
        <v>2</v>
      </c>
      <c r="H84" s="22" t="n">
        <f aca="false">COUNTIFS('Court Quorum'!$B$7:$B$24,B84,'Court Quorum'!$C$7:$C$24,"&lt;&gt;"&amp;D84,'Court Quorum'!$D$7:$D$24,"&lt;&gt;"&amp;E84)-IF(F84="Court",1,0)</f>
        <v>2</v>
      </c>
      <c r="I84" s="22" t="n">
        <f aca="false">Inputs!$B$10</f>
        <v>2</v>
      </c>
      <c r="J84" s="22" t="str">
        <f aca="false">IF(AND(G84&gt;=1,H84&gt;=I84),"PASS","FAIL")</f>
        <v>PASS</v>
      </c>
      <c r="K84" s="4"/>
      <c r="L84" s="4"/>
      <c r="M84" s="4"/>
      <c r="N84" s="4"/>
    </row>
    <row r="85" customFormat="false" ht="15" hidden="false" customHeight="false" outlineLevel="0" collapsed="false">
      <c r="A85" s="17" t="s">
        <v>336</v>
      </c>
      <c r="B85" s="17" t="s">
        <v>157</v>
      </c>
      <c r="C85" s="17" t="s">
        <v>141</v>
      </c>
      <c r="D85" s="17" t="s">
        <v>152</v>
      </c>
      <c r="E85" s="17"/>
      <c r="F85" s="17"/>
      <c r="G85" s="22" t="n">
        <f aca="false">COUNTIFS('Role Enclaves'!$D$7:$D$42,B85,'Role Enclaves'!$E$7:$E$42,C85,'Role Enclaves'!$B$7:$B$42,"&lt;&gt;"&amp;D85,'Role Enclaves'!$C$7:$C$42,"&lt;&gt;"&amp;E85)-IF(F85=C85,1,0)</f>
        <v>2</v>
      </c>
      <c r="H85" s="22" t="n">
        <f aca="false">COUNTIFS('Court Quorum'!$B$7:$B$24,B85,'Court Quorum'!$C$7:$C$24,"&lt;&gt;"&amp;D85,'Court Quorum'!$D$7:$D$24,"&lt;&gt;"&amp;E85)-IF(F85="Court",1,0)</f>
        <v>3</v>
      </c>
      <c r="I85" s="22" t="n">
        <f aca="false">Inputs!$B$10</f>
        <v>2</v>
      </c>
      <c r="J85" s="22" t="str">
        <f aca="false">IF(AND(G85&gt;=1,H85&gt;=I85),"PASS","FAIL")</f>
        <v>PASS</v>
      </c>
      <c r="K85" s="4"/>
      <c r="L85" s="4"/>
      <c r="M85" s="4"/>
      <c r="N85" s="4"/>
    </row>
    <row r="86" customFormat="false" ht="15" hidden="false" customHeight="false" outlineLevel="0" collapsed="false">
      <c r="A86" s="17" t="s">
        <v>336</v>
      </c>
      <c r="B86" s="17" t="s">
        <v>157</v>
      </c>
      <c r="C86" s="17" t="s">
        <v>145</v>
      </c>
      <c r="D86" s="17" t="s">
        <v>152</v>
      </c>
      <c r="E86" s="17"/>
      <c r="F86" s="17"/>
      <c r="G86" s="22" t="n">
        <f aca="false">COUNTIFS('Role Enclaves'!$D$7:$D$42,B86,'Role Enclaves'!$E$7:$E$42,C86,'Role Enclaves'!$B$7:$B$42,"&lt;&gt;"&amp;D86,'Role Enclaves'!$C$7:$C$42,"&lt;&gt;"&amp;E86)-IF(F86=C86,1,0)</f>
        <v>2</v>
      </c>
      <c r="H86" s="22" t="n">
        <f aca="false">COUNTIFS('Court Quorum'!$B$7:$B$24,B86,'Court Quorum'!$C$7:$C$24,"&lt;&gt;"&amp;D86,'Court Quorum'!$D$7:$D$24,"&lt;&gt;"&amp;E86)-IF(F86="Court",1,0)</f>
        <v>3</v>
      </c>
      <c r="I86" s="22" t="n">
        <f aca="false">Inputs!$B$10</f>
        <v>2</v>
      </c>
      <c r="J86" s="22" t="str">
        <f aca="false">IF(AND(G86&gt;=1,H86&gt;=I86),"PASS","FAIL")</f>
        <v>PASS</v>
      </c>
      <c r="K86" s="4"/>
      <c r="L86" s="4"/>
      <c r="M86" s="4"/>
      <c r="N86" s="4"/>
    </row>
    <row r="87" customFormat="false" ht="15" hidden="false" customHeight="false" outlineLevel="0" collapsed="false">
      <c r="A87" s="17" t="s">
        <v>336</v>
      </c>
      <c r="B87" s="17" t="s">
        <v>157</v>
      </c>
      <c r="C87" s="17" t="s">
        <v>142</v>
      </c>
      <c r="D87" s="17" t="s">
        <v>152</v>
      </c>
      <c r="E87" s="17"/>
      <c r="F87" s="17"/>
      <c r="G87" s="22" t="n">
        <f aca="false">COUNTIFS('Role Enclaves'!$D$7:$D$42,B87,'Role Enclaves'!$E$7:$E$42,C87,'Role Enclaves'!$B$7:$B$42,"&lt;&gt;"&amp;D87,'Role Enclaves'!$C$7:$C$42,"&lt;&gt;"&amp;E87)-IF(F87=C87,1,0)</f>
        <v>2</v>
      </c>
      <c r="H87" s="22" t="n">
        <f aca="false">COUNTIFS('Court Quorum'!$B$7:$B$24,B87,'Court Quorum'!$C$7:$C$24,"&lt;&gt;"&amp;D87,'Court Quorum'!$D$7:$D$24,"&lt;&gt;"&amp;E87)-IF(F87="Court",1,0)</f>
        <v>3</v>
      </c>
      <c r="I87" s="22" t="n">
        <f aca="false">Inputs!$B$10</f>
        <v>2</v>
      </c>
      <c r="J87" s="22" t="str">
        <f aca="false">IF(AND(G87&gt;=1,H87&gt;=I87),"PASS","FAIL")</f>
        <v>PASS</v>
      </c>
      <c r="K87" s="4"/>
      <c r="L87" s="4"/>
      <c r="M87" s="4"/>
      <c r="N87" s="4"/>
    </row>
    <row r="88" customFormat="false" ht="15" hidden="false" customHeight="false" outlineLevel="0" collapsed="false">
      <c r="A88" s="17" t="s">
        <v>336</v>
      </c>
      <c r="B88" s="17" t="s">
        <v>162</v>
      </c>
      <c r="C88" s="17" t="s">
        <v>141</v>
      </c>
      <c r="D88" s="17" t="s">
        <v>152</v>
      </c>
      <c r="E88" s="17"/>
      <c r="F88" s="17"/>
      <c r="G88" s="22" t="n">
        <f aca="false">COUNTIFS('Role Enclaves'!$D$7:$D$42,B88,'Role Enclaves'!$E$7:$E$42,C88,'Role Enclaves'!$B$7:$B$42,"&lt;&gt;"&amp;D88,'Role Enclaves'!$C$7:$C$42,"&lt;&gt;"&amp;E88)-IF(F88=C88,1,0)</f>
        <v>2</v>
      </c>
      <c r="H88" s="22" t="n">
        <f aca="false">COUNTIFS('Court Quorum'!$B$7:$B$24,B88,'Court Quorum'!$C$7:$C$24,"&lt;&gt;"&amp;D88,'Court Quorum'!$D$7:$D$24,"&lt;&gt;"&amp;E88)-IF(F88="Court",1,0)</f>
        <v>3</v>
      </c>
      <c r="I88" s="22" t="n">
        <f aca="false">Inputs!$B$10</f>
        <v>2</v>
      </c>
      <c r="J88" s="22" t="str">
        <f aca="false">IF(AND(G88&gt;=1,H88&gt;=I88),"PASS","FAIL")</f>
        <v>PASS</v>
      </c>
      <c r="K88" s="4"/>
      <c r="L88" s="4"/>
      <c r="M88" s="4"/>
      <c r="N88" s="4"/>
    </row>
    <row r="89" customFormat="false" ht="15" hidden="false" customHeight="false" outlineLevel="0" collapsed="false">
      <c r="A89" s="17" t="s">
        <v>336</v>
      </c>
      <c r="B89" s="17" t="s">
        <v>162</v>
      </c>
      <c r="C89" s="17" t="s">
        <v>145</v>
      </c>
      <c r="D89" s="17" t="s">
        <v>152</v>
      </c>
      <c r="E89" s="17"/>
      <c r="F89" s="17"/>
      <c r="G89" s="22" t="n">
        <f aca="false">COUNTIFS('Role Enclaves'!$D$7:$D$42,B89,'Role Enclaves'!$E$7:$E$42,C89,'Role Enclaves'!$B$7:$B$42,"&lt;&gt;"&amp;D89,'Role Enclaves'!$C$7:$C$42,"&lt;&gt;"&amp;E89)-IF(F89=C89,1,0)</f>
        <v>2</v>
      </c>
      <c r="H89" s="22" t="n">
        <f aca="false">COUNTIFS('Court Quorum'!$B$7:$B$24,B89,'Court Quorum'!$C$7:$C$24,"&lt;&gt;"&amp;D89,'Court Quorum'!$D$7:$D$24,"&lt;&gt;"&amp;E89)-IF(F89="Court",1,0)</f>
        <v>3</v>
      </c>
      <c r="I89" s="22" t="n">
        <f aca="false">Inputs!$B$10</f>
        <v>2</v>
      </c>
      <c r="J89" s="22" t="str">
        <f aca="false">IF(AND(G89&gt;=1,H89&gt;=I89),"PASS","FAIL")</f>
        <v>PASS</v>
      </c>
      <c r="K89" s="4"/>
      <c r="L89" s="4"/>
      <c r="M89" s="4"/>
      <c r="N89" s="4"/>
    </row>
    <row r="90" customFormat="false" ht="15" hidden="false" customHeight="false" outlineLevel="0" collapsed="false">
      <c r="A90" s="17" t="s">
        <v>336</v>
      </c>
      <c r="B90" s="17" t="s">
        <v>162</v>
      </c>
      <c r="C90" s="17" t="s">
        <v>142</v>
      </c>
      <c r="D90" s="17" t="s">
        <v>152</v>
      </c>
      <c r="E90" s="17"/>
      <c r="F90" s="17"/>
      <c r="G90" s="22" t="n">
        <f aca="false">COUNTIFS('Role Enclaves'!$D$7:$D$42,B90,'Role Enclaves'!$E$7:$E$42,C90,'Role Enclaves'!$B$7:$B$42,"&lt;&gt;"&amp;D90,'Role Enclaves'!$C$7:$C$42,"&lt;&gt;"&amp;E90)-IF(F90=C90,1,0)</f>
        <v>2</v>
      </c>
      <c r="H90" s="22" t="n">
        <f aca="false">COUNTIFS('Court Quorum'!$B$7:$B$24,B90,'Court Quorum'!$C$7:$C$24,"&lt;&gt;"&amp;D90,'Court Quorum'!$D$7:$D$24,"&lt;&gt;"&amp;E90)-IF(F90="Court",1,0)</f>
        <v>3</v>
      </c>
      <c r="I90" s="22" t="n">
        <f aca="false">Inputs!$B$10</f>
        <v>2</v>
      </c>
      <c r="J90" s="22" t="str">
        <f aca="false">IF(AND(G90&gt;=1,H90&gt;=I90),"PASS","FAIL")</f>
        <v>PASS</v>
      </c>
      <c r="K90" s="4"/>
      <c r="L90" s="4"/>
      <c r="M90" s="4"/>
      <c r="N90" s="4"/>
    </row>
    <row r="91" customFormat="false" ht="15" hidden="false" customHeight="false" outlineLevel="0" collapsed="false">
      <c r="A91" s="17" t="s">
        <v>336</v>
      </c>
      <c r="B91" s="17" t="s">
        <v>167</v>
      </c>
      <c r="C91" s="17" t="s">
        <v>141</v>
      </c>
      <c r="D91" s="17" t="s">
        <v>152</v>
      </c>
      <c r="E91" s="17"/>
      <c r="F91" s="17"/>
      <c r="G91" s="22" t="n">
        <f aca="false">COUNTIFS('Role Enclaves'!$D$7:$D$42,B91,'Role Enclaves'!$E$7:$E$42,C91,'Role Enclaves'!$B$7:$B$42,"&lt;&gt;"&amp;D91,'Role Enclaves'!$C$7:$C$42,"&lt;&gt;"&amp;E91)-IF(F91=C91,1,0)</f>
        <v>2</v>
      </c>
      <c r="H91" s="22" t="n">
        <f aca="false">COUNTIFS('Court Quorum'!$B$7:$B$24,B91,'Court Quorum'!$C$7:$C$24,"&lt;&gt;"&amp;D91,'Court Quorum'!$D$7:$D$24,"&lt;&gt;"&amp;E91)-IF(F91="Court",1,0)</f>
        <v>3</v>
      </c>
      <c r="I91" s="22" t="n">
        <f aca="false">Inputs!$B$10</f>
        <v>2</v>
      </c>
      <c r="J91" s="22" t="str">
        <f aca="false">IF(AND(G91&gt;=1,H91&gt;=I91),"PASS","FAIL")</f>
        <v>PASS</v>
      </c>
      <c r="K91" s="4"/>
      <c r="L91" s="4"/>
      <c r="M91" s="4"/>
      <c r="N91" s="4"/>
    </row>
    <row r="92" customFormat="false" ht="15" hidden="false" customHeight="false" outlineLevel="0" collapsed="false">
      <c r="A92" s="17" t="s">
        <v>336</v>
      </c>
      <c r="B92" s="17" t="s">
        <v>167</v>
      </c>
      <c r="C92" s="17" t="s">
        <v>145</v>
      </c>
      <c r="D92" s="17" t="s">
        <v>152</v>
      </c>
      <c r="E92" s="17"/>
      <c r="F92" s="17"/>
      <c r="G92" s="22" t="n">
        <f aca="false">COUNTIFS('Role Enclaves'!$D$7:$D$42,B92,'Role Enclaves'!$E$7:$E$42,C92,'Role Enclaves'!$B$7:$B$42,"&lt;&gt;"&amp;D92,'Role Enclaves'!$C$7:$C$42,"&lt;&gt;"&amp;E92)-IF(F92=C92,1,0)</f>
        <v>2</v>
      </c>
      <c r="H92" s="22" t="n">
        <f aca="false">COUNTIFS('Court Quorum'!$B$7:$B$24,B92,'Court Quorum'!$C$7:$C$24,"&lt;&gt;"&amp;D92,'Court Quorum'!$D$7:$D$24,"&lt;&gt;"&amp;E92)-IF(F92="Court",1,0)</f>
        <v>3</v>
      </c>
      <c r="I92" s="22" t="n">
        <f aca="false">Inputs!$B$10</f>
        <v>2</v>
      </c>
      <c r="J92" s="22" t="str">
        <f aca="false">IF(AND(G92&gt;=1,H92&gt;=I92),"PASS","FAIL")</f>
        <v>PASS</v>
      </c>
      <c r="K92" s="4"/>
      <c r="L92" s="4"/>
      <c r="M92" s="4"/>
      <c r="N92" s="4"/>
    </row>
    <row r="93" customFormat="false" ht="15" hidden="false" customHeight="false" outlineLevel="0" collapsed="false">
      <c r="A93" s="17" t="s">
        <v>336</v>
      </c>
      <c r="B93" s="17" t="s">
        <v>167</v>
      </c>
      <c r="C93" s="17" t="s">
        <v>142</v>
      </c>
      <c r="D93" s="17" t="s">
        <v>152</v>
      </c>
      <c r="E93" s="17"/>
      <c r="F93" s="17"/>
      <c r="G93" s="22" t="n">
        <f aca="false">COUNTIFS('Role Enclaves'!$D$7:$D$42,B93,'Role Enclaves'!$E$7:$E$42,C93,'Role Enclaves'!$B$7:$B$42,"&lt;&gt;"&amp;D93,'Role Enclaves'!$C$7:$C$42,"&lt;&gt;"&amp;E93)-IF(F93=C93,1,0)</f>
        <v>2</v>
      </c>
      <c r="H93" s="22" t="n">
        <f aca="false">COUNTIFS('Court Quorum'!$B$7:$B$24,B93,'Court Quorum'!$C$7:$C$24,"&lt;&gt;"&amp;D93,'Court Quorum'!$D$7:$D$24,"&lt;&gt;"&amp;E93)-IF(F93="Court",1,0)</f>
        <v>3</v>
      </c>
      <c r="I93" s="22" t="n">
        <f aca="false">Inputs!$B$10</f>
        <v>2</v>
      </c>
      <c r="J93" s="22" t="str">
        <f aca="false">IF(AND(G93&gt;=1,H93&gt;=I93),"PASS","FAIL")</f>
        <v>PASS</v>
      </c>
      <c r="K93" s="4"/>
      <c r="L93" s="4"/>
      <c r="M93" s="4"/>
      <c r="N93" s="4"/>
    </row>
    <row r="94" customFormat="false" ht="15" hidden="false" customHeight="false" outlineLevel="0" collapsed="false">
      <c r="A94" s="17" t="s">
        <v>336</v>
      </c>
      <c r="B94" s="17" t="s">
        <v>172</v>
      </c>
      <c r="C94" s="17" t="s">
        <v>141</v>
      </c>
      <c r="D94" s="17" t="s">
        <v>152</v>
      </c>
      <c r="E94" s="17"/>
      <c r="F94" s="17"/>
      <c r="G94" s="22" t="n">
        <f aca="false">COUNTIFS('Role Enclaves'!$D$7:$D$42,B94,'Role Enclaves'!$E$7:$E$42,C94,'Role Enclaves'!$B$7:$B$42,"&lt;&gt;"&amp;D94,'Role Enclaves'!$C$7:$C$42,"&lt;&gt;"&amp;E94)-IF(F94=C94,1,0)</f>
        <v>2</v>
      </c>
      <c r="H94" s="22" t="n">
        <f aca="false">COUNTIFS('Court Quorum'!$B$7:$B$24,B94,'Court Quorum'!$C$7:$C$24,"&lt;&gt;"&amp;D94,'Court Quorum'!$D$7:$D$24,"&lt;&gt;"&amp;E94)-IF(F94="Court",1,0)</f>
        <v>3</v>
      </c>
      <c r="I94" s="22" t="n">
        <f aca="false">Inputs!$B$10</f>
        <v>2</v>
      </c>
      <c r="J94" s="22" t="str">
        <f aca="false">IF(AND(G94&gt;=1,H94&gt;=I94),"PASS","FAIL")</f>
        <v>PASS</v>
      </c>
      <c r="K94" s="4"/>
      <c r="L94" s="4"/>
      <c r="M94" s="4"/>
      <c r="N94" s="4"/>
    </row>
    <row r="95" customFormat="false" ht="15" hidden="false" customHeight="false" outlineLevel="0" collapsed="false">
      <c r="A95" s="17" t="s">
        <v>336</v>
      </c>
      <c r="B95" s="17" t="s">
        <v>172</v>
      </c>
      <c r="C95" s="17" t="s">
        <v>145</v>
      </c>
      <c r="D95" s="17" t="s">
        <v>152</v>
      </c>
      <c r="E95" s="17"/>
      <c r="F95" s="17"/>
      <c r="G95" s="22" t="n">
        <f aca="false">COUNTIFS('Role Enclaves'!$D$7:$D$42,B95,'Role Enclaves'!$E$7:$E$42,C95,'Role Enclaves'!$B$7:$B$42,"&lt;&gt;"&amp;D95,'Role Enclaves'!$C$7:$C$42,"&lt;&gt;"&amp;E95)-IF(F95=C95,1,0)</f>
        <v>2</v>
      </c>
      <c r="H95" s="22" t="n">
        <f aca="false">COUNTIFS('Court Quorum'!$B$7:$B$24,B95,'Court Quorum'!$C$7:$C$24,"&lt;&gt;"&amp;D95,'Court Quorum'!$D$7:$D$24,"&lt;&gt;"&amp;E95)-IF(F95="Court",1,0)</f>
        <v>3</v>
      </c>
      <c r="I95" s="22" t="n">
        <f aca="false">Inputs!$B$10</f>
        <v>2</v>
      </c>
      <c r="J95" s="22" t="str">
        <f aca="false">IF(AND(G95&gt;=1,H95&gt;=I95),"PASS","FAIL")</f>
        <v>PASS</v>
      </c>
      <c r="K95" s="4"/>
      <c r="L95" s="4"/>
      <c r="M95" s="4"/>
      <c r="N95" s="4"/>
    </row>
    <row r="96" customFormat="false" ht="15" hidden="false" customHeight="false" outlineLevel="0" collapsed="false">
      <c r="A96" s="17" t="s">
        <v>336</v>
      </c>
      <c r="B96" s="17" t="s">
        <v>172</v>
      </c>
      <c r="C96" s="17" t="s">
        <v>142</v>
      </c>
      <c r="D96" s="17" t="s">
        <v>152</v>
      </c>
      <c r="E96" s="17"/>
      <c r="F96" s="17"/>
      <c r="G96" s="22" t="n">
        <f aca="false">COUNTIFS('Role Enclaves'!$D$7:$D$42,B96,'Role Enclaves'!$E$7:$E$42,C96,'Role Enclaves'!$B$7:$B$42,"&lt;&gt;"&amp;D96,'Role Enclaves'!$C$7:$C$42,"&lt;&gt;"&amp;E96)-IF(F96=C96,1,0)</f>
        <v>2</v>
      </c>
      <c r="H96" s="22" t="n">
        <f aca="false">COUNTIFS('Court Quorum'!$B$7:$B$24,B96,'Court Quorum'!$C$7:$C$24,"&lt;&gt;"&amp;D96,'Court Quorum'!$D$7:$D$24,"&lt;&gt;"&amp;E96)-IF(F96="Court",1,0)</f>
        <v>3</v>
      </c>
      <c r="I96" s="22" t="n">
        <f aca="false">Inputs!$B$10</f>
        <v>2</v>
      </c>
      <c r="J96" s="22" t="str">
        <f aca="false">IF(AND(G96&gt;=1,H96&gt;=I96),"PASS","FAIL")</f>
        <v>PASS</v>
      </c>
      <c r="K96" s="4"/>
      <c r="L96" s="4"/>
      <c r="M96" s="4"/>
      <c r="N96" s="4"/>
    </row>
    <row r="97" customFormat="false" ht="15" hidden="false" customHeight="false" outlineLevel="0" collapsed="false">
      <c r="A97" s="17" t="s">
        <v>337</v>
      </c>
      <c r="B97" s="17" t="s">
        <v>138</v>
      </c>
      <c r="C97" s="17" t="s">
        <v>141</v>
      </c>
      <c r="D97" s="17" t="s">
        <v>154</v>
      </c>
      <c r="E97" s="17"/>
      <c r="F97" s="17"/>
      <c r="G97" s="22" t="n">
        <f aca="false">COUNTIFS('Role Enclaves'!$D$7:$D$42,B97,'Role Enclaves'!$E$7:$E$42,C97,'Role Enclaves'!$B$7:$B$42,"&lt;&gt;"&amp;D97,'Role Enclaves'!$C$7:$C$42,"&lt;&gt;"&amp;E97)-IF(F97=C97,1,0)</f>
        <v>2</v>
      </c>
      <c r="H97" s="22" t="n">
        <f aca="false">COUNTIFS('Court Quorum'!$B$7:$B$24,B97,'Court Quorum'!$C$7:$C$24,"&lt;&gt;"&amp;D97,'Court Quorum'!$D$7:$D$24,"&lt;&gt;"&amp;E97)-IF(F97="Court",1,0)</f>
        <v>3</v>
      </c>
      <c r="I97" s="22" t="n">
        <f aca="false">Inputs!$B$10</f>
        <v>2</v>
      </c>
      <c r="J97" s="22" t="str">
        <f aca="false">IF(AND(G97&gt;=1,H97&gt;=I97),"PASS","FAIL")</f>
        <v>PASS</v>
      </c>
      <c r="K97" s="4"/>
      <c r="L97" s="4"/>
      <c r="M97" s="4"/>
      <c r="N97" s="4"/>
    </row>
    <row r="98" customFormat="false" ht="15" hidden="false" customHeight="false" outlineLevel="0" collapsed="false">
      <c r="A98" s="17" t="s">
        <v>337</v>
      </c>
      <c r="B98" s="17" t="s">
        <v>138</v>
      </c>
      <c r="C98" s="17" t="s">
        <v>145</v>
      </c>
      <c r="D98" s="17" t="s">
        <v>154</v>
      </c>
      <c r="E98" s="17"/>
      <c r="F98" s="17"/>
      <c r="G98" s="22" t="n">
        <f aca="false">COUNTIFS('Role Enclaves'!$D$7:$D$42,B98,'Role Enclaves'!$E$7:$E$42,C98,'Role Enclaves'!$B$7:$B$42,"&lt;&gt;"&amp;D98,'Role Enclaves'!$C$7:$C$42,"&lt;&gt;"&amp;E98)-IF(F98=C98,1,0)</f>
        <v>2</v>
      </c>
      <c r="H98" s="22" t="n">
        <f aca="false">COUNTIFS('Court Quorum'!$B$7:$B$24,B98,'Court Quorum'!$C$7:$C$24,"&lt;&gt;"&amp;D98,'Court Quorum'!$D$7:$D$24,"&lt;&gt;"&amp;E98)-IF(F98="Court",1,0)</f>
        <v>3</v>
      </c>
      <c r="I98" s="22" t="n">
        <f aca="false">Inputs!$B$10</f>
        <v>2</v>
      </c>
      <c r="J98" s="22" t="str">
        <f aca="false">IF(AND(G98&gt;=1,H98&gt;=I98),"PASS","FAIL")</f>
        <v>PASS</v>
      </c>
      <c r="K98" s="4"/>
      <c r="L98" s="4"/>
      <c r="M98" s="4"/>
      <c r="N98" s="4"/>
    </row>
    <row r="99" customFormat="false" ht="15" hidden="false" customHeight="false" outlineLevel="0" collapsed="false">
      <c r="A99" s="17" t="s">
        <v>337</v>
      </c>
      <c r="B99" s="17" t="s">
        <v>138</v>
      </c>
      <c r="C99" s="17" t="s">
        <v>142</v>
      </c>
      <c r="D99" s="17" t="s">
        <v>154</v>
      </c>
      <c r="E99" s="17"/>
      <c r="F99" s="17"/>
      <c r="G99" s="22" t="n">
        <f aca="false">COUNTIFS('Role Enclaves'!$D$7:$D$42,B99,'Role Enclaves'!$E$7:$E$42,C99,'Role Enclaves'!$B$7:$B$42,"&lt;&gt;"&amp;D99,'Role Enclaves'!$C$7:$C$42,"&lt;&gt;"&amp;E99)-IF(F99=C99,1,0)</f>
        <v>2</v>
      </c>
      <c r="H99" s="22" t="n">
        <f aca="false">COUNTIFS('Court Quorum'!$B$7:$B$24,B99,'Court Quorum'!$C$7:$C$24,"&lt;&gt;"&amp;D99,'Court Quorum'!$D$7:$D$24,"&lt;&gt;"&amp;E99)-IF(F99="Court",1,0)</f>
        <v>3</v>
      </c>
      <c r="I99" s="22" t="n">
        <f aca="false">Inputs!$B$10</f>
        <v>2</v>
      </c>
      <c r="J99" s="22" t="str">
        <f aca="false">IF(AND(G99&gt;=1,H99&gt;=I99),"PASS","FAIL")</f>
        <v>PASS</v>
      </c>
      <c r="K99" s="4"/>
      <c r="L99" s="4"/>
      <c r="M99" s="4"/>
      <c r="N99" s="4"/>
    </row>
    <row r="100" customFormat="false" ht="15" hidden="false" customHeight="false" outlineLevel="0" collapsed="false">
      <c r="A100" s="17" t="s">
        <v>337</v>
      </c>
      <c r="B100" s="17" t="s">
        <v>149</v>
      </c>
      <c r="C100" s="17" t="s">
        <v>141</v>
      </c>
      <c r="D100" s="17" t="s">
        <v>154</v>
      </c>
      <c r="E100" s="17"/>
      <c r="F100" s="17"/>
      <c r="G100" s="22" t="n">
        <f aca="false">COUNTIFS('Role Enclaves'!$D$7:$D$42,B100,'Role Enclaves'!$E$7:$E$42,C100,'Role Enclaves'!$B$7:$B$42,"&lt;&gt;"&amp;D100,'Role Enclaves'!$C$7:$C$42,"&lt;&gt;"&amp;E100)-IF(F100=C100,1,0)</f>
        <v>2</v>
      </c>
      <c r="H100" s="22" t="n">
        <f aca="false">COUNTIFS('Court Quorum'!$B$7:$B$24,B100,'Court Quorum'!$C$7:$C$24,"&lt;&gt;"&amp;D100,'Court Quorum'!$D$7:$D$24,"&lt;&gt;"&amp;E100)-IF(F100="Court",1,0)</f>
        <v>2</v>
      </c>
      <c r="I100" s="22" t="n">
        <f aca="false">Inputs!$B$10</f>
        <v>2</v>
      </c>
      <c r="J100" s="22" t="str">
        <f aca="false">IF(AND(G100&gt;=1,H100&gt;=I100),"PASS","FAIL")</f>
        <v>PASS</v>
      </c>
      <c r="K100" s="4"/>
      <c r="L100" s="4"/>
      <c r="M100" s="4"/>
      <c r="N100" s="4"/>
    </row>
    <row r="101" customFormat="false" ht="15" hidden="false" customHeight="false" outlineLevel="0" collapsed="false">
      <c r="A101" s="17" t="s">
        <v>337</v>
      </c>
      <c r="B101" s="17" t="s">
        <v>149</v>
      </c>
      <c r="C101" s="17" t="s">
        <v>145</v>
      </c>
      <c r="D101" s="17" t="s">
        <v>154</v>
      </c>
      <c r="E101" s="17"/>
      <c r="F101" s="17"/>
      <c r="G101" s="22" t="n">
        <f aca="false">COUNTIFS('Role Enclaves'!$D$7:$D$42,B101,'Role Enclaves'!$E$7:$E$42,C101,'Role Enclaves'!$B$7:$B$42,"&lt;&gt;"&amp;D101,'Role Enclaves'!$C$7:$C$42,"&lt;&gt;"&amp;E101)-IF(F101=C101,1,0)</f>
        <v>1</v>
      </c>
      <c r="H101" s="22" t="n">
        <f aca="false">COUNTIFS('Court Quorum'!$B$7:$B$24,B101,'Court Quorum'!$C$7:$C$24,"&lt;&gt;"&amp;D101,'Court Quorum'!$D$7:$D$24,"&lt;&gt;"&amp;E101)-IF(F101="Court",1,0)</f>
        <v>2</v>
      </c>
      <c r="I101" s="22" t="n">
        <f aca="false">Inputs!$B$10</f>
        <v>2</v>
      </c>
      <c r="J101" s="22" t="str">
        <f aca="false">IF(AND(G101&gt;=1,H101&gt;=I101),"PASS","FAIL")</f>
        <v>PASS</v>
      </c>
      <c r="K101" s="4"/>
      <c r="L101" s="4"/>
      <c r="M101" s="4"/>
      <c r="N101" s="4"/>
    </row>
    <row r="102" customFormat="false" ht="15" hidden="false" customHeight="false" outlineLevel="0" collapsed="false">
      <c r="A102" s="17" t="s">
        <v>337</v>
      </c>
      <c r="B102" s="17" t="s">
        <v>149</v>
      </c>
      <c r="C102" s="17" t="s">
        <v>142</v>
      </c>
      <c r="D102" s="17" t="s">
        <v>154</v>
      </c>
      <c r="E102" s="17"/>
      <c r="F102" s="17"/>
      <c r="G102" s="22" t="n">
        <f aca="false">COUNTIFS('Role Enclaves'!$D$7:$D$42,B102,'Role Enclaves'!$E$7:$E$42,C102,'Role Enclaves'!$B$7:$B$42,"&lt;&gt;"&amp;D102,'Role Enclaves'!$C$7:$C$42,"&lt;&gt;"&amp;E102)-IF(F102=C102,1,0)</f>
        <v>1</v>
      </c>
      <c r="H102" s="22" t="n">
        <f aca="false">COUNTIFS('Court Quorum'!$B$7:$B$24,B102,'Court Quorum'!$C$7:$C$24,"&lt;&gt;"&amp;D102,'Court Quorum'!$D$7:$D$24,"&lt;&gt;"&amp;E102)-IF(F102="Court",1,0)</f>
        <v>2</v>
      </c>
      <c r="I102" s="22" t="n">
        <f aca="false">Inputs!$B$10</f>
        <v>2</v>
      </c>
      <c r="J102" s="22" t="str">
        <f aca="false">IF(AND(G102&gt;=1,H102&gt;=I102),"PASS","FAIL")</f>
        <v>PASS</v>
      </c>
      <c r="K102" s="4"/>
      <c r="L102" s="4"/>
      <c r="M102" s="4"/>
      <c r="N102" s="4"/>
    </row>
    <row r="103" customFormat="false" ht="15" hidden="false" customHeight="false" outlineLevel="0" collapsed="false">
      <c r="A103" s="17" t="s">
        <v>337</v>
      </c>
      <c r="B103" s="17" t="s">
        <v>157</v>
      </c>
      <c r="C103" s="17" t="s">
        <v>141</v>
      </c>
      <c r="D103" s="17" t="s">
        <v>154</v>
      </c>
      <c r="E103" s="17"/>
      <c r="F103" s="17"/>
      <c r="G103" s="22" t="n">
        <f aca="false">COUNTIFS('Role Enclaves'!$D$7:$D$42,B103,'Role Enclaves'!$E$7:$E$42,C103,'Role Enclaves'!$B$7:$B$42,"&lt;&gt;"&amp;D103,'Role Enclaves'!$C$7:$C$42,"&lt;&gt;"&amp;E103)-IF(F103=C103,1,0)</f>
        <v>2</v>
      </c>
      <c r="H103" s="22" t="n">
        <f aca="false">COUNTIFS('Court Quorum'!$B$7:$B$24,B103,'Court Quorum'!$C$7:$C$24,"&lt;&gt;"&amp;D103,'Court Quorum'!$D$7:$D$24,"&lt;&gt;"&amp;E103)-IF(F103="Court",1,0)</f>
        <v>3</v>
      </c>
      <c r="I103" s="22" t="n">
        <f aca="false">Inputs!$B$10</f>
        <v>2</v>
      </c>
      <c r="J103" s="22" t="str">
        <f aca="false">IF(AND(G103&gt;=1,H103&gt;=I103),"PASS","FAIL")</f>
        <v>PASS</v>
      </c>
      <c r="K103" s="4"/>
      <c r="L103" s="4"/>
      <c r="M103" s="4"/>
      <c r="N103" s="4"/>
    </row>
    <row r="104" customFormat="false" ht="15" hidden="false" customHeight="false" outlineLevel="0" collapsed="false">
      <c r="A104" s="17" t="s">
        <v>337</v>
      </c>
      <c r="B104" s="17" t="s">
        <v>157</v>
      </c>
      <c r="C104" s="17" t="s">
        <v>145</v>
      </c>
      <c r="D104" s="17" t="s">
        <v>154</v>
      </c>
      <c r="E104" s="17"/>
      <c r="F104" s="17"/>
      <c r="G104" s="22" t="n">
        <f aca="false">COUNTIFS('Role Enclaves'!$D$7:$D$42,B104,'Role Enclaves'!$E$7:$E$42,C104,'Role Enclaves'!$B$7:$B$42,"&lt;&gt;"&amp;D104,'Role Enclaves'!$C$7:$C$42,"&lt;&gt;"&amp;E104)-IF(F104=C104,1,0)</f>
        <v>2</v>
      </c>
      <c r="H104" s="22" t="n">
        <f aca="false">COUNTIFS('Court Quorum'!$B$7:$B$24,B104,'Court Quorum'!$C$7:$C$24,"&lt;&gt;"&amp;D104,'Court Quorum'!$D$7:$D$24,"&lt;&gt;"&amp;E104)-IF(F104="Court",1,0)</f>
        <v>3</v>
      </c>
      <c r="I104" s="22" t="n">
        <f aca="false">Inputs!$B$10</f>
        <v>2</v>
      </c>
      <c r="J104" s="22" t="str">
        <f aca="false">IF(AND(G104&gt;=1,H104&gt;=I104),"PASS","FAIL")</f>
        <v>PASS</v>
      </c>
      <c r="K104" s="4"/>
      <c r="L104" s="4"/>
      <c r="M104" s="4"/>
      <c r="N104" s="4"/>
    </row>
    <row r="105" customFormat="false" ht="15" hidden="false" customHeight="false" outlineLevel="0" collapsed="false">
      <c r="A105" s="17" t="s">
        <v>337</v>
      </c>
      <c r="B105" s="17" t="s">
        <v>157</v>
      </c>
      <c r="C105" s="17" t="s">
        <v>142</v>
      </c>
      <c r="D105" s="17" t="s">
        <v>154</v>
      </c>
      <c r="E105" s="17"/>
      <c r="F105" s="17"/>
      <c r="G105" s="22" t="n">
        <f aca="false">COUNTIFS('Role Enclaves'!$D$7:$D$42,B105,'Role Enclaves'!$E$7:$E$42,C105,'Role Enclaves'!$B$7:$B$42,"&lt;&gt;"&amp;D105,'Role Enclaves'!$C$7:$C$42,"&lt;&gt;"&amp;E105)-IF(F105=C105,1,0)</f>
        <v>2</v>
      </c>
      <c r="H105" s="22" t="n">
        <f aca="false">COUNTIFS('Court Quorum'!$B$7:$B$24,B105,'Court Quorum'!$C$7:$C$24,"&lt;&gt;"&amp;D105,'Court Quorum'!$D$7:$D$24,"&lt;&gt;"&amp;E105)-IF(F105="Court",1,0)</f>
        <v>3</v>
      </c>
      <c r="I105" s="22" t="n">
        <f aca="false">Inputs!$B$10</f>
        <v>2</v>
      </c>
      <c r="J105" s="22" t="str">
        <f aca="false">IF(AND(G105&gt;=1,H105&gt;=I105),"PASS","FAIL")</f>
        <v>PASS</v>
      </c>
      <c r="K105" s="4"/>
      <c r="L105" s="4"/>
      <c r="M105" s="4"/>
      <c r="N105" s="4"/>
    </row>
    <row r="106" customFormat="false" ht="15" hidden="false" customHeight="false" outlineLevel="0" collapsed="false">
      <c r="A106" s="17" t="s">
        <v>337</v>
      </c>
      <c r="B106" s="17" t="s">
        <v>162</v>
      </c>
      <c r="C106" s="17" t="s">
        <v>141</v>
      </c>
      <c r="D106" s="17" t="s">
        <v>154</v>
      </c>
      <c r="E106" s="17"/>
      <c r="F106" s="17"/>
      <c r="G106" s="22" t="n">
        <f aca="false">COUNTIFS('Role Enclaves'!$D$7:$D$42,B106,'Role Enclaves'!$E$7:$E$42,C106,'Role Enclaves'!$B$7:$B$42,"&lt;&gt;"&amp;D106,'Role Enclaves'!$C$7:$C$42,"&lt;&gt;"&amp;E106)-IF(F106=C106,1,0)</f>
        <v>2</v>
      </c>
      <c r="H106" s="22" t="n">
        <f aca="false">COUNTIFS('Court Quorum'!$B$7:$B$24,B106,'Court Quorum'!$C$7:$C$24,"&lt;&gt;"&amp;D106,'Court Quorum'!$D$7:$D$24,"&lt;&gt;"&amp;E106)-IF(F106="Court",1,0)</f>
        <v>3</v>
      </c>
      <c r="I106" s="22" t="n">
        <f aca="false">Inputs!$B$10</f>
        <v>2</v>
      </c>
      <c r="J106" s="22" t="str">
        <f aca="false">IF(AND(G106&gt;=1,H106&gt;=I106),"PASS","FAIL")</f>
        <v>PASS</v>
      </c>
      <c r="K106" s="4"/>
      <c r="L106" s="4"/>
      <c r="M106" s="4"/>
      <c r="N106" s="4"/>
    </row>
    <row r="107" customFormat="false" ht="15" hidden="false" customHeight="false" outlineLevel="0" collapsed="false">
      <c r="A107" s="17" t="s">
        <v>337</v>
      </c>
      <c r="B107" s="17" t="s">
        <v>162</v>
      </c>
      <c r="C107" s="17" t="s">
        <v>145</v>
      </c>
      <c r="D107" s="17" t="s">
        <v>154</v>
      </c>
      <c r="E107" s="17"/>
      <c r="F107" s="17"/>
      <c r="G107" s="22" t="n">
        <f aca="false">COUNTIFS('Role Enclaves'!$D$7:$D$42,B107,'Role Enclaves'!$E$7:$E$42,C107,'Role Enclaves'!$B$7:$B$42,"&lt;&gt;"&amp;D107,'Role Enclaves'!$C$7:$C$42,"&lt;&gt;"&amp;E107)-IF(F107=C107,1,0)</f>
        <v>2</v>
      </c>
      <c r="H107" s="22" t="n">
        <f aca="false">COUNTIFS('Court Quorum'!$B$7:$B$24,B107,'Court Quorum'!$C$7:$C$24,"&lt;&gt;"&amp;D107,'Court Quorum'!$D$7:$D$24,"&lt;&gt;"&amp;E107)-IF(F107="Court",1,0)</f>
        <v>3</v>
      </c>
      <c r="I107" s="22" t="n">
        <f aca="false">Inputs!$B$10</f>
        <v>2</v>
      </c>
      <c r="J107" s="22" t="str">
        <f aca="false">IF(AND(G107&gt;=1,H107&gt;=I107),"PASS","FAIL")</f>
        <v>PASS</v>
      </c>
      <c r="K107" s="4"/>
      <c r="L107" s="4"/>
      <c r="M107" s="4"/>
      <c r="N107" s="4"/>
    </row>
    <row r="108" customFormat="false" ht="15" hidden="false" customHeight="false" outlineLevel="0" collapsed="false">
      <c r="A108" s="17" t="s">
        <v>337</v>
      </c>
      <c r="B108" s="17" t="s">
        <v>162</v>
      </c>
      <c r="C108" s="17" t="s">
        <v>142</v>
      </c>
      <c r="D108" s="17" t="s">
        <v>154</v>
      </c>
      <c r="E108" s="17"/>
      <c r="F108" s="17"/>
      <c r="G108" s="22" t="n">
        <f aca="false">COUNTIFS('Role Enclaves'!$D$7:$D$42,B108,'Role Enclaves'!$E$7:$E$42,C108,'Role Enclaves'!$B$7:$B$42,"&lt;&gt;"&amp;D108,'Role Enclaves'!$C$7:$C$42,"&lt;&gt;"&amp;E108)-IF(F108=C108,1,0)</f>
        <v>2</v>
      </c>
      <c r="H108" s="22" t="n">
        <f aca="false">COUNTIFS('Court Quorum'!$B$7:$B$24,B108,'Court Quorum'!$C$7:$C$24,"&lt;&gt;"&amp;D108,'Court Quorum'!$D$7:$D$24,"&lt;&gt;"&amp;E108)-IF(F108="Court",1,0)</f>
        <v>3</v>
      </c>
      <c r="I108" s="22" t="n">
        <f aca="false">Inputs!$B$10</f>
        <v>2</v>
      </c>
      <c r="J108" s="22" t="str">
        <f aca="false">IF(AND(G108&gt;=1,H108&gt;=I108),"PASS","FAIL")</f>
        <v>PASS</v>
      </c>
      <c r="K108" s="4"/>
      <c r="L108" s="4"/>
      <c r="M108" s="4"/>
      <c r="N108" s="4"/>
    </row>
    <row r="109" customFormat="false" ht="15" hidden="false" customHeight="false" outlineLevel="0" collapsed="false">
      <c r="A109" s="17" t="s">
        <v>337</v>
      </c>
      <c r="B109" s="17" t="s">
        <v>167</v>
      </c>
      <c r="C109" s="17" t="s">
        <v>141</v>
      </c>
      <c r="D109" s="17" t="s">
        <v>154</v>
      </c>
      <c r="E109" s="17"/>
      <c r="F109" s="17"/>
      <c r="G109" s="22" t="n">
        <f aca="false">COUNTIFS('Role Enclaves'!$D$7:$D$42,B109,'Role Enclaves'!$E$7:$E$42,C109,'Role Enclaves'!$B$7:$B$42,"&lt;&gt;"&amp;D109,'Role Enclaves'!$C$7:$C$42,"&lt;&gt;"&amp;E109)-IF(F109=C109,1,0)</f>
        <v>2</v>
      </c>
      <c r="H109" s="22" t="n">
        <f aca="false">COUNTIFS('Court Quorum'!$B$7:$B$24,B109,'Court Quorum'!$C$7:$C$24,"&lt;&gt;"&amp;D109,'Court Quorum'!$D$7:$D$24,"&lt;&gt;"&amp;E109)-IF(F109="Court",1,0)</f>
        <v>3</v>
      </c>
      <c r="I109" s="22" t="n">
        <f aca="false">Inputs!$B$10</f>
        <v>2</v>
      </c>
      <c r="J109" s="22" t="str">
        <f aca="false">IF(AND(G109&gt;=1,H109&gt;=I109),"PASS","FAIL")</f>
        <v>PASS</v>
      </c>
      <c r="K109" s="4"/>
      <c r="L109" s="4"/>
      <c r="M109" s="4"/>
      <c r="N109" s="4"/>
    </row>
    <row r="110" customFormat="false" ht="15" hidden="false" customHeight="false" outlineLevel="0" collapsed="false">
      <c r="A110" s="17" t="s">
        <v>337</v>
      </c>
      <c r="B110" s="17" t="s">
        <v>167</v>
      </c>
      <c r="C110" s="17" t="s">
        <v>145</v>
      </c>
      <c r="D110" s="17" t="s">
        <v>154</v>
      </c>
      <c r="E110" s="17"/>
      <c r="F110" s="17"/>
      <c r="G110" s="22" t="n">
        <f aca="false">COUNTIFS('Role Enclaves'!$D$7:$D$42,B110,'Role Enclaves'!$E$7:$E$42,C110,'Role Enclaves'!$B$7:$B$42,"&lt;&gt;"&amp;D110,'Role Enclaves'!$C$7:$C$42,"&lt;&gt;"&amp;E110)-IF(F110=C110,1,0)</f>
        <v>2</v>
      </c>
      <c r="H110" s="22" t="n">
        <f aca="false">COUNTIFS('Court Quorum'!$B$7:$B$24,B110,'Court Quorum'!$C$7:$C$24,"&lt;&gt;"&amp;D110,'Court Quorum'!$D$7:$D$24,"&lt;&gt;"&amp;E110)-IF(F110="Court",1,0)</f>
        <v>3</v>
      </c>
      <c r="I110" s="22" t="n">
        <f aca="false">Inputs!$B$10</f>
        <v>2</v>
      </c>
      <c r="J110" s="22" t="str">
        <f aca="false">IF(AND(G110&gt;=1,H110&gt;=I110),"PASS","FAIL")</f>
        <v>PASS</v>
      </c>
      <c r="K110" s="4"/>
      <c r="L110" s="4"/>
      <c r="M110" s="4"/>
      <c r="N110" s="4"/>
    </row>
    <row r="111" customFormat="false" ht="15" hidden="false" customHeight="false" outlineLevel="0" collapsed="false">
      <c r="A111" s="17" t="s">
        <v>337</v>
      </c>
      <c r="B111" s="17" t="s">
        <v>167</v>
      </c>
      <c r="C111" s="17" t="s">
        <v>142</v>
      </c>
      <c r="D111" s="17" t="s">
        <v>154</v>
      </c>
      <c r="E111" s="17"/>
      <c r="F111" s="17"/>
      <c r="G111" s="22" t="n">
        <f aca="false">COUNTIFS('Role Enclaves'!$D$7:$D$42,B111,'Role Enclaves'!$E$7:$E$42,C111,'Role Enclaves'!$B$7:$B$42,"&lt;&gt;"&amp;D111,'Role Enclaves'!$C$7:$C$42,"&lt;&gt;"&amp;E111)-IF(F111=C111,1,0)</f>
        <v>2</v>
      </c>
      <c r="H111" s="22" t="n">
        <f aca="false">COUNTIFS('Court Quorum'!$B$7:$B$24,B111,'Court Quorum'!$C$7:$C$24,"&lt;&gt;"&amp;D111,'Court Quorum'!$D$7:$D$24,"&lt;&gt;"&amp;E111)-IF(F111="Court",1,0)</f>
        <v>3</v>
      </c>
      <c r="I111" s="22" t="n">
        <f aca="false">Inputs!$B$10</f>
        <v>2</v>
      </c>
      <c r="J111" s="22" t="str">
        <f aca="false">IF(AND(G111&gt;=1,H111&gt;=I111),"PASS","FAIL")</f>
        <v>PASS</v>
      </c>
      <c r="K111" s="4"/>
      <c r="L111" s="4"/>
      <c r="M111" s="4"/>
      <c r="N111" s="4"/>
    </row>
    <row r="112" customFormat="false" ht="15" hidden="false" customHeight="false" outlineLevel="0" collapsed="false">
      <c r="A112" s="17" t="s">
        <v>337</v>
      </c>
      <c r="B112" s="17" t="s">
        <v>172</v>
      </c>
      <c r="C112" s="17" t="s">
        <v>141</v>
      </c>
      <c r="D112" s="17" t="s">
        <v>154</v>
      </c>
      <c r="E112" s="17"/>
      <c r="F112" s="17"/>
      <c r="G112" s="22" t="n">
        <f aca="false">COUNTIFS('Role Enclaves'!$D$7:$D$42,B112,'Role Enclaves'!$E$7:$E$42,C112,'Role Enclaves'!$B$7:$B$42,"&lt;&gt;"&amp;D112,'Role Enclaves'!$C$7:$C$42,"&lt;&gt;"&amp;E112)-IF(F112=C112,1,0)</f>
        <v>2</v>
      </c>
      <c r="H112" s="22" t="n">
        <f aca="false">COUNTIFS('Court Quorum'!$B$7:$B$24,B112,'Court Quorum'!$C$7:$C$24,"&lt;&gt;"&amp;D112,'Court Quorum'!$D$7:$D$24,"&lt;&gt;"&amp;E112)-IF(F112="Court",1,0)</f>
        <v>3</v>
      </c>
      <c r="I112" s="22" t="n">
        <f aca="false">Inputs!$B$10</f>
        <v>2</v>
      </c>
      <c r="J112" s="22" t="str">
        <f aca="false">IF(AND(G112&gt;=1,H112&gt;=I112),"PASS","FAIL")</f>
        <v>PASS</v>
      </c>
      <c r="K112" s="4"/>
      <c r="L112" s="4"/>
      <c r="M112" s="4"/>
      <c r="N112" s="4"/>
    </row>
    <row r="113" customFormat="false" ht="15" hidden="false" customHeight="false" outlineLevel="0" collapsed="false">
      <c r="A113" s="17" t="s">
        <v>337</v>
      </c>
      <c r="B113" s="17" t="s">
        <v>172</v>
      </c>
      <c r="C113" s="17" t="s">
        <v>145</v>
      </c>
      <c r="D113" s="17" t="s">
        <v>154</v>
      </c>
      <c r="E113" s="17"/>
      <c r="F113" s="17"/>
      <c r="G113" s="22" t="n">
        <f aca="false">COUNTIFS('Role Enclaves'!$D$7:$D$42,B113,'Role Enclaves'!$E$7:$E$42,C113,'Role Enclaves'!$B$7:$B$42,"&lt;&gt;"&amp;D113,'Role Enclaves'!$C$7:$C$42,"&lt;&gt;"&amp;E113)-IF(F113=C113,1,0)</f>
        <v>2</v>
      </c>
      <c r="H113" s="22" t="n">
        <f aca="false">COUNTIFS('Court Quorum'!$B$7:$B$24,B113,'Court Quorum'!$C$7:$C$24,"&lt;&gt;"&amp;D113,'Court Quorum'!$D$7:$D$24,"&lt;&gt;"&amp;E113)-IF(F113="Court",1,0)</f>
        <v>3</v>
      </c>
      <c r="I113" s="22" t="n">
        <f aca="false">Inputs!$B$10</f>
        <v>2</v>
      </c>
      <c r="J113" s="22" t="str">
        <f aca="false">IF(AND(G113&gt;=1,H113&gt;=I113),"PASS","FAIL")</f>
        <v>PASS</v>
      </c>
      <c r="K113" s="4"/>
      <c r="L113" s="4"/>
      <c r="M113" s="4"/>
      <c r="N113" s="4"/>
    </row>
    <row r="114" customFormat="false" ht="15" hidden="false" customHeight="false" outlineLevel="0" collapsed="false">
      <c r="A114" s="17" t="s">
        <v>337</v>
      </c>
      <c r="B114" s="17" t="s">
        <v>172</v>
      </c>
      <c r="C114" s="17" t="s">
        <v>142</v>
      </c>
      <c r="D114" s="17" t="s">
        <v>154</v>
      </c>
      <c r="E114" s="17"/>
      <c r="F114" s="17"/>
      <c r="G114" s="22" t="n">
        <f aca="false">COUNTIFS('Role Enclaves'!$D$7:$D$42,B114,'Role Enclaves'!$E$7:$E$42,C114,'Role Enclaves'!$B$7:$B$42,"&lt;&gt;"&amp;D114,'Role Enclaves'!$C$7:$C$42,"&lt;&gt;"&amp;E114)-IF(F114=C114,1,0)</f>
        <v>2</v>
      </c>
      <c r="H114" s="22" t="n">
        <f aca="false">COUNTIFS('Court Quorum'!$B$7:$B$24,B114,'Court Quorum'!$C$7:$C$24,"&lt;&gt;"&amp;D114,'Court Quorum'!$D$7:$D$24,"&lt;&gt;"&amp;E114)-IF(F114="Court",1,0)</f>
        <v>3</v>
      </c>
      <c r="I114" s="22" t="n">
        <f aca="false">Inputs!$B$10</f>
        <v>2</v>
      </c>
      <c r="J114" s="22" t="str">
        <f aca="false">IF(AND(G114&gt;=1,H114&gt;=I114),"PASS","FAIL")</f>
        <v>PASS</v>
      </c>
      <c r="K114" s="4"/>
      <c r="L114" s="4"/>
      <c r="M114" s="4"/>
      <c r="N114" s="4"/>
    </row>
    <row r="115" customFormat="false" ht="15" hidden="false" customHeight="false" outlineLevel="0" collapsed="false">
      <c r="A115" s="17" t="s">
        <v>338</v>
      </c>
      <c r="B115" s="17" t="s">
        <v>138</v>
      </c>
      <c r="C115" s="17" t="s">
        <v>141</v>
      </c>
      <c r="D115" s="17" t="s">
        <v>156</v>
      </c>
      <c r="E115" s="17"/>
      <c r="F115" s="17"/>
      <c r="G115" s="22" t="n">
        <f aca="false">COUNTIFS('Role Enclaves'!$D$7:$D$42,B115,'Role Enclaves'!$E$7:$E$42,C115,'Role Enclaves'!$B$7:$B$42,"&lt;&gt;"&amp;D115,'Role Enclaves'!$C$7:$C$42,"&lt;&gt;"&amp;E115)-IF(F115=C115,1,0)</f>
        <v>2</v>
      </c>
      <c r="H115" s="22" t="n">
        <f aca="false">COUNTIFS('Court Quorum'!$B$7:$B$24,B115,'Court Quorum'!$C$7:$C$24,"&lt;&gt;"&amp;D115,'Court Quorum'!$D$7:$D$24,"&lt;&gt;"&amp;E115)-IF(F115="Court",1,0)</f>
        <v>3</v>
      </c>
      <c r="I115" s="22" t="n">
        <f aca="false">Inputs!$B$10</f>
        <v>2</v>
      </c>
      <c r="J115" s="22" t="str">
        <f aca="false">IF(AND(G115&gt;=1,H115&gt;=I115),"PASS","FAIL")</f>
        <v>PASS</v>
      </c>
      <c r="K115" s="4"/>
      <c r="L115" s="4"/>
      <c r="M115" s="4"/>
      <c r="N115" s="4"/>
    </row>
    <row r="116" customFormat="false" ht="15" hidden="false" customHeight="false" outlineLevel="0" collapsed="false">
      <c r="A116" s="17" t="s">
        <v>338</v>
      </c>
      <c r="B116" s="17" t="s">
        <v>138</v>
      </c>
      <c r="C116" s="17" t="s">
        <v>145</v>
      </c>
      <c r="D116" s="17" t="s">
        <v>156</v>
      </c>
      <c r="E116" s="17"/>
      <c r="F116" s="17"/>
      <c r="G116" s="22" t="n">
        <f aca="false">COUNTIFS('Role Enclaves'!$D$7:$D$42,B116,'Role Enclaves'!$E$7:$E$42,C116,'Role Enclaves'!$B$7:$B$42,"&lt;&gt;"&amp;D116,'Role Enclaves'!$C$7:$C$42,"&lt;&gt;"&amp;E116)-IF(F116=C116,1,0)</f>
        <v>2</v>
      </c>
      <c r="H116" s="22" t="n">
        <f aca="false">COUNTIFS('Court Quorum'!$B$7:$B$24,B116,'Court Quorum'!$C$7:$C$24,"&lt;&gt;"&amp;D116,'Court Quorum'!$D$7:$D$24,"&lt;&gt;"&amp;E116)-IF(F116="Court",1,0)</f>
        <v>3</v>
      </c>
      <c r="I116" s="22" t="n">
        <f aca="false">Inputs!$B$10</f>
        <v>2</v>
      </c>
      <c r="J116" s="22" t="str">
        <f aca="false">IF(AND(G116&gt;=1,H116&gt;=I116),"PASS","FAIL")</f>
        <v>PASS</v>
      </c>
      <c r="K116" s="4"/>
      <c r="L116" s="4"/>
      <c r="M116" s="4"/>
      <c r="N116" s="4"/>
    </row>
    <row r="117" customFormat="false" ht="15" hidden="false" customHeight="false" outlineLevel="0" collapsed="false">
      <c r="A117" s="17" t="s">
        <v>338</v>
      </c>
      <c r="B117" s="17" t="s">
        <v>138</v>
      </c>
      <c r="C117" s="17" t="s">
        <v>142</v>
      </c>
      <c r="D117" s="17" t="s">
        <v>156</v>
      </c>
      <c r="E117" s="17"/>
      <c r="F117" s="17"/>
      <c r="G117" s="22" t="n">
        <f aca="false">COUNTIFS('Role Enclaves'!$D$7:$D$42,B117,'Role Enclaves'!$E$7:$E$42,C117,'Role Enclaves'!$B$7:$B$42,"&lt;&gt;"&amp;D117,'Role Enclaves'!$C$7:$C$42,"&lt;&gt;"&amp;E117)-IF(F117=C117,1,0)</f>
        <v>2</v>
      </c>
      <c r="H117" s="22" t="n">
        <f aca="false">COUNTIFS('Court Quorum'!$B$7:$B$24,B117,'Court Quorum'!$C$7:$C$24,"&lt;&gt;"&amp;D117,'Court Quorum'!$D$7:$D$24,"&lt;&gt;"&amp;E117)-IF(F117="Court",1,0)</f>
        <v>3</v>
      </c>
      <c r="I117" s="22" t="n">
        <f aca="false">Inputs!$B$10</f>
        <v>2</v>
      </c>
      <c r="J117" s="22" t="str">
        <f aca="false">IF(AND(G117&gt;=1,H117&gt;=I117),"PASS","FAIL")</f>
        <v>PASS</v>
      </c>
      <c r="K117" s="4"/>
      <c r="L117" s="4"/>
      <c r="M117" s="4"/>
      <c r="N117" s="4"/>
    </row>
    <row r="118" customFormat="false" ht="15" hidden="false" customHeight="false" outlineLevel="0" collapsed="false">
      <c r="A118" s="17" t="s">
        <v>338</v>
      </c>
      <c r="B118" s="17" t="s">
        <v>149</v>
      </c>
      <c r="C118" s="17" t="s">
        <v>141</v>
      </c>
      <c r="D118" s="17" t="s">
        <v>156</v>
      </c>
      <c r="E118" s="17"/>
      <c r="F118" s="17"/>
      <c r="G118" s="22" t="n">
        <f aca="false">COUNTIFS('Role Enclaves'!$D$7:$D$42,B118,'Role Enclaves'!$E$7:$E$42,C118,'Role Enclaves'!$B$7:$B$42,"&lt;&gt;"&amp;D118,'Role Enclaves'!$C$7:$C$42,"&lt;&gt;"&amp;E118)-IF(F118=C118,1,0)</f>
        <v>2</v>
      </c>
      <c r="H118" s="22" t="n">
        <f aca="false">COUNTIFS('Court Quorum'!$B$7:$B$24,B118,'Court Quorum'!$C$7:$C$24,"&lt;&gt;"&amp;D118,'Court Quorum'!$D$7:$D$24,"&lt;&gt;"&amp;E118)-IF(F118="Court",1,0)</f>
        <v>3</v>
      </c>
      <c r="I118" s="22" t="n">
        <f aca="false">Inputs!$B$10</f>
        <v>2</v>
      </c>
      <c r="J118" s="22" t="str">
        <f aca="false">IF(AND(G118&gt;=1,H118&gt;=I118),"PASS","FAIL")</f>
        <v>PASS</v>
      </c>
      <c r="K118" s="4"/>
      <c r="L118" s="4"/>
      <c r="M118" s="4"/>
      <c r="N118" s="4"/>
    </row>
    <row r="119" customFormat="false" ht="15" hidden="false" customHeight="false" outlineLevel="0" collapsed="false">
      <c r="A119" s="17" t="s">
        <v>338</v>
      </c>
      <c r="B119" s="17" t="s">
        <v>149</v>
      </c>
      <c r="C119" s="17" t="s">
        <v>145</v>
      </c>
      <c r="D119" s="17" t="s">
        <v>156</v>
      </c>
      <c r="E119" s="17"/>
      <c r="F119" s="17"/>
      <c r="G119" s="22" t="n">
        <f aca="false">COUNTIFS('Role Enclaves'!$D$7:$D$42,B119,'Role Enclaves'!$E$7:$E$42,C119,'Role Enclaves'!$B$7:$B$42,"&lt;&gt;"&amp;D119,'Role Enclaves'!$C$7:$C$42,"&lt;&gt;"&amp;E119)-IF(F119=C119,1,0)</f>
        <v>2</v>
      </c>
      <c r="H119" s="22" t="n">
        <f aca="false">COUNTIFS('Court Quorum'!$B$7:$B$24,B119,'Court Quorum'!$C$7:$C$24,"&lt;&gt;"&amp;D119,'Court Quorum'!$D$7:$D$24,"&lt;&gt;"&amp;E119)-IF(F119="Court",1,0)</f>
        <v>3</v>
      </c>
      <c r="I119" s="22" t="n">
        <f aca="false">Inputs!$B$10</f>
        <v>2</v>
      </c>
      <c r="J119" s="22" t="str">
        <f aca="false">IF(AND(G119&gt;=1,H119&gt;=I119),"PASS","FAIL")</f>
        <v>PASS</v>
      </c>
      <c r="K119" s="4"/>
      <c r="L119" s="4"/>
      <c r="M119" s="4"/>
      <c r="N119" s="4"/>
    </row>
    <row r="120" customFormat="false" ht="15" hidden="false" customHeight="false" outlineLevel="0" collapsed="false">
      <c r="A120" s="17" t="s">
        <v>338</v>
      </c>
      <c r="B120" s="17" t="s">
        <v>149</v>
      </c>
      <c r="C120" s="17" t="s">
        <v>142</v>
      </c>
      <c r="D120" s="17" t="s">
        <v>156</v>
      </c>
      <c r="E120" s="17"/>
      <c r="F120" s="17"/>
      <c r="G120" s="22" t="n">
        <f aca="false">COUNTIFS('Role Enclaves'!$D$7:$D$42,B120,'Role Enclaves'!$E$7:$E$42,C120,'Role Enclaves'!$B$7:$B$42,"&lt;&gt;"&amp;D120,'Role Enclaves'!$C$7:$C$42,"&lt;&gt;"&amp;E120)-IF(F120=C120,1,0)</f>
        <v>2</v>
      </c>
      <c r="H120" s="22" t="n">
        <f aca="false">COUNTIFS('Court Quorum'!$B$7:$B$24,B120,'Court Quorum'!$C$7:$C$24,"&lt;&gt;"&amp;D120,'Court Quorum'!$D$7:$D$24,"&lt;&gt;"&amp;E120)-IF(F120="Court",1,0)</f>
        <v>3</v>
      </c>
      <c r="I120" s="22" t="n">
        <f aca="false">Inputs!$B$10</f>
        <v>2</v>
      </c>
      <c r="J120" s="22" t="str">
        <f aca="false">IF(AND(G120&gt;=1,H120&gt;=I120),"PASS","FAIL")</f>
        <v>PASS</v>
      </c>
      <c r="K120" s="4"/>
      <c r="L120" s="4"/>
      <c r="M120" s="4"/>
      <c r="N120" s="4"/>
    </row>
    <row r="121" customFormat="false" ht="15" hidden="false" customHeight="false" outlineLevel="0" collapsed="false">
      <c r="A121" s="17" t="s">
        <v>338</v>
      </c>
      <c r="B121" s="17" t="s">
        <v>157</v>
      </c>
      <c r="C121" s="17" t="s">
        <v>141</v>
      </c>
      <c r="D121" s="17" t="s">
        <v>156</v>
      </c>
      <c r="E121" s="17"/>
      <c r="F121" s="17"/>
      <c r="G121" s="22" t="n">
        <f aca="false">COUNTIFS('Role Enclaves'!$D$7:$D$42,B121,'Role Enclaves'!$E$7:$E$42,C121,'Role Enclaves'!$B$7:$B$42,"&lt;&gt;"&amp;D121,'Role Enclaves'!$C$7:$C$42,"&lt;&gt;"&amp;E121)-IF(F121=C121,1,0)</f>
        <v>1</v>
      </c>
      <c r="H121" s="22" t="n">
        <f aca="false">COUNTIFS('Court Quorum'!$B$7:$B$24,B121,'Court Quorum'!$C$7:$C$24,"&lt;&gt;"&amp;D121,'Court Quorum'!$D$7:$D$24,"&lt;&gt;"&amp;E121)-IF(F121="Court",1,0)</f>
        <v>2</v>
      </c>
      <c r="I121" s="22" t="n">
        <f aca="false">Inputs!$B$10</f>
        <v>2</v>
      </c>
      <c r="J121" s="22" t="str">
        <f aca="false">IF(AND(G121&gt;=1,H121&gt;=I121),"PASS","FAIL")</f>
        <v>PASS</v>
      </c>
      <c r="K121" s="4"/>
      <c r="L121" s="4"/>
      <c r="M121" s="4"/>
      <c r="N121" s="4"/>
    </row>
    <row r="122" customFormat="false" ht="15" hidden="false" customHeight="false" outlineLevel="0" collapsed="false">
      <c r="A122" s="17" t="s">
        <v>338</v>
      </c>
      <c r="B122" s="17" t="s">
        <v>157</v>
      </c>
      <c r="C122" s="17" t="s">
        <v>145</v>
      </c>
      <c r="D122" s="17" t="s">
        <v>156</v>
      </c>
      <c r="E122" s="17"/>
      <c r="F122" s="17"/>
      <c r="G122" s="22" t="n">
        <f aca="false">COUNTIFS('Role Enclaves'!$D$7:$D$42,B122,'Role Enclaves'!$E$7:$E$42,C122,'Role Enclaves'!$B$7:$B$42,"&lt;&gt;"&amp;D122,'Role Enclaves'!$C$7:$C$42,"&lt;&gt;"&amp;E122)-IF(F122=C122,1,0)</f>
        <v>2</v>
      </c>
      <c r="H122" s="22" t="n">
        <f aca="false">COUNTIFS('Court Quorum'!$B$7:$B$24,B122,'Court Quorum'!$C$7:$C$24,"&lt;&gt;"&amp;D122,'Court Quorum'!$D$7:$D$24,"&lt;&gt;"&amp;E122)-IF(F122="Court",1,0)</f>
        <v>2</v>
      </c>
      <c r="I122" s="22" t="n">
        <f aca="false">Inputs!$B$10</f>
        <v>2</v>
      </c>
      <c r="J122" s="22" t="str">
        <f aca="false">IF(AND(G122&gt;=1,H122&gt;=I122),"PASS","FAIL")</f>
        <v>PASS</v>
      </c>
      <c r="K122" s="4"/>
      <c r="L122" s="4"/>
      <c r="M122" s="4"/>
      <c r="N122" s="4"/>
    </row>
    <row r="123" customFormat="false" ht="15" hidden="false" customHeight="false" outlineLevel="0" collapsed="false">
      <c r="A123" s="17" t="s">
        <v>338</v>
      </c>
      <c r="B123" s="17" t="s">
        <v>157</v>
      </c>
      <c r="C123" s="17" t="s">
        <v>142</v>
      </c>
      <c r="D123" s="17" t="s">
        <v>156</v>
      </c>
      <c r="E123" s="17"/>
      <c r="F123" s="17"/>
      <c r="G123" s="22" t="n">
        <f aca="false">COUNTIFS('Role Enclaves'!$D$7:$D$42,B123,'Role Enclaves'!$E$7:$E$42,C123,'Role Enclaves'!$B$7:$B$42,"&lt;&gt;"&amp;D123,'Role Enclaves'!$C$7:$C$42,"&lt;&gt;"&amp;E123)-IF(F123=C123,1,0)</f>
        <v>1</v>
      </c>
      <c r="H123" s="22" t="n">
        <f aca="false">COUNTIFS('Court Quorum'!$B$7:$B$24,B123,'Court Quorum'!$C$7:$C$24,"&lt;&gt;"&amp;D123,'Court Quorum'!$D$7:$D$24,"&lt;&gt;"&amp;E123)-IF(F123="Court",1,0)</f>
        <v>2</v>
      </c>
      <c r="I123" s="22" t="n">
        <f aca="false">Inputs!$B$10</f>
        <v>2</v>
      </c>
      <c r="J123" s="22" t="str">
        <f aca="false">IF(AND(G123&gt;=1,H123&gt;=I123),"PASS","FAIL")</f>
        <v>PASS</v>
      </c>
      <c r="K123" s="4"/>
      <c r="L123" s="4"/>
      <c r="M123" s="4"/>
      <c r="N123" s="4"/>
    </row>
    <row r="124" customFormat="false" ht="15" hidden="false" customHeight="false" outlineLevel="0" collapsed="false">
      <c r="A124" s="17" t="s">
        <v>338</v>
      </c>
      <c r="B124" s="17" t="s">
        <v>162</v>
      </c>
      <c r="C124" s="17" t="s">
        <v>141</v>
      </c>
      <c r="D124" s="17" t="s">
        <v>156</v>
      </c>
      <c r="E124" s="17"/>
      <c r="F124" s="17"/>
      <c r="G124" s="22" t="n">
        <f aca="false">COUNTIFS('Role Enclaves'!$D$7:$D$42,B124,'Role Enclaves'!$E$7:$E$42,C124,'Role Enclaves'!$B$7:$B$42,"&lt;&gt;"&amp;D124,'Role Enclaves'!$C$7:$C$42,"&lt;&gt;"&amp;E124)-IF(F124=C124,1,0)</f>
        <v>2</v>
      </c>
      <c r="H124" s="22" t="n">
        <f aca="false">COUNTIFS('Court Quorum'!$B$7:$B$24,B124,'Court Quorum'!$C$7:$C$24,"&lt;&gt;"&amp;D124,'Court Quorum'!$D$7:$D$24,"&lt;&gt;"&amp;E124)-IF(F124="Court",1,0)</f>
        <v>3</v>
      </c>
      <c r="I124" s="22" t="n">
        <f aca="false">Inputs!$B$10</f>
        <v>2</v>
      </c>
      <c r="J124" s="22" t="str">
        <f aca="false">IF(AND(G124&gt;=1,H124&gt;=I124),"PASS","FAIL")</f>
        <v>PASS</v>
      </c>
      <c r="K124" s="4"/>
      <c r="L124" s="4"/>
      <c r="M124" s="4"/>
      <c r="N124" s="4"/>
    </row>
    <row r="125" customFormat="false" ht="15" hidden="false" customHeight="false" outlineLevel="0" collapsed="false">
      <c r="A125" s="17" t="s">
        <v>338</v>
      </c>
      <c r="B125" s="17" t="s">
        <v>162</v>
      </c>
      <c r="C125" s="17" t="s">
        <v>145</v>
      </c>
      <c r="D125" s="17" t="s">
        <v>156</v>
      </c>
      <c r="E125" s="17"/>
      <c r="F125" s="17"/>
      <c r="G125" s="22" t="n">
        <f aca="false">COUNTIFS('Role Enclaves'!$D$7:$D$42,B125,'Role Enclaves'!$E$7:$E$42,C125,'Role Enclaves'!$B$7:$B$42,"&lt;&gt;"&amp;D125,'Role Enclaves'!$C$7:$C$42,"&lt;&gt;"&amp;E125)-IF(F125=C125,1,0)</f>
        <v>2</v>
      </c>
      <c r="H125" s="22" t="n">
        <f aca="false">COUNTIFS('Court Quorum'!$B$7:$B$24,B125,'Court Quorum'!$C$7:$C$24,"&lt;&gt;"&amp;D125,'Court Quorum'!$D$7:$D$24,"&lt;&gt;"&amp;E125)-IF(F125="Court",1,0)</f>
        <v>3</v>
      </c>
      <c r="I125" s="22" t="n">
        <f aca="false">Inputs!$B$10</f>
        <v>2</v>
      </c>
      <c r="J125" s="22" t="str">
        <f aca="false">IF(AND(G125&gt;=1,H125&gt;=I125),"PASS","FAIL")</f>
        <v>PASS</v>
      </c>
      <c r="K125" s="4"/>
      <c r="L125" s="4"/>
      <c r="M125" s="4"/>
      <c r="N125" s="4"/>
    </row>
    <row r="126" customFormat="false" ht="15" hidden="false" customHeight="false" outlineLevel="0" collapsed="false">
      <c r="A126" s="17" t="s">
        <v>338</v>
      </c>
      <c r="B126" s="17" t="s">
        <v>162</v>
      </c>
      <c r="C126" s="17" t="s">
        <v>142</v>
      </c>
      <c r="D126" s="17" t="s">
        <v>156</v>
      </c>
      <c r="E126" s="17"/>
      <c r="F126" s="17"/>
      <c r="G126" s="22" t="n">
        <f aca="false">COUNTIFS('Role Enclaves'!$D$7:$D$42,B126,'Role Enclaves'!$E$7:$E$42,C126,'Role Enclaves'!$B$7:$B$42,"&lt;&gt;"&amp;D126,'Role Enclaves'!$C$7:$C$42,"&lt;&gt;"&amp;E126)-IF(F126=C126,1,0)</f>
        <v>2</v>
      </c>
      <c r="H126" s="22" t="n">
        <f aca="false">COUNTIFS('Court Quorum'!$B$7:$B$24,B126,'Court Quorum'!$C$7:$C$24,"&lt;&gt;"&amp;D126,'Court Quorum'!$D$7:$D$24,"&lt;&gt;"&amp;E126)-IF(F126="Court",1,0)</f>
        <v>3</v>
      </c>
      <c r="I126" s="22" t="n">
        <f aca="false">Inputs!$B$10</f>
        <v>2</v>
      </c>
      <c r="J126" s="22" t="str">
        <f aca="false">IF(AND(G126&gt;=1,H126&gt;=I126),"PASS","FAIL")</f>
        <v>PASS</v>
      </c>
      <c r="K126" s="4"/>
      <c r="L126" s="4"/>
      <c r="M126" s="4"/>
      <c r="N126" s="4"/>
    </row>
    <row r="127" customFormat="false" ht="15" hidden="false" customHeight="false" outlineLevel="0" collapsed="false">
      <c r="A127" s="17" t="s">
        <v>338</v>
      </c>
      <c r="B127" s="17" t="s">
        <v>167</v>
      </c>
      <c r="C127" s="17" t="s">
        <v>141</v>
      </c>
      <c r="D127" s="17" t="s">
        <v>156</v>
      </c>
      <c r="E127" s="17"/>
      <c r="F127" s="17"/>
      <c r="G127" s="22" t="n">
        <f aca="false">COUNTIFS('Role Enclaves'!$D$7:$D$42,B127,'Role Enclaves'!$E$7:$E$42,C127,'Role Enclaves'!$B$7:$B$42,"&lt;&gt;"&amp;D127,'Role Enclaves'!$C$7:$C$42,"&lt;&gt;"&amp;E127)-IF(F127=C127,1,0)</f>
        <v>2</v>
      </c>
      <c r="H127" s="22" t="n">
        <f aca="false">COUNTIFS('Court Quorum'!$B$7:$B$24,B127,'Court Quorum'!$C$7:$C$24,"&lt;&gt;"&amp;D127,'Court Quorum'!$D$7:$D$24,"&lt;&gt;"&amp;E127)-IF(F127="Court",1,0)</f>
        <v>3</v>
      </c>
      <c r="I127" s="22" t="n">
        <f aca="false">Inputs!$B$10</f>
        <v>2</v>
      </c>
      <c r="J127" s="22" t="str">
        <f aca="false">IF(AND(G127&gt;=1,H127&gt;=I127),"PASS","FAIL")</f>
        <v>PASS</v>
      </c>
      <c r="K127" s="4"/>
      <c r="L127" s="4"/>
      <c r="M127" s="4"/>
      <c r="N127" s="4"/>
    </row>
    <row r="128" customFormat="false" ht="15" hidden="false" customHeight="false" outlineLevel="0" collapsed="false">
      <c r="A128" s="17" t="s">
        <v>338</v>
      </c>
      <c r="B128" s="17" t="s">
        <v>167</v>
      </c>
      <c r="C128" s="17" t="s">
        <v>145</v>
      </c>
      <c r="D128" s="17" t="s">
        <v>156</v>
      </c>
      <c r="E128" s="17"/>
      <c r="F128" s="17"/>
      <c r="G128" s="22" t="n">
        <f aca="false">COUNTIFS('Role Enclaves'!$D$7:$D$42,B128,'Role Enclaves'!$E$7:$E$42,C128,'Role Enclaves'!$B$7:$B$42,"&lt;&gt;"&amp;D128,'Role Enclaves'!$C$7:$C$42,"&lt;&gt;"&amp;E128)-IF(F128=C128,1,0)</f>
        <v>2</v>
      </c>
      <c r="H128" s="22" t="n">
        <f aca="false">COUNTIFS('Court Quorum'!$B$7:$B$24,B128,'Court Quorum'!$C$7:$C$24,"&lt;&gt;"&amp;D128,'Court Quorum'!$D$7:$D$24,"&lt;&gt;"&amp;E128)-IF(F128="Court",1,0)</f>
        <v>3</v>
      </c>
      <c r="I128" s="22" t="n">
        <f aca="false">Inputs!$B$10</f>
        <v>2</v>
      </c>
      <c r="J128" s="22" t="str">
        <f aca="false">IF(AND(G128&gt;=1,H128&gt;=I128),"PASS","FAIL")</f>
        <v>PASS</v>
      </c>
      <c r="K128" s="4"/>
      <c r="L128" s="4"/>
      <c r="M128" s="4"/>
      <c r="N128" s="4"/>
    </row>
    <row r="129" customFormat="false" ht="15" hidden="false" customHeight="false" outlineLevel="0" collapsed="false">
      <c r="A129" s="17" t="s">
        <v>338</v>
      </c>
      <c r="B129" s="17" t="s">
        <v>167</v>
      </c>
      <c r="C129" s="17" t="s">
        <v>142</v>
      </c>
      <c r="D129" s="17" t="s">
        <v>156</v>
      </c>
      <c r="E129" s="17"/>
      <c r="F129" s="17"/>
      <c r="G129" s="22" t="n">
        <f aca="false">COUNTIFS('Role Enclaves'!$D$7:$D$42,B129,'Role Enclaves'!$E$7:$E$42,C129,'Role Enclaves'!$B$7:$B$42,"&lt;&gt;"&amp;D129,'Role Enclaves'!$C$7:$C$42,"&lt;&gt;"&amp;E129)-IF(F129=C129,1,0)</f>
        <v>2</v>
      </c>
      <c r="H129" s="22" t="n">
        <f aca="false">COUNTIFS('Court Quorum'!$B$7:$B$24,B129,'Court Quorum'!$C$7:$C$24,"&lt;&gt;"&amp;D129,'Court Quorum'!$D$7:$D$24,"&lt;&gt;"&amp;E129)-IF(F129="Court",1,0)</f>
        <v>3</v>
      </c>
      <c r="I129" s="22" t="n">
        <f aca="false">Inputs!$B$10</f>
        <v>2</v>
      </c>
      <c r="J129" s="22" t="str">
        <f aca="false">IF(AND(G129&gt;=1,H129&gt;=I129),"PASS","FAIL")</f>
        <v>PASS</v>
      </c>
      <c r="K129" s="4"/>
      <c r="L129" s="4"/>
      <c r="M129" s="4"/>
      <c r="N129" s="4"/>
    </row>
    <row r="130" customFormat="false" ht="15" hidden="false" customHeight="false" outlineLevel="0" collapsed="false">
      <c r="A130" s="17" t="s">
        <v>338</v>
      </c>
      <c r="B130" s="17" t="s">
        <v>172</v>
      </c>
      <c r="C130" s="17" t="s">
        <v>141</v>
      </c>
      <c r="D130" s="17" t="s">
        <v>156</v>
      </c>
      <c r="E130" s="17"/>
      <c r="F130" s="17"/>
      <c r="G130" s="22" t="n">
        <f aca="false">COUNTIFS('Role Enclaves'!$D$7:$D$42,B130,'Role Enclaves'!$E$7:$E$42,C130,'Role Enclaves'!$B$7:$B$42,"&lt;&gt;"&amp;D130,'Role Enclaves'!$C$7:$C$42,"&lt;&gt;"&amp;E130)-IF(F130=C130,1,0)</f>
        <v>2</v>
      </c>
      <c r="H130" s="22" t="n">
        <f aca="false">COUNTIFS('Court Quorum'!$B$7:$B$24,B130,'Court Quorum'!$C$7:$C$24,"&lt;&gt;"&amp;D130,'Court Quorum'!$D$7:$D$24,"&lt;&gt;"&amp;E130)-IF(F130="Court",1,0)</f>
        <v>3</v>
      </c>
      <c r="I130" s="22" t="n">
        <f aca="false">Inputs!$B$10</f>
        <v>2</v>
      </c>
      <c r="J130" s="22" t="str">
        <f aca="false">IF(AND(G130&gt;=1,H130&gt;=I130),"PASS","FAIL")</f>
        <v>PASS</v>
      </c>
      <c r="K130" s="4"/>
      <c r="L130" s="4"/>
      <c r="M130" s="4"/>
      <c r="N130" s="4"/>
    </row>
    <row r="131" customFormat="false" ht="15" hidden="false" customHeight="false" outlineLevel="0" collapsed="false">
      <c r="A131" s="17" t="s">
        <v>338</v>
      </c>
      <c r="B131" s="17" t="s">
        <v>172</v>
      </c>
      <c r="C131" s="17" t="s">
        <v>145</v>
      </c>
      <c r="D131" s="17" t="s">
        <v>156</v>
      </c>
      <c r="E131" s="17"/>
      <c r="F131" s="17"/>
      <c r="G131" s="22" t="n">
        <f aca="false">COUNTIFS('Role Enclaves'!$D$7:$D$42,B131,'Role Enclaves'!$E$7:$E$42,C131,'Role Enclaves'!$B$7:$B$42,"&lt;&gt;"&amp;D131,'Role Enclaves'!$C$7:$C$42,"&lt;&gt;"&amp;E131)-IF(F131=C131,1,0)</f>
        <v>2</v>
      </c>
      <c r="H131" s="22" t="n">
        <f aca="false">COUNTIFS('Court Quorum'!$B$7:$B$24,B131,'Court Quorum'!$C$7:$C$24,"&lt;&gt;"&amp;D131,'Court Quorum'!$D$7:$D$24,"&lt;&gt;"&amp;E131)-IF(F131="Court",1,0)</f>
        <v>3</v>
      </c>
      <c r="I131" s="22" t="n">
        <f aca="false">Inputs!$B$10</f>
        <v>2</v>
      </c>
      <c r="J131" s="22" t="str">
        <f aca="false">IF(AND(G131&gt;=1,H131&gt;=I131),"PASS","FAIL")</f>
        <v>PASS</v>
      </c>
      <c r="K131" s="4"/>
      <c r="L131" s="4"/>
      <c r="M131" s="4"/>
      <c r="N131" s="4"/>
    </row>
    <row r="132" customFormat="false" ht="15" hidden="false" customHeight="false" outlineLevel="0" collapsed="false">
      <c r="A132" s="17" t="s">
        <v>338</v>
      </c>
      <c r="B132" s="17" t="s">
        <v>172</v>
      </c>
      <c r="C132" s="17" t="s">
        <v>142</v>
      </c>
      <c r="D132" s="17" t="s">
        <v>156</v>
      </c>
      <c r="E132" s="17"/>
      <c r="F132" s="17"/>
      <c r="G132" s="22" t="n">
        <f aca="false">COUNTIFS('Role Enclaves'!$D$7:$D$42,B132,'Role Enclaves'!$E$7:$E$42,C132,'Role Enclaves'!$B$7:$B$42,"&lt;&gt;"&amp;D132,'Role Enclaves'!$C$7:$C$42,"&lt;&gt;"&amp;E132)-IF(F132=C132,1,0)</f>
        <v>2</v>
      </c>
      <c r="H132" s="22" t="n">
        <f aca="false">COUNTIFS('Court Quorum'!$B$7:$B$24,B132,'Court Quorum'!$C$7:$C$24,"&lt;&gt;"&amp;D132,'Court Quorum'!$D$7:$D$24,"&lt;&gt;"&amp;E132)-IF(F132="Court",1,0)</f>
        <v>3</v>
      </c>
      <c r="I132" s="22" t="n">
        <f aca="false">Inputs!$B$10</f>
        <v>2</v>
      </c>
      <c r="J132" s="22" t="str">
        <f aca="false">IF(AND(G132&gt;=1,H132&gt;=I132),"PASS","FAIL")</f>
        <v>PASS</v>
      </c>
      <c r="K132" s="4"/>
      <c r="L132" s="4"/>
      <c r="M132" s="4"/>
      <c r="N132" s="4"/>
    </row>
    <row r="133" customFormat="false" ht="15" hidden="false" customHeight="false" outlineLevel="0" collapsed="false">
      <c r="A133" s="17" t="s">
        <v>339</v>
      </c>
      <c r="B133" s="17" t="s">
        <v>138</v>
      </c>
      <c r="C133" s="17" t="s">
        <v>141</v>
      </c>
      <c r="D133" s="17" t="s">
        <v>159</v>
      </c>
      <c r="E133" s="17"/>
      <c r="F133" s="17"/>
      <c r="G133" s="22" t="n">
        <f aca="false">COUNTIFS('Role Enclaves'!$D$7:$D$42,B133,'Role Enclaves'!$E$7:$E$42,C133,'Role Enclaves'!$B$7:$B$42,"&lt;&gt;"&amp;D133,'Role Enclaves'!$C$7:$C$42,"&lt;&gt;"&amp;E133)-IF(F133=C133,1,0)</f>
        <v>2</v>
      </c>
      <c r="H133" s="22" t="n">
        <f aca="false">COUNTIFS('Court Quorum'!$B$7:$B$24,B133,'Court Quorum'!$C$7:$C$24,"&lt;&gt;"&amp;D133,'Court Quorum'!$D$7:$D$24,"&lt;&gt;"&amp;E133)-IF(F133="Court",1,0)</f>
        <v>3</v>
      </c>
      <c r="I133" s="22" t="n">
        <f aca="false">Inputs!$B$10</f>
        <v>2</v>
      </c>
      <c r="J133" s="22" t="str">
        <f aca="false">IF(AND(G133&gt;=1,H133&gt;=I133),"PASS","FAIL")</f>
        <v>PASS</v>
      </c>
      <c r="K133" s="4"/>
      <c r="L133" s="4"/>
      <c r="M133" s="4"/>
      <c r="N133" s="4"/>
    </row>
    <row r="134" customFormat="false" ht="15" hidden="false" customHeight="false" outlineLevel="0" collapsed="false">
      <c r="A134" s="17" t="s">
        <v>339</v>
      </c>
      <c r="B134" s="17" t="s">
        <v>138</v>
      </c>
      <c r="C134" s="17" t="s">
        <v>145</v>
      </c>
      <c r="D134" s="17" t="s">
        <v>159</v>
      </c>
      <c r="E134" s="17"/>
      <c r="F134" s="17"/>
      <c r="G134" s="22" t="n">
        <f aca="false">COUNTIFS('Role Enclaves'!$D$7:$D$42,B134,'Role Enclaves'!$E$7:$E$42,C134,'Role Enclaves'!$B$7:$B$42,"&lt;&gt;"&amp;D134,'Role Enclaves'!$C$7:$C$42,"&lt;&gt;"&amp;E134)-IF(F134=C134,1,0)</f>
        <v>2</v>
      </c>
      <c r="H134" s="22" t="n">
        <f aca="false">COUNTIFS('Court Quorum'!$B$7:$B$24,B134,'Court Quorum'!$C$7:$C$24,"&lt;&gt;"&amp;D134,'Court Quorum'!$D$7:$D$24,"&lt;&gt;"&amp;E134)-IF(F134="Court",1,0)</f>
        <v>3</v>
      </c>
      <c r="I134" s="22" t="n">
        <f aca="false">Inputs!$B$10</f>
        <v>2</v>
      </c>
      <c r="J134" s="22" t="str">
        <f aca="false">IF(AND(G134&gt;=1,H134&gt;=I134),"PASS","FAIL")</f>
        <v>PASS</v>
      </c>
      <c r="K134" s="4"/>
      <c r="L134" s="4"/>
      <c r="M134" s="4"/>
      <c r="N134" s="4"/>
    </row>
    <row r="135" customFormat="false" ht="15" hidden="false" customHeight="false" outlineLevel="0" collapsed="false">
      <c r="A135" s="17" t="s">
        <v>339</v>
      </c>
      <c r="B135" s="17" t="s">
        <v>138</v>
      </c>
      <c r="C135" s="17" t="s">
        <v>142</v>
      </c>
      <c r="D135" s="17" t="s">
        <v>159</v>
      </c>
      <c r="E135" s="17"/>
      <c r="F135" s="17"/>
      <c r="G135" s="22" t="n">
        <f aca="false">COUNTIFS('Role Enclaves'!$D$7:$D$42,B135,'Role Enclaves'!$E$7:$E$42,C135,'Role Enclaves'!$B$7:$B$42,"&lt;&gt;"&amp;D135,'Role Enclaves'!$C$7:$C$42,"&lt;&gt;"&amp;E135)-IF(F135=C135,1,0)</f>
        <v>2</v>
      </c>
      <c r="H135" s="22" t="n">
        <f aca="false">COUNTIFS('Court Quorum'!$B$7:$B$24,B135,'Court Quorum'!$C$7:$C$24,"&lt;&gt;"&amp;D135,'Court Quorum'!$D$7:$D$24,"&lt;&gt;"&amp;E135)-IF(F135="Court",1,0)</f>
        <v>3</v>
      </c>
      <c r="I135" s="22" t="n">
        <f aca="false">Inputs!$B$10</f>
        <v>2</v>
      </c>
      <c r="J135" s="22" t="str">
        <f aca="false">IF(AND(G135&gt;=1,H135&gt;=I135),"PASS","FAIL")</f>
        <v>PASS</v>
      </c>
      <c r="K135" s="4"/>
      <c r="L135" s="4"/>
      <c r="M135" s="4"/>
      <c r="N135" s="4"/>
    </row>
    <row r="136" customFormat="false" ht="15" hidden="false" customHeight="false" outlineLevel="0" collapsed="false">
      <c r="A136" s="17" t="s">
        <v>339</v>
      </c>
      <c r="B136" s="17" t="s">
        <v>149</v>
      </c>
      <c r="C136" s="17" t="s">
        <v>141</v>
      </c>
      <c r="D136" s="17" t="s">
        <v>159</v>
      </c>
      <c r="E136" s="17"/>
      <c r="F136" s="17"/>
      <c r="G136" s="22" t="n">
        <f aca="false">COUNTIFS('Role Enclaves'!$D$7:$D$42,B136,'Role Enclaves'!$E$7:$E$42,C136,'Role Enclaves'!$B$7:$B$42,"&lt;&gt;"&amp;D136,'Role Enclaves'!$C$7:$C$42,"&lt;&gt;"&amp;E136)-IF(F136=C136,1,0)</f>
        <v>2</v>
      </c>
      <c r="H136" s="22" t="n">
        <f aca="false">COUNTIFS('Court Quorum'!$B$7:$B$24,B136,'Court Quorum'!$C$7:$C$24,"&lt;&gt;"&amp;D136,'Court Quorum'!$D$7:$D$24,"&lt;&gt;"&amp;E136)-IF(F136="Court",1,0)</f>
        <v>3</v>
      </c>
      <c r="I136" s="22" t="n">
        <f aca="false">Inputs!$B$10</f>
        <v>2</v>
      </c>
      <c r="J136" s="22" t="str">
        <f aca="false">IF(AND(G136&gt;=1,H136&gt;=I136),"PASS","FAIL")</f>
        <v>PASS</v>
      </c>
      <c r="K136" s="4"/>
      <c r="L136" s="4"/>
      <c r="M136" s="4"/>
      <c r="N136" s="4"/>
    </row>
    <row r="137" customFormat="false" ht="15" hidden="false" customHeight="false" outlineLevel="0" collapsed="false">
      <c r="A137" s="17" t="s">
        <v>339</v>
      </c>
      <c r="B137" s="17" t="s">
        <v>149</v>
      </c>
      <c r="C137" s="17" t="s">
        <v>145</v>
      </c>
      <c r="D137" s="17" t="s">
        <v>159</v>
      </c>
      <c r="E137" s="17"/>
      <c r="F137" s="17"/>
      <c r="G137" s="22" t="n">
        <f aca="false">COUNTIFS('Role Enclaves'!$D$7:$D$42,B137,'Role Enclaves'!$E$7:$E$42,C137,'Role Enclaves'!$B$7:$B$42,"&lt;&gt;"&amp;D137,'Role Enclaves'!$C$7:$C$42,"&lt;&gt;"&amp;E137)-IF(F137=C137,1,0)</f>
        <v>2</v>
      </c>
      <c r="H137" s="22" t="n">
        <f aca="false">COUNTIFS('Court Quorum'!$B$7:$B$24,B137,'Court Quorum'!$C$7:$C$24,"&lt;&gt;"&amp;D137,'Court Quorum'!$D$7:$D$24,"&lt;&gt;"&amp;E137)-IF(F137="Court",1,0)</f>
        <v>3</v>
      </c>
      <c r="I137" s="22" t="n">
        <f aca="false">Inputs!$B$10</f>
        <v>2</v>
      </c>
      <c r="J137" s="22" t="str">
        <f aca="false">IF(AND(G137&gt;=1,H137&gt;=I137),"PASS","FAIL")</f>
        <v>PASS</v>
      </c>
      <c r="K137" s="4"/>
      <c r="L137" s="4"/>
      <c r="M137" s="4"/>
      <c r="N137" s="4"/>
    </row>
    <row r="138" customFormat="false" ht="15" hidden="false" customHeight="false" outlineLevel="0" collapsed="false">
      <c r="A138" s="17" t="s">
        <v>339</v>
      </c>
      <c r="B138" s="17" t="s">
        <v>149</v>
      </c>
      <c r="C138" s="17" t="s">
        <v>142</v>
      </c>
      <c r="D138" s="17" t="s">
        <v>159</v>
      </c>
      <c r="E138" s="17"/>
      <c r="F138" s="17"/>
      <c r="G138" s="22" t="n">
        <f aca="false">COUNTIFS('Role Enclaves'!$D$7:$D$42,B138,'Role Enclaves'!$E$7:$E$42,C138,'Role Enclaves'!$B$7:$B$42,"&lt;&gt;"&amp;D138,'Role Enclaves'!$C$7:$C$42,"&lt;&gt;"&amp;E138)-IF(F138=C138,1,0)</f>
        <v>2</v>
      </c>
      <c r="H138" s="22" t="n">
        <f aca="false">COUNTIFS('Court Quorum'!$B$7:$B$24,B138,'Court Quorum'!$C$7:$C$24,"&lt;&gt;"&amp;D138,'Court Quorum'!$D$7:$D$24,"&lt;&gt;"&amp;E138)-IF(F138="Court",1,0)</f>
        <v>3</v>
      </c>
      <c r="I138" s="22" t="n">
        <f aca="false">Inputs!$B$10</f>
        <v>2</v>
      </c>
      <c r="J138" s="22" t="str">
        <f aca="false">IF(AND(G138&gt;=1,H138&gt;=I138),"PASS","FAIL")</f>
        <v>PASS</v>
      </c>
      <c r="K138" s="4"/>
      <c r="L138" s="4"/>
      <c r="M138" s="4"/>
      <c r="N138" s="4"/>
    </row>
    <row r="139" customFormat="false" ht="15" hidden="false" customHeight="false" outlineLevel="0" collapsed="false">
      <c r="A139" s="17" t="s">
        <v>339</v>
      </c>
      <c r="B139" s="17" t="s">
        <v>157</v>
      </c>
      <c r="C139" s="17" t="s">
        <v>141</v>
      </c>
      <c r="D139" s="17" t="s">
        <v>159</v>
      </c>
      <c r="E139" s="17"/>
      <c r="F139" s="17"/>
      <c r="G139" s="22" t="n">
        <f aca="false">COUNTIFS('Role Enclaves'!$D$7:$D$42,B139,'Role Enclaves'!$E$7:$E$42,C139,'Role Enclaves'!$B$7:$B$42,"&lt;&gt;"&amp;D139,'Role Enclaves'!$C$7:$C$42,"&lt;&gt;"&amp;E139)-IF(F139=C139,1,0)</f>
        <v>1</v>
      </c>
      <c r="H139" s="22" t="n">
        <f aca="false">COUNTIFS('Court Quorum'!$B$7:$B$24,B139,'Court Quorum'!$C$7:$C$24,"&lt;&gt;"&amp;D139,'Court Quorum'!$D$7:$D$24,"&lt;&gt;"&amp;E139)-IF(F139="Court",1,0)</f>
        <v>2</v>
      </c>
      <c r="I139" s="22" t="n">
        <f aca="false">Inputs!$B$10</f>
        <v>2</v>
      </c>
      <c r="J139" s="22" t="str">
        <f aca="false">IF(AND(G139&gt;=1,H139&gt;=I139),"PASS","FAIL")</f>
        <v>PASS</v>
      </c>
      <c r="K139" s="4"/>
      <c r="L139" s="4"/>
      <c r="M139" s="4"/>
      <c r="N139" s="4"/>
    </row>
    <row r="140" customFormat="false" ht="15" hidden="false" customHeight="false" outlineLevel="0" collapsed="false">
      <c r="A140" s="17" t="s">
        <v>339</v>
      </c>
      <c r="B140" s="17" t="s">
        <v>157</v>
      </c>
      <c r="C140" s="17" t="s">
        <v>145</v>
      </c>
      <c r="D140" s="17" t="s">
        <v>159</v>
      </c>
      <c r="E140" s="17"/>
      <c r="F140" s="17"/>
      <c r="G140" s="22" t="n">
        <f aca="false">COUNTIFS('Role Enclaves'!$D$7:$D$42,B140,'Role Enclaves'!$E$7:$E$42,C140,'Role Enclaves'!$B$7:$B$42,"&lt;&gt;"&amp;D140,'Role Enclaves'!$C$7:$C$42,"&lt;&gt;"&amp;E140)-IF(F140=C140,1,0)</f>
        <v>1</v>
      </c>
      <c r="H140" s="22" t="n">
        <f aca="false">COUNTIFS('Court Quorum'!$B$7:$B$24,B140,'Court Quorum'!$C$7:$C$24,"&lt;&gt;"&amp;D140,'Court Quorum'!$D$7:$D$24,"&lt;&gt;"&amp;E140)-IF(F140="Court",1,0)</f>
        <v>2</v>
      </c>
      <c r="I140" s="22" t="n">
        <f aca="false">Inputs!$B$10</f>
        <v>2</v>
      </c>
      <c r="J140" s="22" t="str">
        <f aca="false">IF(AND(G140&gt;=1,H140&gt;=I140),"PASS","FAIL")</f>
        <v>PASS</v>
      </c>
      <c r="K140" s="4"/>
      <c r="L140" s="4"/>
      <c r="M140" s="4"/>
      <c r="N140" s="4"/>
    </row>
    <row r="141" customFormat="false" ht="15" hidden="false" customHeight="false" outlineLevel="0" collapsed="false">
      <c r="A141" s="17" t="s">
        <v>339</v>
      </c>
      <c r="B141" s="17" t="s">
        <v>157</v>
      </c>
      <c r="C141" s="17" t="s">
        <v>142</v>
      </c>
      <c r="D141" s="17" t="s">
        <v>159</v>
      </c>
      <c r="E141" s="17"/>
      <c r="F141" s="17"/>
      <c r="G141" s="22" t="n">
        <f aca="false">COUNTIFS('Role Enclaves'!$D$7:$D$42,B141,'Role Enclaves'!$E$7:$E$42,C141,'Role Enclaves'!$B$7:$B$42,"&lt;&gt;"&amp;D141,'Role Enclaves'!$C$7:$C$42,"&lt;&gt;"&amp;E141)-IF(F141=C141,1,0)</f>
        <v>2</v>
      </c>
      <c r="H141" s="22" t="n">
        <f aca="false">COUNTIFS('Court Quorum'!$B$7:$B$24,B141,'Court Quorum'!$C$7:$C$24,"&lt;&gt;"&amp;D141,'Court Quorum'!$D$7:$D$24,"&lt;&gt;"&amp;E141)-IF(F141="Court",1,0)</f>
        <v>2</v>
      </c>
      <c r="I141" s="22" t="n">
        <f aca="false">Inputs!$B$10</f>
        <v>2</v>
      </c>
      <c r="J141" s="22" t="str">
        <f aca="false">IF(AND(G141&gt;=1,H141&gt;=I141),"PASS","FAIL")</f>
        <v>PASS</v>
      </c>
      <c r="K141" s="4"/>
      <c r="L141" s="4"/>
      <c r="M141" s="4"/>
      <c r="N141" s="4"/>
    </row>
    <row r="142" customFormat="false" ht="15" hidden="false" customHeight="false" outlineLevel="0" collapsed="false">
      <c r="A142" s="17" t="s">
        <v>339</v>
      </c>
      <c r="B142" s="17" t="s">
        <v>162</v>
      </c>
      <c r="C142" s="17" t="s">
        <v>141</v>
      </c>
      <c r="D142" s="17" t="s">
        <v>159</v>
      </c>
      <c r="E142" s="17"/>
      <c r="F142" s="17"/>
      <c r="G142" s="22" t="n">
        <f aca="false">COUNTIFS('Role Enclaves'!$D$7:$D$42,B142,'Role Enclaves'!$E$7:$E$42,C142,'Role Enclaves'!$B$7:$B$42,"&lt;&gt;"&amp;D142,'Role Enclaves'!$C$7:$C$42,"&lt;&gt;"&amp;E142)-IF(F142=C142,1,0)</f>
        <v>2</v>
      </c>
      <c r="H142" s="22" t="n">
        <f aca="false">COUNTIFS('Court Quorum'!$B$7:$B$24,B142,'Court Quorum'!$C$7:$C$24,"&lt;&gt;"&amp;D142,'Court Quorum'!$D$7:$D$24,"&lt;&gt;"&amp;E142)-IF(F142="Court",1,0)</f>
        <v>3</v>
      </c>
      <c r="I142" s="22" t="n">
        <f aca="false">Inputs!$B$10</f>
        <v>2</v>
      </c>
      <c r="J142" s="22" t="str">
        <f aca="false">IF(AND(G142&gt;=1,H142&gt;=I142),"PASS","FAIL")</f>
        <v>PASS</v>
      </c>
      <c r="K142" s="4"/>
      <c r="L142" s="4"/>
      <c r="M142" s="4"/>
      <c r="N142" s="4"/>
    </row>
    <row r="143" customFormat="false" ht="15" hidden="false" customHeight="false" outlineLevel="0" collapsed="false">
      <c r="A143" s="17" t="s">
        <v>339</v>
      </c>
      <c r="B143" s="17" t="s">
        <v>162</v>
      </c>
      <c r="C143" s="17" t="s">
        <v>145</v>
      </c>
      <c r="D143" s="17" t="s">
        <v>159</v>
      </c>
      <c r="E143" s="17"/>
      <c r="F143" s="17"/>
      <c r="G143" s="22" t="n">
        <f aca="false">COUNTIFS('Role Enclaves'!$D$7:$D$42,B143,'Role Enclaves'!$E$7:$E$42,C143,'Role Enclaves'!$B$7:$B$42,"&lt;&gt;"&amp;D143,'Role Enclaves'!$C$7:$C$42,"&lt;&gt;"&amp;E143)-IF(F143=C143,1,0)</f>
        <v>2</v>
      </c>
      <c r="H143" s="22" t="n">
        <f aca="false">COUNTIFS('Court Quorum'!$B$7:$B$24,B143,'Court Quorum'!$C$7:$C$24,"&lt;&gt;"&amp;D143,'Court Quorum'!$D$7:$D$24,"&lt;&gt;"&amp;E143)-IF(F143="Court",1,0)</f>
        <v>3</v>
      </c>
      <c r="I143" s="22" t="n">
        <f aca="false">Inputs!$B$10</f>
        <v>2</v>
      </c>
      <c r="J143" s="22" t="str">
        <f aca="false">IF(AND(G143&gt;=1,H143&gt;=I143),"PASS","FAIL")</f>
        <v>PASS</v>
      </c>
      <c r="K143" s="4"/>
      <c r="L143" s="4"/>
      <c r="M143" s="4"/>
      <c r="N143" s="4"/>
    </row>
    <row r="144" customFormat="false" ht="15" hidden="false" customHeight="false" outlineLevel="0" collapsed="false">
      <c r="A144" s="17" t="s">
        <v>339</v>
      </c>
      <c r="B144" s="17" t="s">
        <v>162</v>
      </c>
      <c r="C144" s="17" t="s">
        <v>142</v>
      </c>
      <c r="D144" s="17" t="s">
        <v>159</v>
      </c>
      <c r="E144" s="17"/>
      <c r="F144" s="17"/>
      <c r="G144" s="22" t="n">
        <f aca="false">COUNTIFS('Role Enclaves'!$D$7:$D$42,B144,'Role Enclaves'!$E$7:$E$42,C144,'Role Enclaves'!$B$7:$B$42,"&lt;&gt;"&amp;D144,'Role Enclaves'!$C$7:$C$42,"&lt;&gt;"&amp;E144)-IF(F144=C144,1,0)</f>
        <v>2</v>
      </c>
      <c r="H144" s="22" t="n">
        <f aca="false">COUNTIFS('Court Quorum'!$B$7:$B$24,B144,'Court Quorum'!$C$7:$C$24,"&lt;&gt;"&amp;D144,'Court Quorum'!$D$7:$D$24,"&lt;&gt;"&amp;E144)-IF(F144="Court",1,0)</f>
        <v>3</v>
      </c>
      <c r="I144" s="22" t="n">
        <f aca="false">Inputs!$B$10</f>
        <v>2</v>
      </c>
      <c r="J144" s="22" t="str">
        <f aca="false">IF(AND(G144&gt;=1,H144&gt;=I144),"PASS","FAIL")</f>
        <v>PASS</v>
      </c>
      <c r="K144" s="4"/>
      <c r="L144" s="4"/>
      <c r="M144" s="4"/>
      <c r="N144" s="4"/>
    </row>
    <row r="145" customFormat="false" ht="15" hidden="false" customHeight="false" outlineLevel="0" collapsed="false">
      <c r="A145" s="17" t="s">
        <v>339</v>
      </c>
      <c r="B145" s="17" t="s">
        <v>167</v>
      </c>
      <c r="C145" s="17" t="s">
        <v>141</v>
      </c>
      <c r="D145" s="17" t="s">
        <v>159</v>
      </c>
      <c r="E145" s="17"/>
      <c r="F145" s="17"/>
      <c r="G145" s="22" t="n">
        <f aca="false">COUNTIFS('Role Enclaves'!$D$7:$D$42,B145,'Role Enclaves'!$E$7:$E$42,C145,'Role Enclaves'!$B$7:$B$42,"&lt;&gt;"&amp;D145,'Role Enclaves'!$C$7:$C$42,"&lt;&gt;"&amp;E145)-IF(F145=C145,1,0)</f>
        <v>2</v>
      </c>
      <c r="H145" s="22" t="n">
        <f aca="false">COUNTIFS('Court Quorum'!$B$7:$B$24,B145,'Court Quorum'!$C$7:$C$24,"&lt;&gt;"&amp;D145,'Court Quorum'!$D$7:$D$24,"&lt;&gt;"&amp;E145)-IF(F145="Court",1,0)</f>
        <v>3</v>
      </c>
      <c r="I145" s="22" t="n">
        <f aca="false">Inputs!$B$10</f>
        <v>2</v>
      </c>
      <c r="J145" s="22" t="str">
        <f aca="false">IF(AND(G145&gt;=1,H145&gt;=I145),"PASS","FAIL")</f>
        <v>PASS</v>
      </c>
      <c r="K145" s="4"/>
      <c r="L145" s="4"/>
      <c r="M145" s="4"/>
      <c r="N145" s="4"/>
    </row>
    <row r="146" customFormat="false" ht="15" hidden="false" customHeight="false" outlineLevel="0" collapsed="false">
      <c r="A146" s="17" t="s">
        <v>339</v>
      </c>
      <c r="B146" s="17" t="s">
        <v>167</v>
      </c>
      <c r="C146" s="17" t="s">
        <v>145</v>
      </c>
      <c r="D146" s="17" t="s">
        <v>159</v>
      </c>
      <c r="E146" s="17"/>
      <c r="F146" s="17"/>
      <c r="G146" s="22" t="n">
        <f aca="false">COUNTIFS('Role Enclaves'!$D$7:$D$42,B146,'Role Enclaves'!$E$7:$E$42,C146,'Role Enclaves'!$B$7:$B$42,"&lt;&gt;"&amp;D146,'Role Enclaves'!$C$7:$C$42,"&lt;&gt;"&amp;E146)-IF(F146=C146,1,0)</f>
        <v>2</v>
      </c>
      <c r="H146" s="22" t="n">
        <f aca="false">COUNTIFS('Court Quorum'!$B$7:$B$24,B146,'Court Quorum'!$C$7:$C$24,"&lt;&gt;"&amp;D146,'Court Quorum'!$D$7:$D$24,"&lt;&gt;"&amp;E146)-IF(F146="Court",1,0)</f>
        <v>3</v>
      </c>
      <c r="I146" s="22" t="n">
        <f aca="false">Inputs!$B$10</f>
        <v>2</v>
      </c>
      <c r="J146" s="22" t="str">
        <f aca="false">IF(AND(G146&gt;=1,H146&gt;=I146),"PASS","FAIL")</f>
        <v>PASS</v>
      </c>
      <c r="K146" s="4"/>
      <c r="L146" s="4"/>
      <c r="M146" s="4"/>
      <c r="N146" s="4"/>
    </row>
    <row r="147" customFormat="false" ht="15" hidden="false" customHeight="false" outlineLevel="0" collapsed="false">
      <c r="A147" s="17" t="s">
        <v>339</v>
      </c>
      <c r="B147" s="17" t="s">
        <v>167</v>
      </c>
      <c r="C147" s="17" t="s">
        <v>142</v>
      </c>
      <c r="D147" s="17" t="s">
        <v>159</v>
      </c>
      <c r="E147" s="17"/>
      <c r="F147" s="17"/>
      <c r="G147" s="22" t="n">
        <f aca="false">COUNTIFS('Role Enclaves'!$D$7:$D$42,B147,'Role Enclaves'!$E$7:$E$42,C147,'Role Enclaves'!$B$7:$B$42,"&lt;&gt;"&amp;D147,'Role Enclaves'!$C$7:$C$42,"&lt;&gt;"&amp;E147)-IF(F147=C147,1,0)</f>
        <v>2</v>
      </c>
      <c r="H147" s="22" t="n">
        <f aca="false">COUNTIFS('Court Quorum'!$B$7:$B$24,B147,'Court Quorum'!$C$7:$C$24,"&lt;&gt;"&amp;D147,'Court Quorum'!$D$7:$D$24,"&lt;&gt;"&amp;E147)-IF(F147="Court",1,0)</f>
        <v>3</v>
      </c>
      <c r="I147" s="22" t="n">
        <f aca="false">Inputs!$B$10</f>
        <v>2</v>
      </c>
      <c r="J147" s="22" t="str">
        <f aca="false">IF(AND(G147&gt;=1,H147&gt;=I147),"PASS","FAIL")</f>
        <v>PASS</v>
      </c>
      <c r="K147" s="4"/>
      <c r="L147" s="4"/>
      <c r="M147" s="4"/>
      <c r="N147" s="4"/>
    </row>
    <row r="148" customFormat="false" ht="15" hidden="false" customHeight="false" outlineLevel="0" collapsed="false">
      <c r="A148" s="17" t="s">
        <v>339</v>
      </c>
      <c r="B148" s="17" t="s">
        <v>172</v>
      </c>
      <c r="C148" s="17" t="s">
        <v>141</v>
      </c>
      <c r="D148" s="17" t="s">
        <v>159</v>
      </c>
      <c r="E148" s="17"/>
      <c r="F148" s="17"/>
      <c r="G148" s="22" t="n">
        <f aca="false">COUNTIFS('Role Enclaves'!$D$7:$D$42,B148,'Role Enclaves'!$E$7:$E$42,C148,'Role Enclaves'!$B$7:$B$42,"&lt;&gt;"&amp;D148,'Role Enclaves'!$C$7:$C$42,"&lt;&gt;"&amp;E148)-IF(F148=C148,1,0)</f>
        <v>2</v>
      </c>
      <c r="H148" s="22" t="n">
        <f aca="false">COUNTIFS('Court Quorum'!$B$7:$B$24,B148,'Court Quorum'!$C$7:$C$24,"&lt;&gt;"&amp;D148,'Court Quorum'!$D$7:$D$24,"&lt;&gt;"&amp;E148)-IF(F148="Court",1,0)</f>
        <v>3</v>
      </c>
      <c r="I148" s="22" t="n">
        <f aca="false">Inputs!$B$10</f>
        <v>2</v>
      </c>
      <c r="J148" s="22" t="str">
        <f aca="false">IF(AND(G148&gt;=1,H148&gt;=I148),"PASS","FAIL")</f>
        <v>PASS</v>
      </c>
      <c r="K148" s="4"/>
      <c r="L148" s="4"/>
      <c r="M148" s="4"/>
      <c r="N148" s="4"/>
    </row>
    <row r="149" customFormat="false" ht="15" hidden="false" customHeight="false" outlineLevel="0" collapsed="false">
      <c r="A149" s="17" t="s">
        <v>339</v>
      </c>
      <c r="B149" s="17" t="s">
        <v>172</v>
      </c>
      <c r="C149" s="17" t="s">
        <v>145</v>
      </c>
      <c r="D149" s="17" t="s">
        <v>159</v>
      </c>
      <c r="E149" s="17"/>
      <c r="F149" s="17"/>
      <c r="G149" s="22" t="n">
        <f aca="false">COUNTIFS('Role Enclaves'!$D$7:$D$42,B149,'Role Enclaves'!$E$7:$E$42,C149,'Role Enclaves'!$B$7:$B$42,"&lt;&gt;"&amp;D149,'Role Enclaves'!$C$7:$C$42,"&lt;&gt;"&amp;E149)-IF(F149=C149,1,0)</f>
        <v>2</v>
      </c>
      <c r="H149" s="22" t="n">
        <f aca="false">COUNTIFS('Court Quorum'!$B$7:$B$24,B149,'Court Quorum'!$C$7:$C$24,"&lt;&gt;"&amp;D149,'Court Quorum'!$D$7:$D$24,"&lt;&gt;"&amp;E149)-IF(F149="Court",1,0)</f>
        <v>3</v>
      </c>
      <c r="I149" s="22" t="n">
        <f aca="false">Inputs!$B$10</f>
        <v>2</v>
      </c>
      <c r="J149" s="22" t="str">
        <f aca="false">IF(AND(G149&gt;=1,H149&gt;=I149),"PASS","FAIL")</f>
        <v>PASS</v>
      </c>
      <c r="K149" s="4"/>
      <c r="L149" s="4"/>
      <c r="M149" s="4"/>
      <c r="N149" s="4"/>
    </row>
    <row r="150" customFormat="false" ht="15" hidden="false" customHeight="false" outlineLevel="0" collapsed="false">
      <c r="A150" s="17" t="s">
        <v>339</v>
      </c>
      <c r="B150" s="17" t="s">
        <v>172</v>
      </c>
      <c r="C150" s="17" t="s">
        <v>142</v>
      </c>
      <c r="D150" s="17" t="s">
        <v>159</v>
      </c>
      <c r="E150" s="17"/>
      <c r="F150" s="17"/>
      <c r="G150" s="22" t="n">
        <f aca="false">COUNTIFS('Role Enclaves'!$D$7:$D$42,B150,'Role Enclaves'!$E$7:$E$42,C150,'Role Enclaves'!$B$7:$B$42,"&lt;&gt;"&amp;D150,'Role Enclaves'!$C$7:$C$42,"&lt;&gt;"&amp;E150)-IF(F150=C150,1,0)</f>
        <v>2</v>
      </c>
      <c r="H150" s="22" t="n">
        <f aca="false">COUNTIFS('Court Quorum'!$B$7:$B$24,B150,'Court Quorum'!$C$7:$C$24,"&lt;&gt;"&amp;D150,'Court Quorum'!$D$7:$D$24,"&lt;&gt;"&amp;E150)-IF(F150="Court",1,0)</f>
        <v>3</v>
      </c>
      <c r="I150" s="22" t="n">
        <f aca="false">Inputs!$B$10</f>
        <v>2</v>
      </c>
      <c r="J150" s="22" t="str">
        <f aca="false">IF(AND(G150&gt;=1,H150&gt;=I150),"PASS","FAIL")</f>
        <v>PASS</v>
      </c>
      <c r="K150" s="4"/>
      <c r="L150" s="4"/>
      <c r="M150" s="4"/>
      <c r="N150" s="4"/>
    </row>
    <row r="151" customFormat="false" ht="15" hidden="false" customHeight="false" outlineLevel="0" collapsed="false">
      <c r="A151" s="17" t="s">
        <v>340</v>
      </c>
      <c r="B151" s="17" t="s">
        <v>138</v>
      </c>
      <c r="C151" s="17" t="s">
        <v>141</v>
      </c>
      <c r="D151" s="17" t="s">
        <v>160</v>
      </c>
      <c r="E151" s="17"/>
      <c r="F151" s="17"/>
      <c r="G151" s="22" t="n">
        <f aca="false">COUNTIFS('Role Enclaves'!$D$7:$D$42,B151,'Role Enclaves'!$E$7:$E$42,C151,'Role Enclaves'!$B$7:$B$42,"&lt;&gt;"&amp;D151,'Role Enclaves'!$C$7:$C$42,"&lt;&gt;"&amp;E151)-IF(F151=C151,1,0)</f>
        <v>2</v>
      </c>
      <c r="H151" s="22" t="n">
        <f aca="false">COUNTIFS('Court Quorum'!$B$7:$B$24,B151,'Court Quorum'!$C$7:$C$24,"&lt;&gt;"&amp;D151,'Court Quorum'!$D$7:$D$24,"&lt;&gt;"&amp;E151)-IF(F151="Court",1,0)</f>
        <v>3</v>
      </c>
      <c r="I151" s="22" t="n">
        <f aca="false">Inputs!$B$10</f>
        <v>2</v>
      </c>
      <c r="J151" s="22" t="str">
        <f aca="false">IF(AND(G151&gt;=1,H151&gt;=I151),"PASS","FAIL")</f>
        <v>PASS</v>
      </c>
      <c r="K151" s="4"/>
      <c r="L151" s="4"/>
      <c r="M151" s="4"/>
      <c r="N151" s="4"/>
    </row>
    <row r="152" customFormat="false" ht="15" hidden="false" customHeight="false" outlineLevel="0" collapsed="false">
      <c r="A152" s="17" t="s">
        <v>340</v>
      </c>
      <c r="B152" s="17" t="s">
        <v>138</v>
      </c>
      <c r="C152" s="17" t="s">
        <v>145</v>
      </c>
      <c r="D152" s="17" t="s">
        <v>160</v>
      </c>
      <c r="E152" s="17"/>
      <c r="F152" s="17"/>
      <c r="G152" s="22" t="n">
        <f aca="false">COUNTIFS('Role Enclaves'!$D$7:$D$42,B152,'Role Enclaves'!$E$7:$E$42,C152,'Role Enclaves'!$B$7:$B$42,"&lt;&gt;"&amp;D152,'Role Enclaves'!$C$7:$C$42,"&lt;&gt;"&amp;E152)-IF(F152=C152,1,0)</f>
        <v>2</v>
      </c>
      <c r="H152" s="22" t="n">
        <f aca="false">COUNTIFS('Court Quorum'!$B$7:$B$24,B152,'Court Quorum'!$C$7:$C$24,"&lt;&gt;"&amp;D152,'Court Quorum'!$D$7:$D$24,"&lt;&gt;"&amp;E152)-IF(F152="Court",1,0)</f>
        <v>3</v>
      </c>
      <c r="I152" s="22" t="n">
        <f aca="false">Inputs!$B$10</f>
        <v>2</v>
      </c>
      <c r="J152" s="22" t="str">
        <f aca="false">IF(AND(G152&gt;=1,H152&gt;=I152),"PASS","FAIL")</f>
        <v>PASS</v>
      </c>
      <c r="K152" s="4"/>
      <c r="L152" s="4"/>
      <c r="M152" s="4"/>
      <c r="N152" s="4"/>
    </row>
    <row r="153" customFormat="false" ht="15" hidden="false" customHeight="false" outlineLevel="0" collapsed="false">
      <c r="A153" s="17" t="s">
        <v>340</v>
      </c>
      <c r="B153" s="17" t="s">
        <v>138</v>
      </c>
      <c r="C153" s="17" t="s">
        <v>142</v>
      </c>
      <c r="D153" s="17" t="s">
        <v>160</v>
      </c>
      <c r="E153" s="17"/>
      <c r="F153" s="17"/>
      <c r="G153" s="22" t="n">
        <f aca="false">COUNTIFS('Role Enclaves'!$D$7:$D$42,B153,'Role Enclaves'!$E$7:$E$42,C153,'Role Enclaves'!$B$7:$B$42,"&lt;&gt;"&amp;D153,'Role Enclaves'!$C$7:$C$42,"&lt;&gt;"&amp;E153)-IF(F153=C153,1,0)</f>
        <v>2</v>
      </c>
      <c r="H153" s="22" t="n">
        <f aca="false">COUNTIFS('Court Quorum'!$B$7:$B$24,B153,'Court Quorum'!$C$7:$C$24,"&lt;&gt;"&amp;D153,'Court Quorum'!$D$7:$D$24,"&lt;&gt;"&amp;E153)-IF(F153="Court",1,0)</f>
        <v>3</v>
      </c>
      <c r="I153" s="22" t="n">
        <f aca="false">Inputs!$B$10</f>
        <v>2</v>
      </c>
      <c r="J153" s="22" t="str">
        <f aca="false">IF(AND(G153&gt;=1,H153&gt;=I153),"PASS","FAIL")</f>
        <v>PASS</v>
      </c>
      <c r="K153" s="4"/>
      <c r="L153" s="4"/>
      <c r="M153" s="4"/>
      <c r="N153" s="4"/>
    </row>
    <row r="154" customFormat="false" ht="15" hidden="false" customHeight="false" outlineLevel="0" collapsed="false">
      <c r="A154" s="17" t="s">
        <v>340</v>
      </c>
      <c r="B154" s="17" t="s">
        <v>149</v>
      </c>
      <c r="C154" s="17" t="s">
        <v>141</v>
      </c>
      <c r="D154" s="17" t="s">
        <v>160</v>
      </c>
      <c r="E154" s="17"/>
      <c r="F154" s="17"/>
      <c r="G154" s="22" t="n">
        <f aca="false">COUNTIFS('Role Enclaves'!$D$7:$D$42,B154,'Role Enclaves'!$E$7:$E$42,C154,'Role Enclaves'!$B$7:$B$42,"&lt;&gt;"&amp;D154,'Role Enclaves'!$C$7:$C$42,"&lt;&gt;"&amp;E154)-IF(F154=C154,1,0)</f>
        <v>2</v>
      </c>
      <c r="H154" s="22" t="n">
        <f aca="false">COUNTIFS('Court Quorum'!$B$7:$B$24,B154,'Court Quorum'!$C$7:$C$24,"&lt;&gt;"&amp;D154,'Court Quorum'!$D$7:$D$24,"&lt;&gt;"&amp;E154)-IF(F154="Court",1,0)</f>
        <v>3</v>
      </c>
      <c r="I154" s="22" t="n">
        <f aca="false">Inputs!$B$10</f>
        <v>2</v>
      </c>
      <c r="J154" s="22" t="str">
        <f aca="false">IF(AND(G154&gt;=1,H154&gt;=I154),"PASS","FAIL")</f>
        <v>PASS</v>
      </c>
      <c r="K154" s="4"/>
      <c r="L154" s="4"/>
      <c r="M154" s="4"/>
      <c r="N154" s="4"/>
    </row>
    <row r="155" customFormat="false" ht="15" hidden="false" customHeight="false" outlineLevel="0" collapsed="false">
      <c r="A155" s="17" t="s">
        <v>340</v>
      </c>
      <c r="B155" s="17" t="s">
        <v>149</v>
      </c>
      <c r="C155" s="17" t="s">
        <v>145</v>
      </c>
      <c r="D155" s="17" t="s">
        <v>160</v>
      </c>
      <c r="E155" s="17"/>
      <c r="F155" s="17"/>
      <c r="G155" s="22" t="n">
        <f aca="false">COUNTIFS('Role Enclaves'!$D$7:$D$42,B155,'Role Enclaves'!$E$7:$E$42,C155,'Role Enclaves'!$B$7:$B$42,"&lt;&gt;"&amp;D155,'Role Enclaves'!$C$7:$C$42,"&lt;&gt;"&amp;E155)-IF(F155=C155,1,0)</f>
        <v>2</v>
      </c>
      <c r="H155" s="22" t="n">
        <f aca="false">COUNTIFS('Court Quorum'!$B$7:$B$24,B155,'Court Quorum'!$C$7:$C$24,"&lt;&gt;"&amp;D155,'Court Quorum'!$D$7:$D$24,"&lt;&gt;"&amp;E155)-IF(F155="Court",1,0)</f>
        <v>3</v>
      </c>
      <c r="I155" s="22" t="n">
        <f aca="false">Inputs!$B$10</f>
        <v>2</v>
      </c>
      <c r="J155" s="22" t="str">
        <f aca="false">IF(AND(G155&gt;=1,H155&gt;=I155),"PASS","FAIL")</f>
        <v>PASS</v>
      </c>
      <c r="K155" s="4"/>
      <c r="L155" s="4"/>
      <c r="M155" s="4"/>
      <c r="N155" s="4"/>
    </row>
    <row r="156" customFormat="false" ht="15" hidden="false" customHeight="false" outlineLevel="0" collapsed="false">
      <c r="A156" s="17" t="s">
        <v>340</v>
      </c>
      <c r="B156" s="17" t="s">
        <v>149</v>
      </c>
      <c r="C156" s="17" t="s">
        <v>142</v>
      </c>
      <c r="D156" s="17" t="s">
        <v>160</v>
      </c>
      <c r="E156" s="17"/>
      <c r="F156" s="17"/>
      <c r="G156" s="22" t="n">
        <f aca="false">COUNTIFS('Role Enclaves'!$D$7:$D$42,B156,'Role Enclaves'!$E$7:$E$42,C156,'Role Enclaves'!$B$7:$B$42,"&lt;&gt;"&amp;D156,'Role Enclaves'!$C$7:$C$42,"&lt;&gt;"&amp;E156)-IF(F156=C156,1,0)</f>
        <v>2</v>
      </c>
      <c r="H156" s="22" t="n">
        <f aca="false">COUNTIFS('Court Quorum'!$B$7:$B$24,B156,'Court Quorum'!$C$7:$C$24,"&lt;&gt;"&amp;D156,'Court Quorum'!$D$7:$D$24,"&lt;&gt;"&amp;E156)-IF(F156="Court",1,0)</f>
        <v>3</v>
      </c>
      <c r="I156" s="22" t="n">
        <f aca="false">Inputs!$B$10</f>
        <v>2</v>
      </c>
      <c r="J156" s="22" t="str">
        <f aca="false">IF(AND(G156&gt;=1,H156&gt;=I156),"PASS","FAIL")</f>
        <v>PASS</v>
      </c>
      <c r="K156" s="4"/>
      <c r="L156" s="4"/>
      <c r="M156" s="4"/>
      <c r="N156" s="4"/>
    </row>
    <row r="157" customFormat="false" ht="15" hidden="false" customHeight="false" outlineLevel="0" collapsed="false">
      <c r="A157" s="17" t="s">
        <v>340</v>
      </c>
      <c r="B157" s="17" t="s">
        <v>157</v>
      </c>
      <c r="C157" s="17" t="s">
        <v>141</v>
      </c>
      <c r="D157" s="17" t="s">
        <v>160</v>
      </c>
      <c r="E157" s="17"/>
      <c r="F157" s="17"/>
      <c r="G157" s="22" t="n">
        <f aca="false">COUNTIFS('Role Enclaves'!$D$7:$D$42,B157,'Role Enclaves'!$E$7:$E$42,C157,'Role Enclaves'!$B$7:$B$42,"&lt;&gt;"&amp;D157,'Role Enclaves'!$C$7:$C$42,"&lt;&gt;"&amp;E157)-IF(F157=C157,1,0)</f>
        <v>2</v>
      </c>
      <c r="H157" s="22" t="n">
        <f aca="false">COUNTIFS('Court Quorum'!$B$7:$B$24,B157,'Court Quorum'!$C$7:$C$24,"&lt;&gt;"&amp;D157,'Court Quorum'!$D$7:$D$24,"&lt;&gt;"&amp;E157)-IF(F157="Court",1,0)</f>
        <v>2</v>
      </c>
      <c r="I157" s="22" t="n">
        <f aca="false">Inputs!$B$10</f>
        <v>2</v>
      </c>
      <c r="J157" s="22" t="str">
        <f aca="false">IF(AND(G157&gt;=1,H157&gt;=I157),"PASS","FAIL")</f>
        <v>PASS</v>
      </c>
      <c r="K157" s="4"/>
      <c r="L157" s="4"/>
      <c r="M157" s="4"/>
      <c r="N157" s="4"/>
    </row>
    <row r="158" customFormat="false" ht="15" hidden="false" customHeight="false" outlineLevel="0" collapsed="false">
      <c r="A158" s="17" t="s">
        <v>340</v>
      </c>
      <c r="B158" s="17" t="s">
        <v>157</v>
      </c>
      <c r="C158" s="17" t="s">
        <v>145</v>
      </c>
      <c r="D158" s="17" t="s">
        <v>160</v>
      </c>
      <c r="E158" s="17"/>
      <c r="F158" s="17"/>
      <c r="G158" s="22" t="n">
        <f aca="false">COUNTIFS('Role Enclaves'!$D$7:$D$42,B158,'Role Enclaves'!$E$7:$E$42,C158,'Role Enclaves'!$B$7:$B$42,"&lt;&gt;"&amp;D158,'Role Enclaves'!$C$7:$C$42,"&lt;&gt;"&amp;E158)-IF(F158=C158,1,0)</f>
        <v>1</v>
      </c>
      <c r="H158" s="22" t="n">
        <f aca="false">COUNTIFS('Court Quorum'!$B$7:$B$24,B158,'Court Quorum'!$C$7:$C$24,"&lt;&gt;"&amp;D158,'Court Quorum'!$D$7:$D$24,"&lt;&gt;"&amp;E158)-IF(F158="Court",1,0)</f>
        <v>2</v>
      </c>
      <c r="I158" s="22" t="n">
        <f aca="false">Inputs!$B$10</f>
        <v>2</v>
      </c>
      <c r="J158" s="22" t="str">
        <f aca="false">IF(AND(G158&gt;=1,H158&gt;=I158),"PASS","FAIL")</f>
        <v>PASS</v>
      </c>
      <c r="K158" s="4"/>
      <c r="L158" s="4"/>
      <c r="M158" s="4"/>
      <c r="N158" s="4"/>
    </row>
    <row r="159" customFormat="false" ht="15" hidden="false" customHeight="false" outlineLevel="0" collapsed="false">
      <c r="A159" s="17" t="s">
        <v>340</v>
      </c>
      <c r="B159" s="17" t="s">
        <v>157</v>
      </c>
      <c r="C159" s="17" t="s">
        <v>142</v>
      </c>
      <c r="D159" s="17" t="s">
        <v>160</v>
      </c>
      <c r="E159" s="17"/>
      <c r="F159" s="17"/>
      <c r="G159" s="22" t="n">
        <f aca="false">COUNTIFS('Role Enclaves'!$D$7:$D$42,B159,'Role Enclaves'!$E$7:$E$42,C159,'Role Enclaves'!$B$7:$B$42,"&lt;&gt;"&amp;D159,'Role Enclaves'!$C$7:$C$42,"&lt;&gt;"&amp;E159)-IF(F159=C159,1,0)</f>
        <v>1</v>
      </c>
      <c r="H159" s="22" t="n">
        <f aca="false">COUNTIFS('Court Quorum'!$B$7:$B$24,B159,'Court Quorum'!$C$7:$C$24,"&lt;&gt;"&amp;D159,'Court Quorum'!$D$7:$D$24,"&lt;&gt;"&amp;E159)-IF(F159="Court",1,0)</f>
        <v>2</v>
      </c>
      <c r="I159" s="22" t="n">
        <f aca="false">Inputs!$B$10</f>
        <v>2</v>
      </c>
      <c r="J159" s="22" t="str">
        <f aca="false">IF(AND(G159&gt;=1,H159&gt;=I159),"PASS","FAIL")</f>
        <v>PASS</v>
      </c>
      <c r="K159" s="4"/>
      <c r="L159" s="4"/>
      <c r="M159" s="4"/>
      <c r="N159" s="4"/>
    </row>
    <row r="160" customFormat="false" ht="15" hidden="false" customHeight="false" outlineLevel="0" collapsed="false">
      <c r="A160" s="17" t="s">
        <v>340</v>
      </c>
      <c r="B160" s="17" t="s">
        <v>162</v>
      </c>
      <c r="C160" s="17" t="s">
        <v>141</v>
      </c>
      <c r="D160" s="17" t="s">
        <v>160</v>
      </c>
      <c r="E160" s="17"/>
      <c r="F160" s="17"/>
      <c r="G160" s="22" t="n">
        <f aca="false">COUNTIFS('Role Enclaves'!$D$7:$D$42,B160,'Role Enclaves'!$E$7:$E$42,C160,'Role Enclaves'!$B$7:$B$42,"&lt;&gt;"&amp;D160,'Role Enclaves'!$C$7:$C$42,"&lt;&gt;"&amp;E160)-IF(F160=C160,1,0)</f>
        <v>2</v>
      </c>
      <c r="H160" s="22" t="n">
        <f aca="false">COUNTIFS('Court Quorum'!$B$7:$B$24,B160,'Court Quorum'!$C$7:$C$24,"&lt;&gt;"&amp;D160,'Court Quorum'!$D$7:$D$24,"&lt;&gt;"&amp;E160)-IF(F160="Court",1,0)</f>
        <v>3</v>
      </c>
      <c r="I160" s="22" t="n">
        <f aca="false">Inputs!$B$10</f>
        <v>2</v>
      </c>
      <c r="J160" s="22" t="str">
        <f aca="false">IF(AND(G160&gt;=1,H160&gt;=I160),"PASS","FAIL")</f>
        <v>PASS</v>
      </c>
      <c r="K160" s="4"/>
      <c r="L160" s="4"/>
      <c r="M160" s="4"/>
      <c r="N160" s="4"/>
    </row>
    <row r="161" customFormat="false" ht="15" hidden="false" customHeight="false" outlineLevel="0" collapsed="false">
      <c r="A161" s="17" t="s">
        <v>340</v>
      </c>
      <c r="B161" s="17" t="s">
        <v>162</v>
      </c>
      <c r="C161" s="17" t="s">
        <v>145</v>
      </c>
      <c r="D161" s="17" t="s">
        <v>160</v>
      </c>
      <c r="E161" s="17"/>
      <c r="F161" s="17"/>
      <c r="G161" s="22" t="n">
        <f aca="false">COUNTIFS('Role Enclaves'!$D$7:$D$42,B161,'Role Enclaves'!$E$7:$E$42,C161,'Role Enclaves'!$B$7:$B$42,"&lt;&gt;"&amp;D161,'Role Enclaves'!$C$7:$C$42,"&lt;&gt;"&amp;E161)-IF(F161=C161,1,0)</f>
        <v>2</v>
      </c>
      <c r="H161" s="22" t="n">
        <f aca="false">COUNTIFS('Court Quorum'!$B$7:$B$24,B161,'Court Quorum'!$C$7:$C$24,"&lt;&gt;"&amp;D161,'Court Quorum'!$D$7:$D$24,"&lt;&gt;"&amp;E161)-IF(F161="Court",1,0)</f>
        <v>3</v>
      </c>
      <c r="I161" s="22" t="n">
        <f aca="false">Inputs!$B$10</f>
        <v>2</v>
      </c>
      <c r="J161" s="22" t="str">
        <f aca="false">IF(AND(G161&gt;=1,H161&gt;=I161),"PASS","FAIL")</f>
        <v>PASS</v>
      </c>
      <c r="K161" s="4"/>
      <c r="L161" s="4"/>
      <c r="M161" s="4"/>
      <c r="N161" s="4"/>
    </row>
    <row r="162" customFormat="false" ht="15" hidden="false" customHeight="false" outlineLevel="0" collapsed="false">
      <c r="A162" s="17" t="s">
        <v>340</v>
      </c>
      <c r="B162" s="17" t="s">
        <v>162</v>
      </c>
      <c r="C162" s="17" t="s">
        <v>142</v>
      </c>
      <c r="D162" s="17" t="s">
        <v>160</v>
      </c>
      <c r="E162" s="17"/>
      <c r="F162" s="17"/>
      <c r="G162" s="22" t="n">
        <f aca="false">COUNTIFS('Role Enclaves'!$D$7:$D$42,B162,'Role Enclaves'!$E$7:$E$42,C162,'Role Enclaves'!$B$7:$B$42,"&lt;&gt;"&amp;D162,'Role Enclaves'!$C$7:$C$42,"&lt;&gt;"&amp;E162)-IF(F162=C162,1,0)</f>
        <v>2</v>
      </c>
      <c r="H162" s="22" t="n">
        <f aca="false">COUNTIFS('Court Quorum'!$B$7:$B$24,B162,'Court Quorum'!$C$7:$C$24,"&lt;&gt;"&amp;D162,'Court Quorum'!$D$7:$D$24,"&lt;&gt;"&amp;E162)-IF(F162="Court",1,0)</f>
        <v>3</v>
      </c>
      <c r="I162" s="22" t="n">
        <f aca="false">Inputs!$B$10</f>
        <v>2</v>
      </c>
      <c r="J162" s="22" t="str">
        <f aca="false">IF(AND(G162&gt;=1,H162&gt;=I162),"PASS","FAIL")</f>
        <v>PASS</v>
      </c>
      <c r="K162" s="4"/>
      <c r="L162" s="4"/>
      <c r="M162" s="4"/>
      <c r="N162" s="4"/>
    </row>
    <row r="163" customFormat="false" ht="15" hidden="false" customHeight="false" outlineLevel="0" collapsed="false">
      <c r="A163" s="17" t="s">
        <v>340</v>
      </c>
      <c r="B163" s="17" t="s">
        <v>167</v>
      </c>
      <c r="C163" s="17" t="s">
        <v>141</v>
      </c>
      <c r="D163" s="17" t="s">
        <v>160</v>
      </c>
      <c r="E163" s="17"/>
      <c r="F163" s="17"/>
      <c r="G163" s="22" t="n">
        <f aca="false">COUNTIFS('Role Enclaves'!$D$7:$D$42,B163,'Role Enclaves'!$E$7:$E$42,C163,'Role Enclaves'!$B$7:$B$42,"&lt;&gt;"&amp;D163,'Role Enclaves'!$C$7:$C$42,"&lt;&gt;"&amp;E163)-IF(F163=C163,1,0)</f>
        <v>2</v>
      </c>
      <c r="H163" s="22" t="n">
        <f aca="false">COUNTIFS('Court Quorum'!$B$7:$B$24,B163,'Court Quorum'!$C$7:$C$24,"&lt;&gt;"&amp;D163,'Court Quorum'!$D$7:$D$24,"&lt;&gt;"&amp;E163)-IF(F163="Court",1,0)</f>
        <v>3</v>
      </c>
      <c r="I163" s="22" t="n">
        <f aca="false">Inputs!$B$10</f>
        <v>2</v>
      </c>
      <c r="J163" s="22" t="str">
        <f aca="false">IF(AND(G163&gt;=1,H163&gt;=I163),"PASS","FAIL")</f>
        <v>PASS</v>
      </c>
      <c r="K163" s="4"/>
      <c r="L163" s="4"/>
      <c r="M163" s="4"/>
      <c r="N163" s="4"/>
    </row>
    <row r="164" customFormat="false" ht="15" hidden="false" customHeight="false" outlineLevel="0" collapsed="false">
      <c r="A164" s="17" t="s">
        <v>340</v>
      </c>
      <c r="B164" s="17" t="s">
        <v>167</v>
      </c>
      <c r="C164" s="17" t="s">
        <v>145</v>
      </c>
      <c r="D164" s="17" t="s">
        <v>160</v>
      </c>
      <c r="E164" s="17"/>
      <c r="F164" s="17"/>
      <c r="G164" s="22" t="n">
        <f aca="false">COUNTIFS('Role Enclaves'!$D$7:$D$42,B164,'Role Enclaves'!$E$7:$E$42,C164,'Role Enclaves'!$B$7:$B$42,"&lt;&gt;"&amp;D164,'Role Enclaves'!$C$7:$C$42,"&lt;&gt;"&amp;E164)-IF(F164=C164,1,0)</f>
        <v>2</v>
      </c>
      <c r="H164" s="22" t="n">
        <f aca="false">COUNTIFS('Court Quorum'!$B$7:$B$24,B164,'Court Quorum'!$C$7:$C$24,"&lt;&gt;"&amp;D164,'Court Quorum'!$D$7:$D$24,"&lt;&gt;"&amp;E164)-IF(F164="Court",1,0)</f>
        <v>3</v>
      </c>
      <c r="I164" s="22" t="n">
        <f aca="false">Inputs!$B$10</f>
        <v>2</v>
      </c>
      <c r="J164" s="22" t="str">
        <f aca="false">IF(AND(G164&gt;=1,H164&gt;=I164),"PASS","FAIL")</f>
        <v>PASS</v>
      </c>
      <c r="K164" s="4"/>
      <c r="L164" s="4"/>
      <c r="M164" s="4"/>
      <c r="N164" s="4"/>
    </row>
    <row r="165" customFormat="false" ht="15" hidden="false" customHeight="false" outlineLevel="0" collapsed="false">
      <c r="A165" s="17" t="s">
        <v>340</v>
      </c>
      <c r="B165" s="17" t="s">
        <v>167</v>
      </c>
      <c r="C165" s="17" t="s">
        <v>142</v>
      </c>
      <c r="D165" s="17" t="s">
        <v>160</v>
      </c>
      <c r="E165" s="17"/>
      <c r="F165" s="17"/>
      <c r="G165" s="22" t="n">
        <f aca="false">COUNTIFS('Role Enclaves'!$D$7:$D$42,B165,'Role Enclaves'!$E$7:$E$42,C165,'Role Enclaves'!$B$7:$B$42,"&lt;&gt;"&amp;D165,'Role Enclaves'!$C$7:$C$42,"&lt;&gt;"&amp;E165)-IF(F165=C165,1,0)</f>
        <v>2</v>
      </c>
      <c r="H165" s="22" t="n">
        <f aca="false">COUNTIFS('Court Quorum'!$B$7:$B$24,B165,'Court Quorum'!$C$7:$C$24,"&lt;&gt;"&amp;D165,'Court Quorum'!$D$7:$D$24,"&lt;&gt;"&amp;E165)-IF(F165="Court",1,0)</f>
        <v>3</v>
      </c>
      <c r="I165" s="22" t="n">
        <f aca="false">Inputs!$B$10</f>
        <v>2</v>
      </c>
      <c r="J165" s="22" t="str">
        <f aca="false">IF(AND(G165&gt;=1,H165&gt;=I165),"PASS","FAIL")</f>
        <v>PASS</v>
      </c>
      <c r="K165" s="4"/>
      <c r="L165" s="4"/>
      <c r="M165" s="4"/>
      <c r="N165" s="4"/>
    </row>
    <row r="166" customFormat="false" ht="15" hidden="false" customHeight="false" outlineLevel="0" collapsed="false">
      <c r="A166" s="17" t="s">
        <v>340</v>
      </c>
      <c r="B166" s="17" t="s">
        <v>172</v>
      </c>
      <c r="C166" s="17" t="s">
        <v>141</v>
      </c>
      <c r="D166" s="17" t="s">
        <v>160</v>
      </c>
      <c r="E166" s="17"/>
      <c r="F166" s="17"/>
      <c r="G166" s="22" t="n">
        <f aca="false">COUNTIFS('Role Enclaves'!$D$7:$D$42,B166,'Role Enclaves'!$E$7:$E$42,C166,'Role Enclaves'!$B$7:$B$42,"&lt;&gt;"&amp;D166,'Role Enclaves'!$C$7:$C$42,"&lt;&gt;"&amp;E166)-IF(F166=C166,1,0)</f>
        <v>2</v>
      </c>
      <c r="H166" s="22" t="n">
        <f aca="false">COUNTIFS('Court Quorum'!$B$7:$B$24,B166,'Court Quorum'!$C$7:$C$24,"&lt;&gt;"&amp;D166,'Court Quorum'!$D$7:$D$24,"&lt;&gt;"&amp;E166)-IF(F166="Court",1,0)</f>
        <v>3</v>
      </c>
      <c r="I166" s="22" t="n">
        <f aca="false">Inputs!$B$10</f>
        <v>2</v>
      </c>
      <c r="J166" s="22" t="str">
        <f aca="false">IF(AND(G166&gt;=1,H166&gt;=I166),"PASS","FAIL")</f>
        <v>PASS</v>
      </c>
      <c r="K166" s="4"/>
      <c r="L166" s="4"/>
      <c r="M166" s="4"/>
      <c r="N166" s="4"/>
    </row>
    <row r="167" customFormat="false" ht="15" hidden="false" customHeight="false" outlineLevel="0" collapsed="false">
      <c r="A167" s="17" t="s">
        <v>340</v>
      </c>
      <c r="B167" s="17" t="s">
        <v>172</v>
      </c>
      <c r="C167" s="17" t="s">
        <v>145</v>
      </c>
      <c r="D167" s="17" t="s">
        <v>160</v>
      </c>
      <c r="E167" s="17"/>
      <c r="F167" s="17"/>
      <c r="G167" s="22" t="n">
        <f aca="false">COUNTIFS('Role Enclaves'!$D$7:$D$42,B167,'Role Enclaves'!$E$7:$E$42,C167,'Role Enclaves'!$B$7:$B$42,"&lt;&gt;"&amp;D167,'Role Enclaves'!$C$7:$C$42,"&lt;&gt;"&amp;E167)-IF(F167=C167,1,0)</f>
        <v>2</v>
      </c>
      <c r="H167" s="22" t="n">
        <f aca="false">COUNTIFS('Court Quorum'!$B$7:$B$24,B167,'Court Quorum'!$C$7:$C$24,"&lt;&gt;"&amp;D167,'Court Quorum'!$D$7:$D$24,"&lt;&gt;"&amp;E167)-IF(F167="Court",1,0)</f>
        <v>3</v>
      </c>
      <c r="I167" s="22" t="n">
        <f aca="false">Inputs!$B$10</f>
        <v>2</v>
      </c>
      <c r="J167" s="22" t="str">
        <f aca="false">IF(AND(G167&gt;=1,H167&gt;=I167),"PASS","FAIL")</f>
        <v>PASS</v>
      </c>
      <c r="K167" s="4"/>
      <c r="L167" s="4"/>
      <c r="M167" s="4"/>
      <c r="N167" s="4"/>
    </row>
    <row r="168" customFormat="false" ht="15" hidden="false" customHeight="false" outlineLevel="0" collapsed="false">
      <c r="A168" s="17" t="s">
        <v>340</v>
      </c>
      <c r="B168" s="17" t="s">
        <v>172</v>
      </c>
      <c r="C168" s="17" t="s">
        <v>142</v>
      </c>
      <c r="D168" s="17" t="s">
        <v>160</v>
      </c>
      <c r="E168" s="17"/>
      <c r="F168" s="17"/>
      <c r="G168" s="22" t="n">
        <f aca="false">COUNTIFS('Role Enclaves'!$D$7:$D$42,B168,'Role Enclaves'!$E$7:$E$42,C168,'Role Enclaves'!$B$7:$B$42,"&lt;&gt;"&amp;D168,'Role Enclaves'!$C$7:$C$42,"&lt;&gt;"&amp;E168)-IF(F168=C168,1,0)</f>
        <v>2</v>
      </c>
      <c r="H168" s="22" t="n">
        <f aca="false">COUNTIFS('Court Quorum'!$B$7:$B$24,B168,'Court Quorum'!$C$7:$C$24,"&lt;&gt;"&amp;D168,'Court Quorum'!$D$7:$D$24,"&lt;&gt;"&amp;E168)-IF(F168="Court",1,0)</f>
        <v>3</v>
      </c>
      <c r="I168" s="22" t="n">
        <f aca="false">Inputs!$B$10</f>
        <v>2</v>
      </c>
      <c r="J168" s="22" t="str">
        <f aca="false">IF(AND(G168&gt;=1,H168&gt;=I168),"PASS","FAIL")</f>
        <v>PASS</v>
      </c>
      <c r="K168" s="4"/>
      <c r="L168" s="4"/>
      <c r="M168" s="4"/>
      <c r="N168" s="4"/>
    </row>
    <row r="169" customFormat="false" ht="15" hidden="false" customHeight="false" outlineLevel="0" collapsed="false">
      <c r="A169" s="17" t="s">
        <v>341</v>
      </c>
      <c r="B169" s="17" t="s">
        <v>138</v>
      </c>
      <c r="C169" s="17" t="s">
        <v>141</v>
      </c>
      <c r="D169" s="17" t="s">
        <v>161</v>
      </c>
      <c r="E169" s="17"/>
      <c r="F169" s="17"/>
      <c r="G169" s="22" t="n">
        <f aca="false">COUNTIFS('Role Enclaves'!$D$7:$D$42,B169,'Role Enclaves'!$E$7:$E$42,C169,'Role Enclaves'!$B$7:$B$42,"&lt;&gt;"&amp;D169,'Role Enclaves'!$C$7:$C$42,"&lt;&gt;"&amp;E169)-IF(F169=C169,1,0)</f>
        <v>2</v>
      </c>
      <c r="H169" s="22" t="n">
        <f aca="false">COUNTIFS('Court Quorum'!$B$7:$B$24,B169,'Court Quorum'!$C$7:$C$24,"&lt;&gt;"&amp;D169,'Court Quorum'!$D$7:$D$24,"&lt;&gt;"&amp;E169)-IF(F169="Court",1,0)</f>
        <v>3</v>
      </c>
      <c r="I169" s="22" t="n">
        <f aca="false">Inputs!$B$10</f>
        <v>2</v>
      </c>
      <c r="J169" s="22" t="str">
        <f aca="false">IF(AND(G169&gt;=1,H169&gt;=I169),"PASS","FAIL")</f>
        <v>PASS</v>
      </c>
      <c r="K169" s="4"/>
      <c r="L169" s="4"/>
      <c r="M169" s="4"/>
      <c r="N169" s="4"/>
    </row>
    <row r="170" customFormat="false" ht="15" hidden="false" customHeight="false" outlineLevel="0" collapsed="false">
      <c r="A170" s="17" t="s">
        <v>341</v>
      </c>
      <c r="B170" s="17" t="s">
        <v>138</v>
      </c>
      <c r="C170" s="17" t="s">
        <v>145</v>
      </c>
      <c r="D170" s="17" t="s">
        <v>161</v>
      </c>
      <c r="E170" s="17"/>
      <c r="F170" s="17"/>
      <c r="G170" s="22" t="n">
        <f aca="false">COUNTIFS('Role Enclaves'!$D$7:$D$42,B170,'Role Enclaves'!$E$7:$E$42,C170,'Role Enclaves'!$B$7:$B$42,"&lt;&gt;"&amp;D170,'Role Enclaves'!$C$7:$C$42,"&lt;&gt;"&amp;E170)-IF(F170=C170,1,0)</f>
        <v>2</v>
      </c>
      <c r="H170" s="22" t="n">
        <f aca="false">COUNTIFS('Court Quorum'!$B$7:$B$24,B170,'Court Quorum'!$C$7:$C$24,"&lt;&gt;"&amp;D170,'Court Quorum'!$D$7:$D$24,"&lt;&gt;"&amp;E170)-IF(F170="Court",1,0)</f>
        <v>3</v>
      </c>
      <c r="I170" s="22" t="n">
        <f aca="false">Inputs!$B$10</f>
        <v>2</v>
      </c>
      <c r="J170" s="22" t="str">
        <f aca="false">IF(AND(G170&gt;=1,H170&gt;=I170),"PASS","FAIL")</f>
        <v>PASS</v>
      </c>
      <c r="K170" s="4"/>
      <c r="L170" s="4"/>
      <c r="M170" s="4"/>
      <c r="N170" s="4"/>
    </row>
    <row r="171" customFormat="false" ht="15" hidden="false" customHeight="false" outlineLevel="0" collapsed="false">
      <c r="A171" s="17" t="s">
        <v>341</v>
      </c>
      <c r="B171" s="17" t="s">
        <v>138</v>
      </c>
      <c r="C171" s="17" t="s">
        <v>142</v>
      </c>
      <c r="D171" s="17" t="s">
        <v>161</v>
      </c>
      <c r="E171" s="17"/>
      <c r="F171" s="17"/>
      <c r="G171" s="22" t="n">
        <f aca="false">COUNTIFS('Role Enclaves'!$D$7:$D$42,B171,'Role Enclaves'!$E$7:$E$42,C171,'Role Enclaves'!$B$7:$B$42,"&lt;&gt;"&amp;D171,'Role Enclaves'!$C$7:$C$42,"&lt;&gt;"&amp;E171)-IF(F171=C171,1,0)</f>
        <v>2</v>
      </c>
      <c r="H171" s="22" t="n">
        <f aca="false">COUNTIFS('Court Quorum'!$B$7:$B$24,B171,'Court Quorum'!$C$7:$C$24,"&lt;&gt;"&amp;D171,'Court Quorum'!$D$7:$D$24,"&lt;&gt;"&amp;E171)-IF(F171="Court",1,0)</f>
        <v>3</v>
      </c>
      <c r="I171" s="22" t="n">
        <f aca="false">Inputs!$B$10</f>
        <v>2</v>
      </c>
      <c r="J171" s="22" t="str">
        <f aca="false">IF(AND(G171&gt;=1,H171&gt;=I171),"PASS","FAIL")</f>
        <v>PASS</v>
      </c>
      <c r="K171" s="4"/>
      <c r="L171" s="4"/>
      <c r="M171" s="4"/>
      <c r="N171" s="4"/>
    </row>
    <row r="172" customFormat="false" ht="15" hidden="false" customHeight="false" outlineLevel="0" collapsed="false">
      <c r="A172" s="17" t="s">
        <v>341</v>
      </c>
      <c r="B172" s="17" t="s">
        <v>149</v>
      </c>
      <c r="C172" s="17" t="s">
        <v>141</v>
      </c>
      <c r="D172" s="17" t="s">
        <v>161</v>
      </c>
      <c r="E172" s="17"/>
      <c r="F172" s="17"/>
      <c r="G172" s="22" t="n">
        <f aca="false">COUNTIFS('Role Enclaves'!$D$7:$D$42,B172,'Role Enclaves'!$E$7:$E$42,C172,'Role Enclaves'!$B$7:$B$42,"&lt;&gt;"&amp;D172,'Role Enclaves'!$C$7:$C$42,"&lt;&gt;"&amp;E172)-IF(F172=C172,1,0)</f>
        <v>2</v>
      </c>
      <c r="H172" s="22" t="n">
        <f aca="false">COUNTIFS('Court Quorum'!$B$7:$B$24,B172,'Court Quorum'!$C$7:$C$24,"&lt;&gt;"&amp;D172,'Court Quorum'!$D$7:$D$24,"&lt;&gt;"&amp;E172)-IF(F172="Court",1,0)</f>
        <v>3</v>
      </c>
      <c r="I172" s="22" t="n">
        <f aca="false">Inputs!$B$10</f>
        <v>2</v>
      </c>
      <c r="J172" s="22" t="str">
        <f aca="false">IF(AND(G172&gt;=1,H172&gt;=I172),"PASS","FAIL")</f>
        <v>PASS</v>
      </c>
      <c r="K172" s="4"/>
      <c r="L172" s="4"/>
      <c r="M172" s="4"/>
      <c r="N172" s="4"/>
    </row>
    <row r="173" customFormat="false" ht="15" hidden="false" customHeight="false" outlineLevel="0" collapsed="false">
      <c r="A173" s="17" t="s">
        <v>341</v>
      </c>
      <c r="B173" s="17" t="s">
        <v>149</v>
      </c>
      <c r="C173" s="17" t="s">
        <v>145</v>
      </c>
      <c r="D173" s="17" t="s">
        <v>161</v>
      </c>
      <c r="E173" s="17"/>
      <c r="F173" s="17"/>
      <c r="G173" s="22" t="n">
        <f aca="false">COUNTIFS('Role Enclaves'!$D$7:$D$42,B173,'Role Enclaves'!$E$7:$E$42,C173,'Role Enclaves'!$B$7:$B$42,"&lt;&gt;"&amp;D173,'Role Enclaves'!$C$7:$C$42,"&lt;&gt;"&amp;E173)-IF(F173=C173,1,0)</f>
        <v>2</v>
      </c>
      <c r="H173" s="22" t="n">
        <f aca="false">COUNTIFS('Court Quorum'!$B$7:$B$24,B173,'Court Quorum'!$C$7:$C$24,"&lt;&gt;"&amp;D173,'Court Quorum'!$D$7:$D$24,"&lt;&gt;"&amp;E173)-IF(F173="Court",1,0)</f>
        <v>3</v>
      </c>
      <c r="I173" s="22" t="n">
        <f aca="false">Inputs!$B$10</f>
        <v>2</v>
      </c>
      <c r="J173" s="22" t="str">
        <f aca="false">IF(AND(G173&gt;=1,H173&gt;=I173),"PASS","FAIL")</f>
        <v>PASS</v>
      </c>
      <c r="K173" s="4"/>
      <c r="L173" s="4"/>
      <c r="M173" s="4"/>
      <c r="N173" s="4"/>
    </row>
    <row r="174" customFormat="false" ht="15" hidden="false" customHeight="false" outlineLevel="0" collapsed="false">
      <c r="A174" s="17" t="s">
        <v>341</v>
      </c>
      <c r="B174" s="17" t="s">
        <v>149</v>
      </c>
      <c r="C174" s="17" t="s">
        <v>142</v>
      </c>
      <c r="D174" s="17" t="s">
        <v>161</v>
      </c>
      <c r="E174" s="17"/>
      <c r="F174" s="17"/>
      <c r="G174" s="22" t="n">
        <f aca="false">COUNTIFS('Role Enclaves'!$D$7:$D$42,B174,'Role Enclaves'!$E$7:$E$42,C174,'Role Enclaves'!$B$7:$B$42,"&lt;&gt;"&amp;D174,'Role Enclaves'!$C$7:$C$42,"&lt;&gt;"&amp;E174)-IF(F174=C174,1,0)</f>
        <v>2</v>
      </c>
      <c r="H174" s="22" t="n">
        <f aca="false">COUNTIFS('Court Quorum'!$B$7:$B$24,B174,'Court Quorum'!$C$7:$C$24,"&lt;&gt;"&amp;D174,'Court Quorum'!$D$7:$D$24,"&lt;&gt;"&amp;E174)-IF(F174="Court",1,0)</f>
        <v>3</v>
      </c>
      <c r="I174" s="22" t="n">
        <f aca="false">Inputs!$B$10</f>
        <v>2</v>
      </c>
      <c r="J174" s="22" t="str">
        <f aca="false">IF(AND(G174&gt;=1,H174&gt;=I174),"PASS","FAIL")</f>
        <v>PASS</v>
      </c>
      <c r="K174" s="4"/>
      <c r="L174" s="4"/>
      <c r="M174" s="4"/>
      <c r="N174" s="4"/>
    </row>
    <row r="175" customFormat="false" ht="15" hidden="false" customHeight="false" outlineLevel="0" collapsed="false">
      <c r="A175" s="17" t="s">
        <v>341</v>
      </c>
      <c r="B175" s="17" t="s">
        <v>157</v>
      </c>
      <c r="C175" s="17" t="s">
        <v>141</v>
      </c>
      <c r="D175" s="17" t="s">
        <v>161</v>
      </c>
      <c r="E175" s="17"/>
      <c r="F175" s="17"/>
      <c r="G175" s="22" t="n">
        <f aca="false">COUNTIFS('Role Enclaves'!$D$7:$D$42,B175,'Role Enclaves'!$E$7:$E$42,C175,'Role Enclaves'!$B$7:$B$42,"&lt;&gt;"&amp;D175,'Role Enclaves'!$C$7:$C$42,"&lt;&gt;"&amp;E175)-IF(F175=C175,1,0)</f>
        <v>2</v>
      </c>
      <c r="H175" s="22" t="n">
        <f aca="false">COUNTIFS('Court Quorum'!$B$7:$B$24,B175,'Court Quorum'!$C$7:$C$24,"&lt;&gt;"&amp;D175,'Court Quorum'!$D$7:$D$24,"&lt;&gt;"&amp;E175)-IF(F175="Court",1,0)</f>
        <v>3</v>
      </c>
      <c r="I175" s="22" t="n">
        <f aca="false">Inputs!$B$10</f>
        <v>2</v>
      </c>
      <c r="J175" s="22" t="str">
        <f aca="false">IF(AND(G175&gt;=1,H175&gt;=I175),"PASS","FAIL")</f>
        <v>PASS</v>
      </c>
      <c r="K175" s="4"/>
      <c r="L175" s="4"/>
      <c r="M175" s="4"/>
      <c r="N175" s="4"/>
    </row>
    <row r="176" customFormat="false" ht="15" hidden="false" customHeight="false" outlineLevel="0" collapsed="false">
      <c r="A176" s="17" t="s">
        <v>341</v>
      </c>
      <c r="B176" s="17" t="s">
        <v>157</v>
      </c>
      <c r="C176" s="17" t="s">
        <v>145</v>
      </c>
      <c r="D176" s="17" t="s">
        <v>161</v>
      </c>
      <c r="E176" s="17"/>
      <c r="F176" s="17"/>
      <c r="G176" s="22" t="n">
        <f aca="false">COUNTIFS('Role Enclaves'!$D$7:$D$42,B176,'Role Enclaves'!$E$7:$E$42,C176,'Role Enclaves'!$B$7:$B$42,"&lt;&gt;"&amp;D176,'Role Enclaves'!$C$7:$C$42,"&lt;&gt;"&amp;E176)-IF(F176=C176,1,0)</f>
        <v>2</v>
      </c>
      <c r="H176" s="22" t="n">
        <f aca="false">COUNTIFS('Court Quorum'!$B$7:$B$24,B176,'Court Quorum'!$C$7:$C$24,"&lt;&gt;"&amp;D176,'Court Quorum'!$D$7:$D$24,"&lt;&gt;"&amp;E176)-IF(F176="Court",1,0)</f>
        <v>3</v>
      </c>
      <c r="I176" s="22" t="n">
        <f aca="false">Inputs!$B$10</f>
        <v>2</v>
      </c>
      <c r="J176" s="22" t="str">
        <f aca="false">IF(AND(G176&gt;=1,H176&gt;=I176),"PASS","FAIL")</f>
        <v>PASS</v>
      </c>
      <c r="K176" s="4"/>
      <c r="L176" s="4"/>
      <c r="M176" s="4"/>
      <c r="N176" s="4"/>
    </row>
    <row r="177" customFormat="false" ht="15" hidden="false" customHeight="false" outlineLevel="0" collapsed="false">
      <c r="A177" s="17" t="s">
        <v>341</v>
      </c>
      <c r="B177" s="17" t="s">
        <v>157</v>
      </c>
      <c r="C177" s="17" t="s">
        <v>142</v>
      </c>
      <c r="D177" s="17" t="s">
        <v>161</v>
      </c>
      <c r="E177" s="17"/>
      <c r="F177" s="17"/>
      <c r="G177" s="22" t="n">
        <f aca="false">COUNTIFS('Role Enclaves'!$D$7:$D$42,B177,'Role Enclaves'!$E$7:$E$42,C177,'Role Enclaves'!$B$7:$B$42,"&lt;&gt;"&amp;D177,'Role Enclaves'!$C$7:$C$42,"&lt;&gt;"&amp;E177)-IF(F177=C177,1,0)</f>
        <v>2</v>
      </c>
      <c r="H177" s="22" t="n">
        <f aca="false">COUNTIFS('Court Quorum'!$B$7:$B$24,B177,'Court Quorum'!$C$7:$C$24,"&lt;&gt;"&amp;D177,'Court Quorum'!$D$7:$D$24,"&lt;&gt;"&amp;E177)-IF(F177="Court",1,0)</f>
        <v>3</v>
      </c>
      <c r="I177" s="22" t="n">
        <f aca="false">Inputs!$B$10</f>
        <v>2</v>
      </c>
      <c r="J177" s="22" t="str">
        <f aca="false">IF(AND(G177&gt;=1,H177&gt;=I177),"PASS","FAIL")</f>
        <v>PASS</v>
      </c>
      <c r="K177" s="4"/>
      <c r="L177" s="4"/>
      <c r="M177" s="4"/>
      <c r="N177" s="4"/>
    </row>
    <row r="178" customFormat="false" ht="15" hidden="false" customHeight="false" outlineLevel="0" collapsed="false">
      <c r="A178" s="17" t="s">
        <v>341</v>
      </c>
      <c r="B178" s="17" t="s">
        <v>162</v>
      </c>
      <c r="C178" s="17" t="s">
        <v>141</v>
      </c>
      <c r="D178" s="17" t="s">
        <v>161</v>
      </c>
      <c r="E178" s="17"/>
      <c r="F178" s="17"/>
      <c r="G178" s="22" t="n">
        <f aca="false">COUNTIFS('Role Enclaves'!$D$7:$D$42,B178,'Role Enclaves'!$E$7:$E$42,C178,'Role Enclaves'!$B$7:$B$42,"&lt;&gt;"&amp;D178,'Role Enclaves'!$C$7:$C$42,"&lt;&gt;"&amp;E178)-IF(F178=C178,1,0)</f>
        <v>1</v>
      </c>
      <c r="H178" s="22" t="n">
        <f aca="false">COUNTIFS('Court Quorum'!$B$7:$B$24,B178,'Court Quorum'!$C$7:$C$24,"&lt;&gt;"&amp;D178,'Court Quorum'!$D$7:$D$24,"&lt;&gt;"&amp;E178)-IF(F178="Court",1,0)</f>
        <v>2</v>
      </c>
      <c r="I178" s="22" t="n">
        <f aca="false">Inputs!$B$10</f>
        <v>2</v>
      </c>
      <c r="J178" s="22" t="str">
        <f aca="false">IF(AND(G178&gt;=1,H178&gt;=I178),"PASS","FAIL")</f>
        <v>PASS</v>
      </c>
      <c r="K178" s="4"/>
      <c r="L178" s="4"/>
      <c r="M178" s="4"/>
      <c r="N178" s="4"/>
    </row>
    <row r="179" customFormat="false" ht="15" hidden="false" customHeight="false" outlineLevel="0" collapsed="false">
      <c r="A179" s="17" t="s">
        <v>341</v>
      </c>
      <c r="B179" s="17" t="s">
        <v>162</v>
      </c>
      <c r="C179" s="17" t="s">
        <v>145</v>
      </c>
      <c r="D179" s="17" t="s">
        <v>161</v>
      </c>
      <c r="E179" s="17"/>
      <c r="F179" s="17"/>
      <c r="G179" s="22" t="n">
        <f aca="false">COUNTIFS('Role Enclaves'!$D$7:$D$42,B179,'Role Enclaves'!$E$7:$E$42,C179,'Role Enclaves'!$B$7:$B$42,"&lt;&gt;"&amp;D179,'Role Enclaves'!$C$7:$C$42,"&lt;&gt;"&amp;E179)-IF(F179=C179,1,0)</f>
        <v>2</v>
      </c>
      <c r="H179" s="22" t="n">
        <f aca="false">COUNTIFS('Court Quorum'!$B$7:$B$24,B179,'Court Quorum'!$C$7:$C$24,"&lt;&gt;"&amp;D179,'Court Quorum'!$D$7:$D$24,"&lt;&gt;"&amp;E179)-IF(F179="Court",1,0)</f>
        <v>2</v>
      </c>
      <c r="I179" s="22" t="n">
        <f aca="false">Inputs!$B$10</f>
        <v>2</v>
      </c>
      <c r="J179" s="22" t="str">
        <f aca="false">IF(AND(G179&gt;=1,H179&gt;=I179),"PASS","FAIL")</f>
        <v>PASS</v>
      </c>
      <c r="K179" s="4"/>
      <c r="L179" s="4"/>
      <c r="M179" s="4"/>
      <c r="N179" s="4"/>
    </row>
    <row r="180" customFormat="false" ht="15" hidden="false" customHeight="false" outlineLevel="0" collapsed="false">
      <c r="A180" s="17" t="s">
        <v>341</v>
      </c>
      <c r="B180" s="17" t="s">
        <v>162</v>
      </c>
      <c r="C180" s="17" t="s">
        <v>142</v>
      </c>
      <c r="D180" s="17" t="s">
        <v>161</v>
      </c>
      <c r="E180" s="17"/>
      <c r="F180" s="17"/>
      <c r="G180" s="22" t="n">
        <f aca="false">COUNTIFS('Role Enclaves'!$D$7:$D$42,B180,'Role Enclaves'!$E$7:$E$42,C180,'Role Enclaves'!$B$7:$B$42,"&lt;&gt;"&amp;D180,'Role Enclaves'!$C$7:$C$42,"&lt;&gt;"&amp;E180)-IF(F180=C180,1,0)</f>
        <v>1</v>
      </c>
      <c r="H180" s="22" t="n">
        <f aca="false">COUNTIFS('Court Quorum'!$B$7:$B$24,B180,'Court Quorum'!$C$7:$C$24,"&lt;&gt;"&amp;D180,'Court Quorum'!$D$7:$D$24,"&lt;&gt;"&amp;E180)-IF(F180="Court",1,0)</f>
        <v>2</v>
      </c>
      <c r="I180" s="22" t="n">
        <f aca="false">Inputs!$B$10</f>
        <v>2</v>
      </c>
      <c r="J180" s="22" t="str">
        <f aca="false">IF(AND(G180&gt;=1,H180&gt;=I180),"PASS","FAIL")</f>
        <v>PASS</v>
      </c>
      <c r="K180" s="4"/>
      <c r="L180" s="4"/>
      <c r="M180" s="4"/>
      <c r="N180" s="4"/>
    </row>
    <row r="181" customFormat="false" ht="15" hidden="false" customHeight="false" outlineLevel="0" collapsed="false">
      <c r="A181" s="17" t="s">
        <v>341</v>
      </c>
      <c r="B181" s="17" t="s">
        <v>167</v>
      </c>
      <c r="C181" s="17" t="s">
        <v>141</v>
      </c>
      <c r="D181" s="17" t="s">
        <v>161</v>
      </c>
      <c r="E181" s="17"/>
      <c r="F181" s="17"/>
      <c r="G181" s="22" t="n">
        <f aca="false">COUNTIFS('Role Enclaves'!$D$7:$D$42,B181,'Role Enclaves'!$E$7:$E$42,C181,'Role Enclaves'!$B$7:$B$42,"&lt;&gt;"&amp;D181,'Role Enclaves'!$C$7:$C$42,"&lt;&gt;"&amp;E181)-IF(F181=C181,1,0)</f>
        <v>2</v>
      </c>
      <c r="H181" s="22" t="n">
        <f aca="false">COUNTIFS('Court Quorum'!$B$7:$B$24,B181,'Court Quorum'!$C$7:$C$24,"&lt;&gt;"&amp;D181,'Court Quorum'!$D$7:$D$24,"&lt;&gt;"&amp;E181)-IF(F181="Court",1,0)</f>
        <v>3</v>
      </c>
      <c r="I181" s="22" t="n">
        <f aca="false">Inputs!$B$10</f>
        <v>2</v>
      </c>
      <c r="J181" s="22" t="str">
        <f aca="false">IF(AND(G181&gt;=1,H181&gt;=I181),"PASS","FAIL")</f>
        <v>PASS</v>
      </c>
      <c r="K181" s="4"/>
      <c r="L181" s="4"/>
      <c r="M181" s="4"/>
      <c r="N181" s="4"/>
    </row>
    <row r="182" customFormat="false" ht="15" hidden="false" customHeight="false" outlineLevel="0" collapsed="false">
      <c r="A182" s="17" t="s">
        <v>341</v>
      </c>
      <c r="B182" s="17" t="s">
        <v>167</v>
      </c>
      <c r="C182" s="17" t="s">
        <v>145</v>
      </c>
      <c r="D182" s="17" t="s">
        <v>161</v>
      </c>
      <c r="E182" s="17"/>
      <c r="F182" s="17"/>
      <c r="G182" s="22" t="n">
        <f aca="false">COUNTIFS('Role Enclaves'!$D$7:$D$42,B182,'Role Enclaves'!$E$7:$E$42,C182,'Role Enclaves'!$B$7:$B$42,"&lt;&gt;"&amp;D182,'Role Enclaves'!$C$7:$C$42,"&lt;&gt;"&amp;E182)-IF(F182=C182,1,0)</f>
        <v>2</v>
      </c>
      <c r="H182" s="22" t="n">
        <f aca="false">COUNTIFS('Court Quorum'!$B$7:$B$24,B182,'Court Quorum'!$C$7:$C$24,"&lt;&gt;"&amp;D182,'Court Quorum'!$D$7:$D$24,"&lt;&gt;"&amp;E182)-IF(F182="Court",1,0)</f>
        <v>3</v>
      </c>
      <c r="I182" s="22" t="n">
        <f aca="false">Inputs!$B$10</f>
        <v>2</v>
      </c>
      <c r="J182" s="22" t="str">
        <f aca="false">IF(AND(G182&gt;=1,H182&gt;=I182),"PASS","FAIL")</f>
        <v>PASS</v>
      </c>
      <c r="K182" s="4"/>
      <c r="L182" s="4"/>
      <c r="M182" s="4"/>
      <c r="N182" s="4"/>
    </row>
    <row r="183" customFormat="false" ht="15" hidden="false" customHeight="false" outlineLevel="0" collapsed="false">
      <c r="A183" s="17" t="s">
        <v>341</v>
      </c>
      <c r="B183" s="17" t="s">
        <v>167</v>
      </c>
      <c r="C183" s="17" t="s">
        <v>142</v>
      </c>
      <c r="D183" s="17" t="s">
        <v>161</v>
      </c>
      <c r="E183" s="17"/>
      <c r="F183" s="17"/>
      <c r="G183" s="22" t="n">
        <f aca="false">COUNTIFS('Role Enclaves'!$D$7:$D$42,B183,'Role Enclaves'!$E$7:$E$42,C183,'Role Enclaves'!$B$7:$B$42,"&lt;&gt;"&amp;D183,'Role Enclaves'!$C$7:$C$42,"&lt;&gt;"&amp;E183)-IF(F183=C183,1,0)</f>
        <v>2</v>
      </c>
      <c r="H183" s="22" t="n">
        <f aca="false">COUNTIFS('Court Quorum'!$B$7:$B$24,B183,'Court Quorum'!$C$7:$C$24,"&lt;&gt;"&amp;D183,'Court Quorum'!$D$7:$D$24,"&lt;&gt;"&amp;E183)-IF(F183="Court",1,0)</f>
        <v>3</v>
      </c>
      <c r="I183" s="22" t="n">
        <f aca="false">Inputs!$B$10</f>
        <v>2</v>
      </c>
      <c r="J183" s="22" t="str">
        <f aca="false">IF(AND(G183&gt;=1,H183&gt;=I183),"PASS","FAIL")</f>
        <v>PASS</v>
      </c>
      <c r="K183" s="4"/>
      <c r="L183" s="4"/>
      <c r="M183" s="4"/>
      <c r="N183" s="4"/>
    </row>
    <row r="184" customFormat="false" ht="15" hidden="false" customHeight="false" outlineLevel="0" collapsed="false">
      <c r="A184" s="17" t="s">
        <v>341</v>
      </c>
      <c r="B184" s="17" t="s">
        <v>172</v>
      </c>
      <c r="C184" s="17" t="s">
        <v>141</v>
      </c>
      <c r="D184" s="17" t="s">
        <v>161</v>
      </c>
      <c r="E184" s="17"/>
      <c r="F184" s="17"/>
      <c r="G184" s="22" t="n">
        <f aca="false">COUNTIFS('Role Enclaves'!$D$7:$D$42,B184,'Role Enclaves'!$E$7:$E$42,C184,'Role Enclaves'!$B$7:$B$42,"&lt;&gt;"&amp;D184,'Role Enclaves'!$C$7:$C$42,"&lt;&gt;"&amp;E184)-IF(F184=C184,1,0)</f>
        <v>2</v>
      </c>
      <c r="H184" s="22" t="n">
        <f aca="false">COUNTIFS('Court Quorum'!$B$7:$B$24,B184,'Court Quorum'!$C$7:$C$24,"&lt;&gt;"&amp;D184,'Court Quorum'!$D$7:$D$24,"&lt;&gt;"&amp;E184)-IF(F184="Court",1,0)</f>
        <v>3</v>
      </c>
      <c r="I184" s="22" t="n">
        <f aca="false">Inputs!$B$10</f>
        <v>2</v>
      </c>
      <c r="J184" s="22" t="str">
        <f aca="false">IF(AND(G184&gt;=1,H184&gt;=I184),"PASS","FAIL")</f>
        <v>PASS</v>
      </c>
      <c r="K184" s="4"/>
      <c r="L184" s="4"/>
      <c r="M184" s="4"/>
      <c r="N184" s="4"/>
    </row>
    <row r="185" customFormat="false" ht="15" hidden="false" customHeight="false" outlineLevel="0" collapsed="false">
      <c r="A185" s="17" t="s">
        <v>341</v>
      </c>
      <c r="B185" s="17" t="s">
        <v>172</v>
      </c>
      <c r="C185" s="17" t="s">
        <v>145</v>
      </c>
      <c r="D185" s="17" t="s">
        <v>161</v>
      </c>
      <c r="E185" s="17"/>
      <c r="F185" s="17"/>
      <c r="G185" s="22" t="n">
        <f aca="false">COUNTIFS('Role Enclaves'!$D$7:$D$42,B185,'Role Enclaves'!$E$7:$E$42,C185,'Role Enclaves'!$B$7:$B$42,"&lt;&gt;"&amp;D185,'Role Enclaves'!$C$7:$C$42,"&lt;&gt;"&amp;E185)-IF(F185=C185,1,0)</f>
        <v>2</v>
      </c>
      <c r="H185" s="22" t="n">
        <f aca="false">COUNTIFS('Court Quorum'!$B$7:$B$24,B185,'Court Quorum'!$C$7:$C$24,"&lt;&gt;"&amp;D185,'Court Quorum'!$D$7:$D$24,"&lt;&gt;"&amp;E185)-IF(F185="Court",1,0)</f>
        <v>3</v>
      </c>
      <c r="I185" s="22" t="n">
        <f aca="false">Inputs!$B$10</f>
        <v>2</v>
      </c>
      <c r="J185" s="22" t="str">
        <f aca="false">IF(AND(G185&gt;=1,H185&gt;=I185),"PASS","FAIL")</f>
        <v>PASS</v>
      </c>
      <c r="K185" s="4"/>
      <c r="L185" s="4"/>
      <c r="M185" s="4"/>
      <c r="N185" s="4"/>
    </row>
    <row r="186" customFormat="false" ht="15" hidden="false" customHeight="false" outlineLevel="0" collapsed="false">
      <c r="A186" s="17" t="s">
        <v>341</v>
      </c>
      <c r="B186" s="17" t="s">
        <v>172</v>
      </c>
      <c r="C186" s="17" t="s">
        <v>142</v>
      </c>
      <c r="D186" s="17" t="s">
        <v>161</v>
      </c>
      <c r="E186" s="17"/>
      <c r="F186" s="17"/>
      <c r="G186" s="22" t="n">
        <f aca="false">COUNTIFS('Role Enclaves'!$D$7:$D$42,B186,'Role Enclaves'!$E$7:$E$42,C186,'Role Enclaves'!$B$7:$B$42,"&lt;&gt;"&amp;D186,'Role Enclaves'!$C$7:$C$42,"&lt;&gt;"&amp;E186)-IF(F186=C186,1,0)</f>
        <v>2</v>
      </c>
      <c r="H186" s="22" t="n">
        <f aca="false">COUNTIFS('Court Quorum'!$B$7:$B$24,B186,'Court Quorum'!$C$7:$C$24,"&lt;&gt;"&amp;D186,'Court Quorum'!$D$7:$D$24,"&lt;&gt;"&amp;E186)-IF(F186="Court",1,0)</f>
        <v>3</v>
      </c>
      <c r="I186" s="22" t="n">
        <f aca="false">Inputs!$B$10</f>
        <v>2</v>
      </c>
      <c r="J186" s="22" t="str">
        <f aca="false">IF(AND(G186&gt;=1,H186&gt;=I186),"PASS","FAIL")</f>
        <v>PASS</v>
      </c>
      <c r="K186" s="4"/>
      <c r="L186" s="4"/>
      <c r="M186" s="4"/>
      <c r="N186" s="4"/>
    </row>
    <row r="187" customFormat="false" ht="15" hidden="false" customHeight="false" outlineLevel="0" collapsed="false">
      <c r="A187" s="17" t="s">
        <v>342</v>
      </c>
      <c r="B187" s="17" t="s">
        <v>138</v>
      </c>
      <c r="C187" s="17" t="s">
        <v>141</v>
      </c>
      <c r="D187" s="17" t="s">
        <v>164</v>
      </c>
      <c r="E187" s="17"/>
      <c r="F187" s="17"/>
      <c r="G187" s="22" t="n">
        <f aca="false">COUNTIFS('Role Enclaves'!$D$7:$D$42,B187,'Role Enclaves'!$E$7:$E$42,C187,'Role Enclaves'!$B$7:$B$42,"&lt;&gt;"&amp;D187,'Role Enclaves'!$C$7:$C$42,"&lt;&gt;"&amp;E187)-IF(F187=C187,1,0)</f>
        <v>2</v>
      </c>
      <c r="H187" s="22" t="n">
        <f aca="false">COUNTIFS('Court Quorum'!$B$7:$B$24,B187,'Court Quorum'!$C$7:$C$24,"&lt;&gt;"&amp;D187,'Court Quorum'!$D$7:$D$24,"&lt;&gt;"&amp;E187)-IF(F187="Court",1,0)</f>
        <v>3</v>
      </c>
      <c r="I187" s="22" t="n">
        <f aca="false">Inputs!$B$10</f>
        <v>2</v>
      </c>
      <c r="J187" s="22" t="str">
        <f aca="false">IF(AND(G187&gt;=1,H187&gt;=I187),"PASS","FAIL")</f>
        <v>PASS</v>
      </c>
      <c r="K187" s="4"/>
      <c r="L187" s="4"/>
      <c r="M187" s="4"/>
      <c r="N187" s="4"/>
    </row>
    <row r="188" customFormat="false" ht="15" hidden="false" customHeight="false" outlineLevel="0" collapsed="false">
      <c r="A188" s="17" t="s">
        <v>342</v>
      </c>
      <c r="B188" s="17" t="s">
        <v>138</v>
      </c>
      <c r="C188" s="17" t="s">
        <v>145</v>
      </c>
      <c r="D188" s="17" t="s">
        <v>164</v>
      </c>
      <c r="E188" s="17"/>
      <c r="F188" s="17"/>
      <c r="G188" s="22" t="n">
        <f aca="false">COUNTIFS('Role Enclaves'!$D$7:$D$42,B188,'Role Enclaves'!$E$7:$E$42,C188,'Role Enclaves'!$B$7:$B$42,"&lt;&gt;"&amp;D188,'Role Enclaves'!$C$7:$C$42,"&lt;&gt;"&amp;E188)-IF(F188=C188,1,0)</f>
        <v>2</v>
      </c>
      <c r="H188" s="22" t="n">
        <f aca="false">COUNTIFS('Court Quorum'!$B$7:$B$24,B188,'Court Quorum'!$C$7:$C$24,"&lt;&gt;"&amp;D188,'Court Quorum'!$D$7:$D$24,"&lt;&gt;"&amp;E188)-IF(F188="Court",1,0)</f>
        <v>3</v>
      </c>
      <c r="I188" s="22" t="n">
        <f aca="false">Inputs!$B$10</f>
        <v>2</v>
      </c>
      <c r="J188" s="22" t="str">
        <f aca="false">IF(AND(G188&gt;=1,H188&gt;=I188),"PASS","FAIL")</f>
        <v>PASS</v>
      </c>
      <c r="K188" s="4"/>
      <c r="L188" s="4"/>
      <c r="M188" s="4"/>
      <c r="N188" s="4"/>
    </row>
    <row r="189" customFormat="false" ht="15" hidden="false" customHeight="false" outlineLevel="0" collapsed="false">
      <c r="A189" s="17" t="s">
        <v>342</v>
      </c>
      <c r="B189" s="17" t="s">
        <v>138</v>
      </c>
      <c r="C189" s="17" t="s">
        <v>142</v>
      </c>
      <c r="D189" s="17" t="s">
        <v>164</v>
      </c>
      <c r="E189" s="17"/>
      <c r="F189" s="17"/>
      <c r="G189" s="22" t="n">
        <f aca="false">COUNTIFS('Role Enclaves'!$D$7:$D$42,B189,'Role Enclaves'!$E$7:$E$42,C189,'Role Enclaves'!$B$7:$B$42,"&lt;&gt;"&amp;D189,'Role Enclaves'!$C$7:$C$42,"&lt;&gt;"&amp;E189)-IF(F189=C189,1,0)</f>
        <v>2</v>
      </c>
      <c r="H189" s="22" t="n">
        <f aca="false">COUNTIFS('Court Quorum'!$B$7:$B$24,B189,'Court Quorum'!$C$7:$C$24,"&lt;&gt;"&amp;D189,'Court Quorum'!$D$7:$D$24,"&lt;&gt;"&amp;E189)-IF(F189="Court",1,0)</f>
        <v>3</v>
      </c>
      <c r="I189" s="22" t="n">
        <f aca="false">Inputs!$B$10</f>
        <v>2</v>
      </c>
      <c r="J189" s="22" t="str">
        <f aca="false">IF(AND(G189&gt;=1,H189&gt;=I189),"PASS","FAIL")</f>
        <v>PASS</v>
      </c>
      <c r="K189" s="4"/>
      <c r="L189" s="4"/>
      <c r="M189" s="4"/>
      <c r="N189" s="4"/>
    </row>
    <row r="190" customFormat="false" ht="15" hidden="false" customHeight="false" outlineLevel="0" collapsed="false">
      <c r="A190" s="17" t="s">
        <v>342</v>
      </c>
      <c r="B190" s="17" t="s">
        <v>149</v>
      </c>
      <c r="C190" s="17" t="s">
        <v>141</v>
      </c>
      <c r="D190" s="17" t="s">
        <v>164</v>
      </c>
      <c r="E190" s="17"/>
      <c r="F190" s="17"/>
      <c r="G190" s="22" t="n">
        <f aca="false">COUNTIFS('Role Enclaves'!$D$7:$D$42,B190,'Role Enclaves'!$E$7:$E$42,C190,'Role Enclaves'!$B$7:$B$42,"&lt;&gt;"&amp;D190,'Role Enclaves'!$C$7:$C$42,"&lt;&gt;"&amp;E190)-IF(F190=C190,1,0)</f>
        <v>2</v>
      </c>
      <c r="H190" s="22" t="n">
        <f aca="false">COUNTIFS('Court Quorum'!$B$7:$B$24,B190,'Court Quorum'!$C$7:$C$24,"&lt;&gt;"&amp;D190,'Court Quorum'!$D$7:$D$24,"&lt;&gt;"&amp;E190)-IF(F190="Court",1,0)</f>
        <v>3</v>
      </c>
      <c r="I190" s="22" t="n">
        <f aca="false">Inputs!$B$10</f>
        <v>2</v>
      </c>
      <c r="J190" s="22" t="str">
        <f aca="false">IF(AND(G190&gt;=1,H190&gt;=I190),"PASS","FAIL")</f>
        <v>PASS</v>
      </c>
      <c r="K190" s="4"/>
      <c r="L190" s="4"/>
      <c r="M190" s="4"/>
      <c r="N190" s="4"/>
    </row>
    <row r="191" customFormat="false" ht="15" hidden="false" customHeight="false" outlineLevel="0" collapsed="false">
      <c r="A191" s="17" t="s">
        <v>342</v>
      </c>
      <c r="B191" s="17" t="s">
        <v>149</v>
      </c>
      <c r="C191" s="17" t="s">
        <v>145</v>
      </c>
      <c r="D191" s="17" t="s">
        <v>164</v>
      </c>
      <c r="E191" s="17"/>
      <c r="F191" s="17"/>
      <c r="G191" s="22" t="n">
        <f aca="false">COUNTIFS('Role Enclaves'!$D$7:$D$42,B191,'Role Enclaves'!$E$7:$E$42,C191,'Role Enclaves'!$B$7:$B$42,"&lt;&gt;"&amp;D191,'Role Enclaves'!$C$7:$C$42,"&lt;&gt;"&amp;E191)-IF(F191=C191,1,0)</f>
        <v>2</v>
      </c>
      <c r="H191" s="22" t="n">
        <f aca="false">COUNTIFS('Court Quorum'!$B$7:$B$24,B191,'Court Quorum'!$C$7:$C$24,"&lt;&gt;"&amp;D191,'Court Quorum'!$D$7:$D$24,"&lt;&gt;"&amp;E191)-IF(F191="Court",1,0)</f>
        <v>3</v>
      </c>
      <c r="I191" s="22" t="n">
        <f aca="false">Inputs!$B$10</f>
        <v>2</v>
      </c>
      <c r="J191" s="22" t="str">
        <f aca="false">IF(AND(G191&gt;=1,H191&gt;=I191),"PASS","FAIL")</f>
        <v>PASS</v>
      </c>
      <c r="K191" s="4"/>
      <c r="L191" s="4"/>
      <c r="M191" s="4"/>
      <c r="N191" s="4"/>
    </row>
    <row r="192" customFormat="false" ht="15" hidden="false" customHeight="false" outlineLevel="0" collapsed="false">
      <c r="A192" s="17" t="s">
        <v>342</v>
      </c>
      <c r="B192" s="17" t="s">
        <v>149</v>
      </c>
      <c r="C192" s="17" t="s">
        <v>142</v>
      </c>
      <c r="D192" s="17" t="s">
        <v>164</v>
      </c>
      <c r="E192" s="17"/>
      <c r="F192" s="17"/>
      <c r="G192" s="22" t="n">
        <f aca="false">COUNTIFS('Role Enclaves'!$D$7:$D$42,B192,'Role Enclaves'!$E$7:$E$42,C192,'Role Enclaves'!$B$7:$B$42,"&lt;&gt;"&amp;D192,'Role Enclaves'!$C$7:$C$42,"&lt;&gt;"&amp;E192)-IF(F192=C192,1,0)</f>
        <v>2</v>
      </c>
      <c r="H192" s="22" t="n">
        <f aca="false">COUNTIFS('Court Quorum'!$B$7:$B$24,B192,'Court Quorum'!$C$7:$C$24,"&lt;&gt;"&amp;D192,'Court Quorum'!$D$7:$D$24,"&lt;&gt;"&amp;E192)-IF(F192="Court",1,0)</f>
        <v>3</v>
      </c>
      <c r="I192" s="22" t="n">
        <f aca="false">Inputs!$B$10</f>
        <v>2</v>
      </c>
      <c r="J192" s="22" t="str">
        <f aca="false">IF(AND(G192&gt;=1,H192&gt;=I192),"PASS","FAIL")</f>
        <v>PASS</v>
      </c>
      <c r="K192" s="4"/>
      <c r="L192" s="4"/>
      <c r="M192" s="4"/>
      <c r="N192" s="4"/>
    </row>
    <row r="193" customFormat="false" ht="15" hidden="false" customHeight="false" outlineLevel="0" collapsed="false">
      <c r="A193" s="17" t="s">
        <v>342</v>
      </c>
      <c r="B193" s="17" t="s">
        <v>157</v>
      </c>
      <c r="C193" s="17" t="s">
        <v>141</v>
      </c>
      <c r="D193" s="17" t="s">
        <v>164</v>
      </c>
      <c r="E193" s="17"/>
      <c r="F193" s="17"/>
      <c r="G193" s="22" t="n">
        <f aca="false">COUNTIFS('Role Enclaves'!$D$7:$D$42,B193,'Role Enclaves'!$E$7:$E$42,C193,'Role Enclaves'!$B$7:$B$42,"&lt;&gt;"&amp;D193,'Role Enclaves'!$C$7:$C$42,"&lt;&gt;"&amp;E193)-IF(F193=C193,1,0)</f>
        <v>2</v>
      </c>
      <c r="H193" s="22" t="n">
        <f aca="false">COUNTIFS('Court Quorum'!$B$7:$B$24,B193,'Court Quorum'!$C$7:$C$24,"&lt;&gt;"&amp;D193,'Court Quorum'!$D$7:$D$24,"&lt;&gt;"&amp;E193)-IF(F193="Court",1,0)</f>
        <v>3</v>
      </c>
      <c r="I193" s="22" t="n">
        <f aca="false">Inputs!$B$10</f>
        <v>2</v>
      </c>
      <c r="J193" s="22" t="str">
        <f aca="false">IF(AND(G193&gt;=1,H193&gt;=I193),"PASS","FAIL")</f>
        <v>PASS</v>
      </c>
      <c r="K193" s="4"/>
      <c r="L193" s="4"/>
      <c r="M193" s="4"/>
      <c r="N193" s="4"/>
    </row>
    <row r="194" customFormat="false" ht="15" hidden="false" customHeight="false" outlineLevel="0" collapsed="false">
      <c r="A194" s="17" t="s">
        <v>342</v>
      </c>
      <c r="B194" s="17" t="s">
        <v>157</v>
      </c>
      <c r="C194" s="17" t="s">
        <v>145</v>
      </c>
      <c r="D194" s="17" t="s">
        <v>164</v>
      </c>
      <c r="E194" s="17"/>
      <c r="F194" s="17"/>
      <c r="G194" s="22" t="n">
        <f aca="false">COUNTIFS('Role Enclaves'!$D$7:$D$42,B194,'Role Enclaves'!$E$7:$E$42,C194,'Role Enclaves'!$B$7:$B$42,"&lt;&gt;"&amp;D194,'Role Enclaves'!$C$7:$C$42,"&lt;&gt;"&amp;E194)-IF(F194=C194,1,0)</f>
        <v>2</v>
      </c>
      <c r="H194" s="22" t="n">
        <f aca="false">COUNTIFS('Court Quorum'!$B$7:$B$24,B194,'Court Quorum'!$C$7:$C$24,"&lt;&gt;"&amp;D194,'Court Quorum'!$D$7:$D$24,"&lt;&gt;"&amp;E194)-IF(F194="Court",1,0)</f>
        <v>3</v>
      </c>
      <c r="I194" s="22" t="n">
        <f aca="false">Inputs!$B$10</f>
        <v>2</v>
      </c>
      <c r="J194" s="22" t="str">
        <f aca="false">IF(AND(G194&gt;=1,H194&gt;=I194),"PASS","FAIL")</f>
        <v>PASS</v>
      </c>
      <c r="K194" s="4"/>
      <c r="L194" s="4"/>
      <c r="M194" s="4"/>
      <c r="N194" s="4"/>
    </row>
    <row r="195" customFormat="false" ht="15" hidden="false" customHeight="false" outlineLevel="0" collapsed="false">
      <c r="A195" s="17" t="s">
        <v>342</v>
      </c>
      <c r="B195" s="17" t="s">
        <v>157</v>
      </c>
      <c r="C195" s="17" t="s">
        <v>142</v>
      </c>
      <c r="D195" s="17" t="s">
        <v>164</v>
      </c>
      <c r="E195" s="17"/>
      <c r="F195" s="17"/>
      <c r="G195" s="22" t="n">
        <f aca="false">COUNTIFS('Role Enclaves'!$D$7:$D$42,B195,'Role Enclaves'!$E$7:$E$42,C195,'Role Enclaves'!$B$7:$B$42,"&lt;&gt;"&amp;D195,'Role Enclaves'!$C$7:$C$42,"&lt;&gt;"&amp;E195)-IF(F195=C195,1,0)</f>
        <v>2</v>
      </c>
      <c r="H195" s="22" t="n">
        <f aca="false">COUNTIFS('Court Quorum'!$B$7:$B$24,B195,'Court Quorum'!$C$7:$C$24,"&lt;&gt;"&amp;D195,'Court Quorum'!$D$7:$D$24,"&lt;&gt;"&amp;E195)-IF(F195="Court",1,0)</f>
        <v>3</v>
      </c>
      <c r="I195" s="22" t="n">
        <f aca="false">Inputs!$B$10</f>
        <v>2</v>
      </c>
      <c r="J195" s="22" t="str">
        <f aca="false">IF(AND(G195&gt;=1,H195&gt;=I195),"PASS","FAIL")</f>
        <v>PASS</v>
      </c>
      <c r="K195" s="4"/>
      <c r="L195" s="4"/>
      <c r="M195" s="4"/>
      <c r="N195" s="4"/>
    </row>
    <row r="196" customFormat="false" ht="15" hidden="false" customHeight="false" outlineLevel="0" collapsed="false">
      <c r="A196" s="17" t="s">
        <v>342</v>
      </c>
      <c r="B196" s="17" t="s">
        <v>162</v>
      </c>
      <c r="C196" s="17" t="s">
        <v>141</v>
      </c>
      <c r="D196" s="17" t="s">
        <v>164</v>
      </c>
      <c r="E196" s="17"/>
      <c r="F196" s="17"/>
      <c r="G196" s="22" t="n">
        <f aca="false">COUNTIFS('Role Enclaves'!$D$7:$D$42,B196,'Role Enclaves'!$E$7:$E$42,C196,'Role Enclaves'!$B$7:$B$42,"&lt;&gt;"&amp;D196,'Role Enclaves'!$C$7:$C$42,"&lt;&gt;"&amp;E196)-IF(F196=C196,1,0)</f>
        <v>1</v>
      </c>
      <c r="H196" s="22" t="n">
        <f aca="false">COUNTIFS('Court Quorum'!$B$7:$B$24,B196,'Court Quorum'!$C$7:$C$24,"&lt;&gt;"&amp;D196,'Court Quorum'!$D$7:$D$24,"&lt;&gt;"&amp;E196)-IF(F196="Court",1,0)</f>
        <v>2</v>
      </c>
      <c r="I196" s="22" t="n">
        <f aca="false">Inputs!$B$10</f>
        <v>2</v>
      </c>
      <c r="J196" s="22" t="str">
        <f aca="false">IF(AND(G196&gt;=1,H196&gt;=I196),"PASS","FAIL")</f>
        <v>PASS</v>
      </c>
      <c r="K196" s="4"/>
      <c r="L196" s="4"/>
      <c r="M196" s="4"/>
      <c r="N196" s="4"/>
    </row>
    <row r="197" customFormat="false" ht="15" hidden="false" customHeight="false" outlineLevel="0" collapsed="false">
      <c r="A197" s="17" t="s">
        <v>342</v>
      </c>
      <c r="B197" s="17" t="s">
        <v>162</v>
      </c>
      <c r="C197" s="17" t="s">
        <v>145</v>
      </c>
      <c r="D197" s="17" t="s">
        <v>164</v>
      </c>
      <c r="E197" s="17"/>
      <c r="F197" s="17"/>
      <c r="G197" s="22" t="n">
        <f aca="false">COUNTIFS('Role Enclaves'!$D$7:$D$42,B197,'Role Enclaves'!$E$7:$E$42,C197,'Role Enclaves'!$B$7:$B$42,"&lt;&gt;"&amp;D197,'Role Enclaves'!$C$7:$C$42,"&lt;&gt;"&amp;E197)-IF(F197=C197,1,0)</f>
        <v>1</v>
      </c>
      <c r="H197" s="22" t="n">
        <f aca="false">COUNTIFS('Court Quorum'!$B$7:$B$24,B197,'Court Quorum'!$C$7:$C$24,"&lt;&gt;"&amp;D197,'Court Quorum'!$D$7:$D$24,"&lt;&gt;"&amp;E197)-IF(F197="Court",1,0)</f>
        <v>2</v>
      </c>
      <c r="I197" s="22" t="n">
        <f aca="false">Inputs!$B$10</f>
        <v>2</v>
      </c>
      <c r="J197" s="22" t="str">
        <f aca="false">IF(AND(G197&gt;=1,H197&gt;=I197),"PASS","FAIL")</f>
        <v>PASS</v>
      </c>
      <c r="K197" s="4"/>
      <c r="L197" s="4"/>
      <c r="M197" s="4"/>
      <c r="N197" s="4"/>
    </row>
    <row r="198" customFormat="false" ht="15" hidden="false" customHeight="false" outlineLevel="0" collapsed="false">
      <c r="A198" s="17" t="s">
        <v>342</v>
      </c>
      <c r="B198" s="17" t="s">
        <v>162</v>
      </c>
      <c r="C198" s="17" t="s">
        <v>142</v>
      </c>
      <c r="D198" s="17" t="s">
        <v>164</v>
      </c>
      <c r="E198" s="17"/>
      <c r="F198" s="17"/>
      <c r="G198" s="22" t="n">
        <f aca="false">COUNTIFS('Role Enclaves'!$D$7:$D$42,B198,'Role Enclaves'!$E$7:$E$42,C198,'Role Enclaves'!$B$7:$B$42,"&lt;&gt;"&amp;D198,'Role Enclaves'!$C$7:$C$42,"&lt;&gt;"&amp;E198)-IF(F198=C198,1,0)</f>
        <v>2</v>
      </c>
      <c r="H198" s="22" t="n">
        <f aca="false">COUNTIFS('Court Quorum'!$B$7:$B$24,B198,'Court Quorum'!$C$7:$C$24,"&lt;&gt;"&amp;D198,'Court Quorum'!$D$7:$D$24,"&lt;&gt;"&amp;E198)-IF(F198="Court",1,0)</f>
        <v>2</v>
      </c>
      <c r="I198" s="22" t="n">
        <f aca="false">Inputs!$B$10</f>
        <v>2</v>
      </c>
      <c r="J198" s="22" t="str">
        <f aca="false">IF(AND(G198&gt;=1,H198&gt;=I198),"PASS","FAIL")</f>
        <v>PASS</v>
      </c>
      <c r="K198" s="4"/>
      <c r="L198" s="4"/>
      <c r="M198" s="4"/>
      <c r="N198" s="4"/>
    </row>
    <row r="199" customFormat="false" ht="15" hidden="false" customHeight="false" outlineLevel="0" collapsed="false">
      <c r="A199" s="17" t="s">
        <v>342</v>
      </c>
      <c r="B199" s="17" t="s">
        <v>167</v>
      </c>
      <c r="C199" s="17" t="s">
        <v>141</v>
      </c>
      <c r="D199" s="17" t="s">
        <v>164</v>
      </c>
      <c r="E199" s="17"/>
      <c r="F199" s="17"/>
      <c r="G199" s="22" t="n">
        <f aca="false">COUNTIFS('Role Enclaves'!$D$7:$D$42,B199,'Role Enclaves'!$E$7:$E$42,C199,'Role Enclaves'!$B$7:$B$42,"&lt;&gt;"&amp;D199,'Role Enclaves'!$C$7:$C$42,"&lt;&gt;"&amp;E199)-IF(F199=C199,1,0)</f>
        <v>2</v>
      </c>
      <c r="H199" s="22" t="n">
        <f aca="false">COUNTIFS('Court Quorum'!$B$7:$B$24,B199,'Court Quorum'!$C$7:$C$24,"&lt;&gt;"&amp;D199,'Court Quorum'!$D$7:$D$24,"&lt;&gt;"&amp;E199)-IF(F199="Court",1,0)</f>
        <v>3</v>
      </c>
      <c r="I199" s="22" t="n">
        <f aca="false">Inputs!$B$10</f>
        <v>2</v>
      </c>
      <c r="J199" s="22" t="str">
        <f aca="false">IF(AND(G199&gt;=1,H199&gt;=I199),"PASS","FAIL")</f>
        <v>PASS</v>
      </c>
      <c r="K199" s="4"/>
      <c r="L199" s="4"/>
      <c r="M199" s="4"/>
      <c r="N199" s="4"/>
    </row>
    <row r="200" customFormat="false" ht="15" hidden="false" customHeight="false" outlineLevel="0" collapsed="false">
      <c r="A200" s="17" t="s">
        <v>342</v>
      </c>
      <c r="B200" s="17" t="s">
        <v>167</v>
      </c>
      <c r="C200" s="17" t="s">
        <v>145</v>
      </c>
      <c r="D200" s="17" t="s">
        <v>164</v>
      </c>
      <c r="E200" s="17"/>
      <c r="F200" s="17"/>
      <c r="G200" s="22" t="n">
        <f aca="false">COUNTIFS('Role Enclaves'!$D$7:$D$42,B200,'Role Enclaves'!$E$7:$E$42,C200,'Role Enclaves'!$B$7:$B$42,"&lt;&gt;"&amp;D200,'Role Enclaves'!$C$7:$C$42,"&lt;&gt;"&amp;E200)-IF(F200=C200,1,0)</f>
        <v>2</v>
      </c>
      <c r="H200" s="22" t="n">
        <f aca="false">COUNTIFS('Court Quorum'!$B$7:$B$24,B200,'Court Quorum'!$C$7:$C$24,"&lt;&gt;"&amp;D200,'Court Quorum'!$D$7:$D$24,"&lt;&gt;"&amp;E200)-IF(F200="Court",1,0)</f>
        <v>3</v>
      </c>
      <c r="I200" s="22" t="n">
        <f aca="false">Inputs!$B$10</f>
        <v>2</v>
      </c>
      <c r="J200" s="22" t="str">
        <f aca="false">IF(AND(G200&gt;=1,H200&gt;=I200),"PASS","FAIL")</f>
        <v>PASS</v>
      </c>
      <c r="K200" s="4"/>
      <c r="L200" s="4"/>
      <c r="M200" s="4"/>
      <c r="N200" s="4"/>
    </row>
    <row r="201" customFormat="false" ht="15" hidden="false" customHeight="false" outlineLevel="0" collapsed="false">
      <c r="A201" s="17" t="s">
        <v>342</v>
      </c>
      <c r="B201" s="17" t="s">
        <v>167</v>
      </c>
      <c r="C201" s="17" t="s">
        <v>142</v>
      </c>
      <c r="D201" s="17" t="s">
        <v>164</v>
      </c>
      <c r="E201" s="17"/>
      <c r="F201" s="17"/>
      <c r="G201" s="22" t="n">
        <f aca="false">COUNTIFS('Role Enclaves'!$D$7:$D$42,B201,'Role Enclaves'!$E$7:$E$42,C201,'Role Enclaves'!$B$7:$B$42,"&lt;&gt;"&amp;D201,'Role Enclaves'!$C$7:$C$42,"&lt;&gt;"&amp;E201)-IF(F201=C201,1,0)</f>
        <v>2</v>
      </c>
      <c r="H201" s="22" t="n">
        <f aca="false">COUNTIFS('Court Quorum'!$B$7:$B$24,B201,'Court Quorum'!$C$7:$C$24,"&lt;&gt;"&amp;D201,'Court Quorum'!$D$7:$D$24,"&lt;&gt;"&amp;E201)-IF(F201="Court",1,0)</f>
        <v>3</v>
      </c>
      <c r="I201" s="22" t="n">
        <f aca="false">Inputs!$B$10</f>
        <v>2</v>
      </c>
      <c r="J201" s="22" t="str">
        <f aca="false">IF(AND(G201&gt;=1,H201&gt;=I201),"PASS","FAIL")</f>
        <v>PASS</v>
      </c>
      <c r="K201" s="4"/>
      <c r="L201" s="4"/>
      <c r="M201" s="4"/>
      <c r="N201" s="4"/>
    </row>
    <row r="202" customFormat="false" ht="15" hidden="false" customHeight="false" outlineLevel="0" collapsed="false">
      <c r="A202" s="17" t="s">
        <v>342</v>
      </c>
      <c r="B202" s="17" t="s">
        <v>172</v>
      </c>
      <c r="C202" s="17" t="s">
        <v>141</v>
      </c>
      <c r="D202" s="17" t="s">
        <v>164</v>
      </c>
      <c r="E202" s="17"/>
      <c r="F202" s="17"/>
      <c r="G202" s="22" t="n">
        <f aca="false">COUNTIFS('Role Enclaves'!$D$7:$D$42,B202,'Role Enclaves'!$E$7:$E$42,C202,'Role Enclaves'!$B$7:$B$42,"&lt;&gt;"&amp;D202,'Role Enclaves'!$C$7:$C$42,"&lt;&gt;"&amp;E202)-IF(F202=C202,1,0)</f>
        <v>2</v>
      </c>
      <c r="H202" s="22" t="n">
        <f aca="false">COUNTIFS('Court Quorum'!$B$7:$B$24,B202,'Court Quorum'!$C$7:$C$24,"&lt;&gt;"&amp;D202,'Court Quorum'!$D$7:$D$24,"&lt;&gt;"&amp;E202)-IF(F202="Court",1,0)</f>
        <v>3</v>
      </c>
      <c r="I202" s="22" t="n">
        <f aca="false">Inputs!$B$10</f>
        <v>2</v>
      </c>
      <c r="J202" s="22" t="str">
        <f aca="false">IF(AND(G202&gt;=1,H202&gt;=I202),"PASS","FAIL")</f>
        <v>PASS</v>
      </c>
      <c r="K202" s="4"/>
      <c r="L202" s="4"/>
      <c r="M202" s="4"/>
      <c r="N202" s="4"/>
    </row>
    <row r="203" customFormat="false" ht="15" hidden="false" customHeight="false" outlineLevel="0" collapsed="false">
      <c r="A203" s="17" t="s">
        <v>342</v>
      </c>
      <c r="B203" s="17" t="s">
        <v>172</v>
      </c>
      <c r="C203" s="17" t="s">
        <v>145</v>
      </c>
      <c r="D203" s="17" t="s">
        <v>164</v>
      </c>
      <c r="E203" s="17"/>
      <c r="F203" s="17"/>
      <c r="G203" s="22" t="n">
        <f aca="false">COUNTIFS('Role Enclaves'!$D$7:$D$42,B203,'Role Enclaves'!$E$7:$E$42,C203,'Role Enclaves'!$B$7:$B$42,"&lt;&gt;"&amp;D203,'Role Enclaves'!$C$7:$C$42,"&lt;&gt;"&amp;E203)-IF(F203=C203,1,0)</f>
        <v>2</v>
      </c>
      <c r="H203" s="22" t="n">
        <f aca="false">COUNTIFS('Court Quorum'!$B$7:$B$24,B203,'Court Quorum'!$C$7:$C$24,"&lt;&gt;"&amp;D203,'Court Quorum'!$D$7:$D$24,"&lt;&gt;"&amp;E203)-IF(F203="Court",1,0)</f>
        <v>3</v>
      </c>
      <c r="I203" s="22" t="n">
        <f aca="false">Inputs!$B$10</f>
        <v>2</v>
      </c>
      <c r="J203" s="22" t="str">
        <f aca="false">IF(AND(G203&gt;=1,H203&gt;=I203),"PASS","FAIL")</f>
        <v>PASS</v>
      </c>
      <c r="K203" s="4"/>
      <c r="L203" s="4"/>
      <c r="M203" s="4"/>
      <c r="N203" s="4"/>
    </row>
    <row r="204" customFormat="false" ht="15" hidden="false" customHeight="false" outlineLevel="0" collapsed="false">
      <c r="A204" s="17" t="s">
        <v>342</v>
      </c>
      <c r="B204" s="17" t="s">
        <v>172</v>
      </c>
      <c r="C204" s="17" t="s">
        <v>142</v>
      </c>
      <c r="D204" s="17" t="s">
        <v>164</v>
      </c>
      <c r="E204" s="17"/>
      <c r="F204" s="17"/>
      <c r="G204" s="22" t="n">
        <f aca="false">COUNTIFS('Role Enclaves'!$D$7:$D$42,B204,'Role Enclaves'!$E$7:$E$42,C204,'Role Enclaves'!$B$7:$B$42,"&lt;&gt;"&amp;D204,'Role Enclaves'!$C$7:$C$42,"&lt;&gt;"&amp;E204)-IF(F204=C204,1,0)</f>
        <v>2</v>
      </c>
      <c r="H204" s="22" t="n">
        <f aca="false">COUNTIFS('Court Quorum'!$B$7:$B$24,B204,'Court Quorum'!$C$7:$C$24,"&lt;&gt;"&amp;D204,'Court Quorum'!$D$7:$D$24,"&lt;&gt;"&amp;E204)-IF(F204="Court",1,0)</f>
        <v>3</v>
      </c>
      <c r="I204" s="22" t="n">
        <f aca="false">Inputs!$B$10</f>
        <v>2</v>
      </c>
      <c r="J204" s="22" t="str">
        <f aca="false">IF(AND(G204&gt;=1,H204&gt;=I204),"PASS","FAIL")</f>
        <v>PASS</v>
      </c>
      <c r="K204" s="4"/>
      <c r="L204" s="4"/>
      <c r="M204" s="4"/>
      <c r="N204" s="4"/>
    </row>
    <row r="205" customFormat="false" ht="15" hidden="false" customHeight="false" outlineLevel="0" collapsed="false">
      <c r="A205" s="17" t="s">
        <v>343</v>
      </c>
      <c r="B205" s="17" t="s">
        <v>138</v>
      </c>
      <c r="C205" s="17" t="s">
        <v>141</v>
      </c>
      <c r="D205" s="17" t="s">
        <v>165</v>
      </c>
      <c r="E205" s="17"/>
      <c r="F205" s="17"/>
      <c r="G205" s="22" t="n">
        <f aca="false">COUNTIFS('Role Enclaves'!$D$7:$D$42,B205,'Role Enclaves'!$E$7:$E$42,C205,'Role Enclaves'!$B$7:$B$42,"&lt;&gt;"&amp;D205,'Role Enclaves'!$C$7:$C$42,"&lt;&gt;"&amp;E205)-IF(F205=C205,1,0)</f>
        <v>2</v>
      </c>
      <c r="H205" s="22" t="n">
        <f aca="false">COUNTIFS('Court Quorum'!$B$7:$B$24,B205,'Court Quorum'!$C$7:$C$24,"&lt;&gt;"&amp;D205,'Court Quorum'!$D$7:$D$24,"&lt;&gt;"&amp;E205)-IF(F205="Court",1,0)</f>
        <v>3</v>
      </c>
      <c r="I205" s="22" t="n">
        <f aca="false">Inputs!$B$10</f>
        <v>2</v>
      </c>
      <c r="J205" s="22" t="str">
        <f aca="false">IF(AND(G205&gt;=1,H205&gt;=I205),"PASS","FAIL")</f>
        <v>PASS</v>
      </c>
      <c r="K205" s="4"/>
      <c r="L205" s="4"/>
      <c r="M205" s="4"/>
      <c r="N205" s="4"/>
    </row>
    <row r="206" customFormat="false" ht="15" hidden="false" customHeight="false" outlineLevel="0" collapsed="false">
      <c r="A206" s="17" t="s">
        <v>343</v>
      </c>
      <c r="B206" s="17" t="s">
        <v>138</v>
      </c>
      <c r="C206" s="17" t="s">
        <v>145</v>
      </c>
      <c r="D206" s="17" t="s">
        <v>165</v>
      </c>
      <c r="E206" s="17"/>
      <c r="F206" s="17"/>
      <c r="G206" s="22" t="n">
        <f aca="false">COUNTIFS('Role Enclaves'!$D$7:$D$42,B206,'Role Enclaves'!$E$7:$E$42,C206,'Role Enclaves'!$B$7:$B$42,"&lt;&gt;"&amp;D206,'Role Enclaves'!$C$7:$C$42,"&lt;&gt;"&amp;E206)-IF(F206=C206,1,0)</f>
        <v>2</v>
      </c>
      <c r="H206" s="22" t="n">
        <f aca="false">COUNTIFS('Court Quorum'!$B$7:$B$24,B206,'Court Quorum'!$C$7:$C$24,"&lt;&gt;"&amp;D206,'Court Quorum'!$D$7:$D$24,"&lt;&gt;"&amp;E206)-IF(F206="Court",1,0)</f>
        <v>3</v>
      </c>
      <c r="I206" s="22" t="n">
        <f aca="false">Inputs!$B$10</f>
        <v>2</v>
      </c>
      <c r="J206" s="22" t="str">
        <f aca="false">IF(AND(G206&gt;=1,H206&gt;=I206),"PASS","FAIL")</f>
        <v>PASS</v>
      </c>
      <c r="K206" s="4"/>
      <c r="L206" s="4"/>
      <c r="M206" s="4"/>
      <c r="N206" s="4"/>
    </row>
    <row r="207" customFormat="false" ht="15" hidden="false" customHeight="false" outlineLevel="0" collapsed="false">
      <c r="A207" s="17" t="s">
        <v>343</v>
      </c>
      <c r="B207" s="17" t="s">
        <v>138</v>
      </c>
      <c r="C207" s="17" t="s">
        <v>142</v>
      </c>
      <c r="D207" s="17" t="s">
        <v>165</v>
      </c>
      <c r="E207" s="17"/>
      <c r="F207" s="17"/>
      <c r="G207" s="22" t="n">
        <f aca="false">COUNTIFS('Role Enclaves'!$D$7:$D$42,B207,'Role Enclaves'!$E$7:$E$42,C207,'Role Enclaves'!$B$7:$B$42,"&lt;&gt;"&amp;D207,'Role Enclaves'!$C$7:$C$42,"&lt;&gt;"&amp;E207)-IF(F207=C207,1,0)</f>
        <v>2</v>
      </c>
      <c r="H207" s="22" t="n">
        <f aca="false">COUNTIFS('Court Quorum'!$B$7:$B$24,B207,'Court Quorum'!$C$7:$C$24,"&lt;&gt;"&amp;D207,'Court Quorum'!$D$7:$D$24,"&lt;&gt;"&amp;E207)-IF(F207="Court",1,0)</f>
        <v>3</v>
      </c>
      <c r="I207" s="22" t="n">
        <f aca="false">Inputs!$B$10</f>
        <v>2</v>
      </c>
      <c r="J207" s="22" t="str">
        <f aca="false">IF(AND(G207&gt;=1,H207&gt;=I207),"PASS","FAIL")</f>
        <v>PASS</v>
      </c>
      <c r="K207" s="4"/>
      <c r="L207" s="4"/>
      <c r="M207" s="4"/>
      <c r="N207" s="4"/>
    </row>
    <row r="208" customFormat="false" ht="15" hidden="false" customHeight="false" outlineLevel="0" collapsed="false">
      <c r="A208" s="17" t="s">
        <v>343</v>
      </c>
      <c r="B208" s="17" t="s">
        <v>149</v>
      </c>
      <c r="C208" s="17" t="s">
        <v>141</v>
      </c>
      <c r="D208" s="17" t="s">
        <v>165</v>
      </c>
      <c r="E208" s="17"/>
      <c r="F208" s="17"/>
      <c r="G208" s="22" t="n">
        <f aca="false">COUNTIFS('Role Enclaves'!$D$7:$D$42,B208,'Role Enclaves'!$E$7:$E$42,C208,'Role Enclaves'!$B$7:$B$42,"&lt;&gt;"&amp;D208,'Role Enclaves'!$C$7:$C$42,"&lt;&gt;"&amp;E208)-IF(F208=C208,1,0)</f>
        <v>2</v>
      </c>
      <c r="H208" s="22" t="n">
        <f aca="false">COUNTIFS('Court Quorum'!$B$7:$B$24,B208,'Court Quorum'!$C$7:$C$24,"&lt;&gt;"&amp;D208,'Court Quorum'!$D$7:$D$24,"&lt;&gt;"&amp;E208)-IF(F208="Court",1,0)</f>
        <v>3</v>
      </c>
      <c r="I208" s="22" t="n">
        <f aca="false">Inputs!$B$10</f>
        <v>2</v>
      </c>
      <c r="J208" s="22" t="str">
        <f aca="false">IF(AND(G208&gt;=1,H208&gt;=I208),"PASS","FAIL")</f>
        <v>PASS</v>
      </c>
      <c r="K208" s="4"/>
      <c r="L208" s="4"/>
      <c r="M208" s="4"/>
      <c r="N208" s="4"/>
    </row>
    <row r="209" customFormat="false" ht="15" hidden="false" customHeight="false" outlineLevel="0" collapsed="false">
      <c r="A209" s="17" t="s">
        <v>343</v>
      </c>
      <c r="B209" s="17" t="s">
        <v>149</v>
      </c>
      <c r="C209" s="17" t="s">
        <v>145</v>
      </c>
      <c r="D209" s="17" t="s">
        <v>165</v>
      </c>
      <c r="E209" s="17"/>
      <c r="F209" s="17"/>
      <c r="G209" s="22" t="n">
        <f aca="false">COUNTIFS('Role Enclaves'!$D$7:$D$42,B209,'Role Enclaves'!$E$7:$E$42,C209,'Role Enclaves'!$B$7:$B$42,"&lt;&gt;"&amp;D209,'Role Enclaves'!$C$7:$C$42,"&lt;&gt;"&amp;E209)-IF(F209=C209,1,0)</f>
        <v>2</v>
      </c>
      <c r="H209" s="22" t="n">
        <f aca="false">COUNTIFS('Court Quorum'!$B$7:$B$24,B209,'Court Quorum'!$C$7:$C$24,"&lt;&gt;"&amp;D209,'Court Quorum'!$D$7:$D$24,"&lt;&gt;"&amp;E209)-IF(F209="Court",1,0)</f>
        <v>3</v>
      </c>
      <c r="I209" s="22" t="n">
        <f aca="false">Inputs!$B$10</f>
        <v>2</v>
      </c>
      <c r="J209" s="22" t="str">
        <f aca="false">IF(AND(G209&gt;=1,H209&gt;=I209),"PASS","FAIL")</f>
        <v>PASS</v>
      </c>
      <c r="K209" s="4"/>
      <c r="L209" s="4"/>
      <c r="M209" s="4"/>
      <c r="N209" s="4"/>
    </row>
    <row r="210" customFormat="false" ht="15" hidden="false" customHeight="false" outlineLevel="0" collapsed="false">
      <c r="A210" s="17" t="s">
        <v>343</v>
      </c>
      <c r="B210" s="17" t="s">
        <v>149</v>
      </c>
      <c r="C210" s="17" t="s">
        <v>142</v>
      </c>
      <c r="D210" s="17" t="s">
        <v>165</v>
      </c>
      <c r="E210" s="17"/>
      <c r="F210" s="17"/>
      <c r="G210" s="22" t="n">
        <f aca="false">COUNTIFS('Role Enclaves'!$D$7:$D$42,B210,'Role Enclaves'!$E$7:$E$42,C210,'Role Enclaves'!$B$7:$B$42,"&lt;&gt;"&amp;D210,'Role Enclaves'!$C$7:$C$42,"&lt;&gt;"&amp;E210)-IF(F210=C210,1,0)</f>
        <v>2</v>
      </c>
      <c r="H210" s="22" t="n">
        <f aca="false">COUNTIFS('Court Quorum'!$B$7:$B$24,B210,'Court Quorum'!$C$7:$C$24,"&lt;&gt;"&amp;D210,'Court Quorum'!$D$7:$D$24,"&lt;&gt;"&amp;E210)-IF(F210="Court",1,0)</f>
        <v>3</v>
      </c>
      <c r="I210" s="22" t="n">
        <f aca="false">Inputs!$B$10</f>
        <v>2</v>
      </c>
      <c r="J210" s="22" t="str">
        <f aca="false">IF(AND(G210&gt;=1,H210&gt;=I210),"PASS","FAIL")</f>
        <v>PASS</v>
      </c>
      <c r="K210" s="4"/>
      <c r="L210" s="4"/>
      <c r="M210" s="4"/>
      <c r="N210" s="4"/>
    </row>
    <row r="211" customFormat="false" ht="15" hidden="false" customHeight="false" outlineLevel="0" collapsed="false">
      <c r="A211" s="17" t="s">
        <v>343</v>
      </c>
      <c r="B211" s="17" t="s">
        <v>157</v>
      </c>
      <c r="C211" s="17" t="s">
        <v>141</v>
      </c>
      <c r="D211" s="17" t="s">
        <v>165</v>
      </c>
      <c r="E211" s="17"/>
      <c r="F211" s="17"/>
      <c r="G211" s="22" t="n">
        <f aca="false">COUNTIFS('Role Enclaves'!$D$7:$D$42,B211,'Role Enclaves'!$E$7:$E$42,C211,'Role Enclaves'!$B$7:$B$42,"&lt;&gt;"&amp;D211,'Role Enclaves'!$C$7:$C$42,"&lt;&gt;"&amp;E211)-IF(F211=C211,1,0)</f>
        <v>2</v>
      </c>
      <c r="H211" s="22" t="n">
        <f aca="false">COUNTIFS('Court Quorum'!$B$7:$B$24,B211,'Court Quorum'!$C$7:$C$24,"&lt;&gt;"&amp;D211,'Court Quorum'!$D$7:$D$24,"&lt;&gt;"&amp;E211)-IF(F211="Court",1,0)</f>
        <v>3</v>
      </c>
      <c r="I211" s="22" t="n">
        <f aca="false">Inputs!$B$10</f>
        <v>2</v>
      </c>
      <c r="J211" s="22" t="str">
        <f aca="false">IF(AND(G211&gt;=1,H211&gt;=I211),"PASS","FAIL")</f>
        <v>PASS</v>
      </c>
      <c r="K211" s="4"/>
      <c r="L211" s="4"/>
      <c r="M211" s="4"/>
      <c r="N211" s="4"/>
    </row>
    <row r="212" customFormat="false" ht="15" hidden="false" customHeight="false" outlineLevel="0" collapsed="false">
      <c r="A212" s="17" t="s">
        <v>343</v>
      </c>
      <c r="B212" s="17" t="s">
        <v>157</v>
      </c>
      <c r="C212" s="17" t="s">
        <v>145</v>
      </c>
      <c r="D212" s="17" t="s">
        <v>165</v>
      </c>
      <c r="E212" s="17"/>
      <c r="F212" s="17"/>
      <c r="G212" s="22" t="n">
        <f aca="false">COUNTIFS('Role Enclaves'!$D$7:$D$42,B212,'Role Enclaves'!$E$7:$E$42,C212,'Role Enclaves'!$B$7:$B$42,"&lt;&gt;"&amp;D212,'Role Enclaves'!$C$7:$C$42,"&lt;&gt;"&amp;E212)-IF(F212=C212,1,0)</f>
        <v>2</v>
      </c>
      <c r="H212" s="22" t="n">
        <f aca="false">COUNTIFS('Court Quorum'!$B$7:$B$24,B212,'Court Quorum'!$C$7:$C$24,"&lt;&gt;"&amp;D212,'Court Quorum'!$D$7:$D$24,"&lt;&gt;"&amp;E212)-IF(F212="Court",1,0)</f>
        <v>3</v>
      </c>
      <c r="I212" s="22" t="n">
        <f aca="false">Inputs!$B$10</f>
        <v>2</v>
      </c>
      <c r="J212" s="22" t="str">
        <f aca="false">IF(AND(G212&gt;=1,H212&gt;=I212),"PASS","FAIL")</f>
        <v>PASS</v>
      </c>
      <c r="K212" s="4"/>
      <c r="L212" s="4"/>
      <c r="M212" s="4"/>
      <c r="N212" s="4"/>
    </row>
    <row r="213" customFormat="false" ht="15" hidden="false" customHeight="false" outlineLevel="0" collapsed="false">
      <c r="A213" s="17" t="s">
        <v>343</v>
      </c>
      <c r="B213" s="17" t="s">
        <v>157</v>
      </c>
      <c r="C213" s="17" t="s">
        <v>142</v>
      </c>
      <c r="D213" s="17" t="s">
        <v>165</v>
      </c>
      <c r="E213" s="17"/>
      <c r="F213" s="17"/>
      <c r="G213" s="22" t="n">
        <f aca="false">COUNTIFS('Role Enclaves'!$D$7:$D$42,B213,'Role Enclaves'!$E$7:$E$42,C213,'Role Enclaves'!$B$7:$B$42,"&lt;&gt;"&amp;D213,'Role Enclaves'!$C$7:$C$42,"&lt;&gt;"&amp;E213)-IF(F213=C213,1,0)</f>
        <v>2</v>
      </c>
      <c r="H213" s="22" t="n">
        <f aca="false">COUNTIFS('Court Quorum'!$B$7:$B$24,B213,'Court Quorum'!$C$7:$C$24,"&lt;&gt;"&amp;D213,'Court Quorum'!$D$7:$D$24,"&lt;&gt;"&amp;E213)-IF(F213="Court",1,0)</f>
        <v>3</v>
      </c>
      <c r="I213" s="22" t="n">
        <f aca="false">Inputs!$B$10</f>
        <v>2</v>
      </c>
      <c r="J213" s="22" t="str">
        <f aca="false">IF(AND(G213&gt;=1,H213&gt;=I213),"PASS","FAIL")</f>
        <v>PASS</v>
      </c>
      <c r="K213" s="4"/>
      <c r="L213" s="4"/>
      <c r="M213" s="4"/>
      <c r="N213" s="4"/>
    </row>
    <row r="214" customFormat="false" ht="15" hidden="false" customHeight="false" outlineLevel="0" collapsed="false">
      <c r="A214" s="17" t="s">
        <v>343</v>
      </c>
      <c r="B214" s="17" t="s">
        <v>162</v>
      </c>
      <c r="C214" s="17" t="s">
        <v>141</v>
      </c>
      <c r="D214" s="17" t="s">
        <v>165</v>
      </c>
      <c r="E214" s="17"/>
      <c r="F214" s="17"/>
      <c r="G214" s="22" t="n">
        <f aca="false">COUNTIFS('Role Enclaves'!$D$7:$D$42,B214,'Role Enclaves'!$E$7:$E$42,C214,'Role Enclaves'!$B$7:$B$42,"&lt;&gt;"&amp;D214,'Role Enclaves'!$C$7:$C$42,"&lt;&gt;"&amp;E214)-IF(F214=C214,1,0)</f>
        <v>2</v>
      </c>
      <c r="H214" s="22" t="n">
        <f aca="false">COUNTIFS('Court Quorum'!$B$7:$B$24,B214,'Court Quorum'!$C$7:$C$24,"&lt;&gt;"&amp;D214,'Court Quorum'!$D$7:$D$24,"&lt;&gt;"&amp;E214)-IF(F214="Court",1,0)</f>
        <v>2</v>
      </c>
      <c r="I214" s="22" t="n">
        <f aca="false">Inputs!$B$10</f>
        <v>2</v>
      </c>
      <c r="J214" s="22" t="str">
        <f aca="false">IF(AND(G214&gt;=1,H214&gt;=I214),"PASS","FAIL")</f>
        <v>PASS</v>
      </c>
      <c r="K214" s="4"/>
      <c r="L214" s="4"/>
      <c r="M214" s="4"/>
      <c r="N214" s="4"/>
    </row>
    <row r="215" customFormat="false" ht="15" hidden="false" customHeight="false" outlineLevel="0" collapsed="false">
      <c r="A215" s="17" t="s">
        <v>343</v>
      </c>
      <c r="B215" s="17" t="s">
        <v>162</v>
      </c>
      <c r="C215" s="17" t="s">
        <v>145</v>
      </c>
      <c r="D215" s="17" t="s">
        <v>165</v>
      </c>
      <c r="E215" s="17"/>
      <c r="F215" s="17"/>
      <c r="G215" s="22" t="n">
        <f aca="false">COUNTIFS('Role Enclaves'!$D$7:$D$42,B215,'Role Enclaves'!$E$7:$E$42,C215,'Role Enclaves'!$B$7:$B$42,"&lt;&gt;"&amp;D215,'Role Enclaves'!$C$7:$C$42,"&lt;&gt;"&amp;E215)-IF(F215=C215,1,0)</f>
        <v>1</v>
      </c>
      <c r="H215" s="22" t="n">
        <f aca="false">COUNTIFS('Court Quorum'!$B$7:$B$24,B215,'Court Quorum'!$C$7:$C$24,"&lt;&gt;"&amp;D215,'Court Quorum'!$D$7:$D$24,"&lt;&gt;"&amp;E215)-IF(F215="Court",1,0)</f>
        <v>2</v>
      </c>
      <c r="I215" s="22" t="n">
        <f aca="false">Inputs!$B$10</f>
        <v>2</v>
      </c>
      <c r="J215" s="22" t="str">
        <f aca="false">IF(AND(G215&gt;=1,H215&gt;=I215),"PASS","FAIL")</f>
        <v>PASS</v>
      </c>
      <c r="K215" s="4"/>
      <c r="L215" s="4"/>
      <c r="M215" s="4"/>
      <c r="N215" s="4"/>
    </row>
    <row r="216" customFormat="false" ht="15" hidden="false" customHeight="false" outlineLevel="0" collapsed="false">
      <c r="A216" s="17" t="s">
        <v>343</v>
      </c>
      <c r="B216" s="17" t="s">
        <v>162</v>
      </c>
      <c r="C216" s="17" t="s">
        <v>142</v>
      </c>
      <c r="D216" s="17" t="s">
        <v>165</v>
      </c>
      <c r="E216" s="17"/>
      <c r="F216" s="17"/>
      <c r="G216" s="22" t="n">
        <f aca="false">COUNTIFS('Role Enclaves'!$D$7:$D$42,B216,'Role Enclaves'!$E$7:$E$42,C216,'Role Enclaves'!$B$7:$B$42,"&lt;&gt;"&amp;D216,'Role Enclaves'!$C$7:$C$42,"&lt;&gt;"&amp;E216)-IF(F216=C216,1,0)</f>
        <v>1</v>
      </c>
      <c r="H216" s="22" t="n">
        <f aca="false">COUNTIFS('Court Quorum'!$B$7:$B$24,B216,'Court Quorum'!$C$7:$C$24,"&lt;&gt;"&amp;D216,'Court Quorum'!$D$7:$D$24,"&lt;&gt;"&amp;E216)-IF(F216="Court",1,0)</f>
        <v>2</v>
      </c>
      <c r="I216" s="22" t="n">
        <f aca="false">Inputs!$B$10</f>
        <v>2</v>
      </c>
      <c r="J216" s="22" t="str">
        <f aca="false">IF(AND(G216&gt;=1,H216&gt;=I216),"PASS","FAIL")</f>
        <v>PASS</v>
      </c>
      <c r="K216" s="4"/>
      <c r="L216" s="4"/>
      <c r="M216" s="4"/>
      <c r="N216" s="4"/>
    </row>
    <row r="217" customFormat="false" ht="15" hidden="false" customHeight="false" outlineLevel="0" collapsed="false">
      <c r="A217" s="17" t="s">
        <v>343</v>
      </c>
      <c r="B217" s="17" t="s">
        <v>167</v>
      </c>
      <c r="C217" s="17" t="s">
        <v>141</v>
      </c>
      <c r="D217" s="17" t="s">
        <v>165</v>
      </c>
      <c r="E217" s="17"/>
      <c r="F217" s="17"/>
      <c r="G217" s="22" t="n">
        <f aca="false">COUNTIFS('Role Enclaves'!$D$7:$D$42,B217,'Role Enclaves'!$E$7:$E$42,C217,'Role Enclaves'!$B$7:$B$42,"&lt;&gt;"&amp;D217,'Role Enclaves'!$C$7:$C$42,"&lt;&gt;"&amp;E217)-IF(F217=C217,1,0)</f>
        <v>2</v>
      </c>
      <c r="H217" s="22" t="n">
        <f aca="false">COUNTIFS('Court Quorum'!$B$7:$B$24,B217,'Court Quorum'!$C$7:$C$24,"&lt;&gt;"&amp;D217,'Court Quorum'!$D$7:$D$24,"&lt;&gt;"&amp;E217)-IF(F217="Court",1,0)</f>
        <v>3</v>
      </c>
      <c r="I217" s="22" t="n">
        <f aca="false">Inputs!$B$10</f>
        <v>2</v>
      </c>
      <c r="J217" s="22" t="str">
        <f aca="false">IF(AND(G217&gt;=1,H217&gt;=I217),"PASS","FAIL")</f>
        <v>PASS</v>
      </c>
      <c r="K217" s="4"/>
      <c r="L217" s="4"/>
      <c r="M217" s="4"/>
      <c r="N217" s="4"/>
    </row>
    <row r="218" customFormat="false" ht="15" hidden="false" customHeight="false" outlineLevel="0" collapsed="false">
      <c r="A218" s="17" t="s">
        <v>343</v>
      </c>
      <c r="B218" s="17" t="s">
        <v>167</v>
      </c>
      <c r="C218" s="17" t="s">
        <v>145</v>
      </c>
      <c r="D218" s="17" t="s">
        <v>165</v>
      </c>
      <c r="E218" s="17"/>
      <c r="F218" s="17"/>
      <c r="G218" s="22" t="n">
        <f aca="false">COUNTIFS('Role Enclaves'!$D$7:$D$42,B218,'Role Enclaves'!$E$7:$E$42,C218,'Role Enclaves'!$B$7:$B$42,"&lt;&gt;"&amp;D218,'Role Enclaves'!$C$7:$C$42,"&lt;&gt;"&amp;E218)-IF(F218=C218,1,0)</f>
        <v>2</v>
      </c>
      <c r="H218" s="22" t="n">
        <f aca="false">COUNTIFS('Court Quorum'!$B$7:$B$24,B218,'Court Quorum'!$C$7:$C$24,"&lt;&gt;"&amp;D218,'Court Quorum'!$D$7:$D$24,"&lt;&gt;"&amp;E218)-IF(F218="Court",1,0)</f>
        <v>3</v>
      </c>
      <c r="I218" s="22" t="n">
        <f aca="false">Inputs!$B$10</f>
        <v>2</v>
      </c>
      <c r="J218" s="22" t="str">
        <f aca="false">IF(AND(G218&gt;=1,H218&gt;=I218),"PASS","FAIL")</f>
        <v>PASS</v>
      </c>
      <c r="K218" s="4"/>
      <c r="L218" s="4"/>
      <c r="M218" s="4"/>
      <c r="N218" s="4"/>
    </row>
    <row r="219" customFormat="false" ht="15" hidden="false" customHeight="false" outlineLevel="0" collapsed="false">
      <c r="A219" s="17" t="s">
        <v>343</v>
      </c>
      <c r="B219" s="17" t="s">
        <v>167</v>
      </c>
      <c r="C219" s="17" t="s">
        <v>142</v>
      </c>
      <c r="D219" s="17" t="s">
        <v>165</v>
      </c>
      <c r="E219" s="17"/>
      <c r="F219" s="17"/>
      <c r="G219" s="22" t="n">
        <f aca="false">COUNTIFS('Role Enclaves'!$D$7:$D$42,B219,'Role Enclaves'!$E$7:$E$42,C219,'Role Enclaves'!$B$7:$B$42,"&lt;&gt;"&amp;D219,'Role Enclaves'!$C$7:$C$42,"&lt;&gt;"&amp;E219)-IF(F219=C219,1,0)</f>
        <v>2</v>
      </c>
      <c r="H219" s="22" t="n">
        <f aca="false">COUNTIFS('Court Quorum'!$B$7:$B$24,B219,'Court Quorum'!$C$7:$C$24,"&lt;&gt;"&amp;D219,'Court Quorum'!$D$7:$D$24,"&lt;&gt;"&amp;E219)-IF(F219="Court",1,0)</f>
        <v>3</v>
      </c>
      <c r="I219" s="22" t="n">
        <f aca="false">Inputs!$B$10</f>
        <v>2</v>
      </c>
      <c r="J219" s="22" t="str">
        <f aca="false">IF(AND(G219&gt;=1,H219&gt;=I219),"PASS","FAIL")</f>
        <v>PASS</v>
      </c>
      <c r="K219" s="4"/>
      <c r="L219" s="4"/>
      <c r="M219" s="4"/>
      <c r="N219" s="4"/>
    </row>
    <row r="220" customFormat="false" ht="15" hidden="false" customHeight="false" outlineLevel="0" collapsed="false">
      <c r="A220" s="17" t="s">
        <v>343</v>
      </c>
      <c r="B220" s="17" t="s">
        <v>172</v>
      </c>
      <c r="C220" s="17" t="s">
        <v>141</v>
      </c>
      <c r="D220" s="17" t="s">
        <v>165</v>
      </c>
      <c r="E220" s="17"/>
      <c r="F220" s="17"/>
      <c r="G220" s="22" t="n">
        <f aca="false">COUNTIFS('Role Enclaves'!$D$7:$D$42,B220,'Role Enclaves'!$E$7:$E$42,C220,'Role Enclaves'!$B$7:$B$42,"&lt;&gt;"&amp;D220,'Role Enclaves'!$C$7:$C$42,"&lt;&gt;"&amp;E220)-IF(F220=C220,1,0)</f>
        <v>2</v>
      </c>
      <c r="H220" s="22" t="n">
        <f aca="false">COUNTIFS('Court Quorum'!$B$7:$B$24,B220,'Court Quorum'!$C$7:$C$24,"&lt;&gt;"&amp;D220,'Court Quorum'!$D$7:$D$24,"&lt;&gt;"&amp;E220)-IF(F220="Court",1,0)</f>
        <v>3</v>
      </c>
      <c r="I220" s="22" t="n">
        <f aca="false">Inputs!$B$10</f>
        <v>2</v>
      </c>
      <c r="J220" s="22" t="str">
        <f aca="false">IF(AND(G220&gt;=1,H220&gt;=I220),"PASS","FAIL")</f>
        <v>PASS</v>
      </c>
      <c r="K220" s="4"/>
      <c r="L220" s="4"/>
      <c r="M220" s="4"/>
      <c r="N220" s="4"/>
    </row>
    <row r="221" customFormat="false" ht="15" hidden="false" customHeight="false" outlineLevel="0" collapsed="false">
      <c r="A221" s="17" t="s">
        <v>343</v>
      </c>
      <c r="B221" s="17" t="s">
        <v>172</v>
      </c>
      <c r="C221" s="17" t="s">
        <v>145</v>
      </c>
      <c r="D221" s="17" t="s">
        <v>165</v>
      </c>
      <c r="E221" s="17"/>
      <c r="F221" s="17"/>
      <c r="G221" s="22" t="n">
        <f aca="false">COUNTIFS('Role Enclaves'!$D$7:$D$42,B221,'Role Enclaves'!$E$7:$E$42,C221,'Role Enclaves'!$B$7:$B$42,"&lt;&gt;"&amp;D221,'Role Enclaves'!$C$7:$C$42,"&lt;&gt;"&amp;E221)-IF(F221=C221,1,0)</f>
        <v>2</v>
      </c>
      <c r="H221" s="22" t="n">
        <f aca="false">COUNTIFS('Court Quorum'!$B$7:$B$24,B221,'Court Quorum'!$C$7:$C$24,"&lt;&gt;"&amp;D221,'Court Quorum'!$D$7:$D$24,"&lt;&gt;"&amp;E221)-IF(F221="Court",1,0)</f>
        <v>3</v>
      </c>
      <c r="I221" s="22" t="n">
        <f aca="false">Inputs!$B$10</f>
        <v>2</v>
      </c>
      <c r="J221" s="22" t="str">
        <f aca="false">IF(AND(G221&gt;=1,H221&gt;=I221),"PASS","FAIL")</f>
        <v>PASS</v>
      </c>
      <c r="K221" s="4"/>
      <c r="L221" s="4"/>
      <c r="M221" s="4"/>
      <c r="N221" s="4"/>
    </row>
    <row r="222" customFormat="false" ht="15" hidden="false" customHeight="false" outlineLevel="0" collapsed="false">
      <c r="A222" s="17" t="s">
        <v>343</v>
      </c>
      <c r="B222" s="17" t="s">
        <v>172</v>
      </c>
      <c r="C222" s="17" t="s">
        <v>142</v>
      </c>
      <c r="D222" s="17" t="s">
        <v>165</v>
      </c>
      <c r="E222" s="17"/>
      <c r="F222" s="17"/>
      <c r="G222" s="22" t="n">
        <f aca="false">COUNTIFS('Role Enclaves'!$D$7:$D$42,B222,'Role Enclaves'!$E$7:$E$42,C222,'Role Enclaves'!$B$7:$B$42,"&lt;&gt;"&amp;D222,'Role Enclaves'!$C$7:$C$42,"&lt;&gt;"&amp;E222)-IF(F222=C222,1,0)</f>
        <v>2</v>
      </c>
      <c r="H222" s="22" t="n">
        <f aca="false">COUNTIFS('Court Quorum'!$B$7:$B$24,B222,'Court Quorum'!$C$7:$C$24,"&lt;&gt;"&amp;D222,'Court Quorum'!$D$7:$D$24,"&lt;&gt;"&amp;E222)-IF(F222="Court",1,0)</f>
        <v>3</v>
      </c>
      <c r="I222" s="22" t="n">
        <f aca="false">Inputs!$B$10</f>
        <v>2</v>
      </c>
      <c r="J222" s="22" t="str">
        <f aca="false">IF(AND(G222&gt;=1,H222&gt;=I222),"PASS","FAIL")</f>
        <v>PASS</v>
      </c>
      <c r="K222" s="4"/>
      <c r="L222" s="4"/>
      <c r="M222" s="4"/>
      <c r="N222" s="4"/>
    </row>
    <row r="223" customFormat="false" ht="15" hidden="false" customHeight="false" outlineLevel="0" collapsed="false">
      <c r="A223" s="17" t="s">
        <v>344</v>
      </c>
      <c r="B223" s="17" t="s">
        <v>138</v>
      </c>
      <c r="C223" s="17" t="s">
        <v>141</v>
      </c>
      <c r="D223" s="17" t="s">
        <v>166</v>
      </c>
      <c r="E223" s="17"/>
      <c r="F223" s="17"/>
      <c r="G223" s="22" t="n">
        <f aca="false">COUNTIFS('Role Enclaves'!$D$7:$D$42,B223,'Role Enclaves'!$E$7:$E$42,C223,'Role Enclaves'!$B$7:$B$42,"&lt;&gt;"&amp;D223,'Role Enclaves'!$C$7:$C$42,"&lt;&gt;"&amp;E223)-IF(F223=C223,1,0)</f>
        <v>2</v>
      </c>
      <c r="H223" s="22" t="n">
        <f aca="false">COUNTIFS('Court Quorum'!$B$7:$B$24,B223,'Court Quorum'!$C$7:$C$24,"&lt;&gt;"&amp;D223,'Court Quorum'!$D$7:$D$24,"&lt;&gt;"&amp;E223)-IF(F223="Court",1,0)</f>
        <v>3</v>
      </c>
      <c r="I223" s="22" t="n">
        <f aca="false">Inputs!$B$10</f>
        <v>2</v>
      </c>
      <c r="J223" s="22" t="str">
        <f aca="false">IF(AND(G223&gt;=1,H223&gt;=I223),"PASS","FAIL")</f>
        <v>PASS</v>
      </c>
      <c r="K223" s="4"/>
      <c r="L223" s="4"/>
      <c r="M223" s="4"/>
      <c r="N223" s="4"/>
    </row>
    <row r="224" customFormat="false" ht="15" hidden="false" customHeight="false" outlineLevel="0" collapsed="false">
      <c r="A224" s="17" t="s">
        <v>344</v>
      </c>
      <c r="B224" s="17" t="s">
        <v>138</v>
      </c>
      <c r="C224" s="17" t="s">
        <v>145</v>
      </c>
      <c r="D224" s="17" t="s">
        <v>166</v>
      </c>
      <c r="E224" s="17"/>
      <c r="F224" s="17"/>
      <c r="G224" s="22" t="n">
        <f aca="false">COUNTIFS('Role Enclaves'!$D$7:$D$42,B224,'Role Enclaves'!$E$7:$E$42,C224,'Role Enclaves'!$B$7:$B$42,"&lt;&gt;"&amp;D224,'Role Enclaves'!$C$7:$C$42,"&lt;&gt;"&amp;E224)-IF(F224=C224,1,0)</f>
        <v>2</v>
      </c>
      <c r="H224" s="22" t="n">
        <f aca="false">COUNTIFS('Court Quorum'!$B$7:$B$24,B224,'Court Quorum'!$C$7:$C$24,"&lt;&gt;"&amp;D224,'Court Quorum'!$D$7:$D$24,"&lt;&gt;"&amp;E224)-IF(F224="Court",1,0)</f>
        <v>3</v>
      </c>
      <c r="I224" s="22" t="n">
        <f aca="false">Inputs!$B$10</f>
        <v>2</v>
      </c>
      <c r="J224" s="22" t="str">
        <f aca="false">IF(AND(G224&gt;=1,H224&gt;=I224),"PASS","FAIL")</f>
        <v>PASS</v>
      </c>
      <c r="K224" s="4"/>
      <c r="L224" s="4"/>
      <c r="M224" s="4"/>
      <c r="N224" s="4"/>
    </row>
    <row r="225" customFormat="false" ht="15" hidden="false" customHeight="false" outlineLevel="0" collapsed="false">
      <c r="A225" s="17" t="s">
        <v>344</v>
      </c>
      <c r="B225" s="17" t="s">
        <v>138</v>
      </c>
      <c r="C225" s="17" t="s">
        <v>142</v>
      </c>
      <c r="D225" s="17" t="s">
        <v>166</v>
      </c>
      <c r="E225" s="17"/>
      <c r="F225" s="17"/>
      <c r="G225" s="22" t="n">
        <f aca="false">COUNTIFS('Role Enclaves'!$D$7:$D$42,B225,'Role Enclaves'!$E$7:$E$42,C225,'Role Enclaves'!$B$7:$B$42,"&lt;&gt;"&amp;D225,'Role Enclaves'!$C$7:$C$42,"&lt;&gt;"&amp;E225)-IF(F225=C225,1,0)</f>
        <v>2</v>
      </c>
      <c r="H225" s="22" t="n">
        <f aca="false">COUNTIFS('Court Quorum'!$B$7:$B$24,B225,'Court Quorum'!$C$7:$C$24,"&lt;&gt;"&amp;D225,'Court Quorum'!$D$7:$D$24,"&lt;&gt;"&amp;E225)-IF(F225="Court",1,0)</f>
        <v>3</v>
      </c>
      <c r="I225" s="22" t="n">
        <f aca="false">Inputs!$B$10</f>
        <v>2</v>
      </c>
      <c r="J225" s="22" t="str">
        <f aca="false">IF(AND(G225&gt;=1,H225&gt;=I225),"PASS","FAIL")</f>
        <v>PASS</v>
      </c>
      <c r="K225" s="4"/>
      <c r="L225" s="4"/>
      <c r="M225" s="4"/>
      <c r="N225" s="4"/>
    </row>
    <row r="226" customFormat="false" ht="15" hidden="false" customHeight="false" outlineLevel="0" collapsed="false">
      <c r="A226" s="17" t="s">
        <v>344</v>
      </c>
      <c r="B226" s="17" t="s">
        <v>149</v>
      </c>
      <c r="C226" s="17" t="s">
        <v>141</v>
      </c>
      <c r="D226" s="17" t="s">
        <v>166</v>
      </c>
      <c r="E226" s="17"/>
      <c r="F226" s="17"/>
      <c r="G226" s="22" t="n">
        <f aca="false">COUNTIFS('Role Enclaves'!$D$7:$D$42,B226,'Role Enclaves'!$E$7:$E$42,C226,'Role Enclaves'!$B$7:$B$42,"&lt;&gt;"&amp;D226,'Role Enclaves'!$C$7:$C$42,"&lt;&gt;"&amp;E226)-IF(F226=C226,1,0)</f>
        <v>2</v>
      </c>
      <c r="H226" s="22" t="n">
        <f aca="false">COUNTIFS('Court Quorum'!$B$7:$B$24,B226,'Court Quorum'!$C$7:$C$24,"&lt;&gt;"&amp;D226,'Court Quorum'!$D$7:$D$24,"&lt;&gt;"&amp;E226)-IF(F226="Court",1,0)</f>
        <v>3</v>
      </c>
      <c r="I226" s="22" t="n">
        <f aca="false">Inputs!$B$10</f>
        <v>2</v>
      </c>
      <c r="J226" s="22" t="str">
        <f aca="false">IF(AND(G226&gt;=1,H226&gt;=I226),"PASS","FAIL")</f>
        <v>PASS</v>
      </c>
      <c r="K226" s="4"/>
      <c r="L226" s="4"/>
      <c r="M226" s="4"/>
      <c r="N226" s="4"/>
    </row>
    <row r="227" customFormat="false" ht="15" hidden="false" customHeight="false" outlineLevel="0" collapsed="false">
      <c r="A227" s="17" t="s">
        <v>344</v>
      </c>
      <c r="B227" s="17" t="s">
        <v>149</v>
      </c>
      <c r="C227" s="17" t="s">
        <v>145</v>
      </c>
      <c r="D227" s="17" t="s">
        <v>166</v>
      </c>
      <c r="E227" s="17"/>
      <c r="F227" s="17"/>
      <c r="G227" s="22" t="n">
        <f aca="false">COUNTIFS('Role Enclaves'!$D$7:$D$42,B227,'Role Enclaves'!$E$7:$E$42,C227,'Role Enclaves'!$B$7:$B$42,"&lt;&gt;"&amp;D227,'Role Enclaves'!$C$7:$C$42,"&lt;&gt;"&amp;E227)-IF(F227=C227,1,0)</f>
        <v>2</v>
      </c>
      <c r="H227" s="22" t="n">
        <f aca="false">COUNTIFS('Court Quorum'!$B$7:$B$24,B227,'Court Quorum'!$C$7:$C$24,"&lt;&gt;"&amp;D227,'Court Quorum'!$D$7:$D$24,"&lt;&gt;"&amp;E227)-IF(F227="Court",1,0)</f>
        <v>3</v>
      </c>
      <c r="I227" s="22" t="n">
        <f aca="false">Inputs!$B$10</f>
        <v>2</v>
      </c>
      <c r="J227" s="22" t="str">
        <f aca="false">IF(AND(G227&gt;=1,H227&gt;=I227),"PASS","FAIL")</f>
        <v>PASS</v>
      </c>
      <c r="K227" s="4"/>
      <c r="L227" s="4"/>
      <c r="M227" s="4"/>
      <c r="N227" s="4"/>
    </row>
    <row r="228" customFormat="false" ht="15" hidden="false" customHeight="false" outlineLevel="0" collapsed="false">
      <c r="A228" s="17" t="s">
        <v>344</v>
      </c>
      <c r="B228" s="17" t="s">
        <v>149</v>
      </c>
      <c r="C228" s="17" t="s">
        <v>142</v>
      </c>
      <c r="D228" s="17" t="s">
        <v>166</v>
      </c>
      <c r="E228" s="17"/>
      <c r="F228" s="17"/>
      <c r="G228" s="22" t="n">
        <f aca="false">COUNTIFS('Role Enclaves'!$D$7:$D$42,B228,'Role Enclaves'!$E$7:$E$42,C228,'Role Enclaves'!$B$7:$B$42,"&lt;&gt;"&amp;D228,'Role Enclaves'!$C$7:$C$42,"&lt;&gt;"&amp;E228)-IF(F228=C228,1,0)</f>
        <v>2</v>
      </c>
      <c r="H228" s="22" t="n">
        <f aca="false">COUNTIFS('Court Quorum'!$B$7:$B$24,B228,'Court Quorum'!$C$7:$C$24,"&lt;&gt;"&amp;D228,'Court Quorum'!$D$7:$D$24,"&lt;&gt;"&amp;E228)-IF(F228="Court",1,0)</f>
        <v>3</v>
      </c>
      <c r="I228" s="22" t="n">
        <f aca="false">Inputs!$B$10</f>
        <v>2</v>
      </c>
      <c r="J228" s="22" t="str">
        <f aca="false">IF(AND(G228&gt;=1,H228&gt;=I228),"PASS","FAIL")</f>
        <v>PASS</v>
      </c>
      <c r="K228" s="4"/>
      <c r="L228" s="4"/>
      <c r="M228" s="4"/>
      <c r="N228" s="4"/>
    </row>
    <row r="229" customFormat="false" ht="15" hidden="false" customHeight="false" outlineLevel="0" collapsed="false">
      <c r="A229" s="17" t="s">
        <v>344</v>
      </c>
      <c r="B229" s="17" t="s">
        <v>157</v>
      </c>
      <c r="C229" s="17" t="s">
        <v>141</v>
      </c>
      <c r="D229" s="17" t="s">
        <v>166</v>
      </c>
      <c r="E229" s="17"/>
      <c r="F229" s="17"/>
      <c r="G229" s="22" t="n">
        <f aca="false">COUNTIFS('Role Enclaves'!$D$7:$D$42,B229,'Role Enclaves'!$E$7:$E$42,C229,'Role Enclaves'!$B$7:$B$42,"&lt;&gt;"&amp;D229,'Role Enclaves'!$C$7:$C$42,"&lt;&gt;"&amp;E229)-IF(F229=C229,1,0)</f>
        <v>2</v>
      </c>
      <c r="H229" s="22" t="n">
        <f aca="false">COUNTIFS('Court Quorum'!$B$7:$B$24,B229,'Court Quorum'!$C$7:$C$24,"&lt;&gt;"&amp;D229,'Court Quorum'!$D$7:$D$24,"&lt;&gt;"&amp;E229)-IF(F229="Court",1,0)</f>
        <v>3</v>
      </c>
      <c r="I229" s="22" t="n">
        <f aca="false">Inputs!$B$10</f>
        <v>2</v>
      </c>
      <c r="J229" s="22" t="str">
        <f aca="false">IF(AND(G229&gt;=1,H229&gt;=I229),"PASS","FAIL")</f>
        <v>PASS</v>
      </c>
      <c r="K229" s="4"/>
      <c r="L229" s="4"/>
      <c r="M229" s="4"/>
      <c r="N229" s="4"/>
    </row>
    <row r="230" customFormat="false" ht="15" hidden="false" customHeight="false" outlineLevel="0" collapsed="false">
      <c r="A230" s="17" t="s">
        <v>344</v>
      </c>
      <c r="B230" s="17" t="s">
        <v>157</v>
      </c>
      <c r="C230" s="17" t="s">
        <v>145</v>
      </c>
      <c r="D230" s="17" t="s">
        <v>166</v>
      </c>
      <c r="E230" s="17"/>
      <c r="F230" s="17"/>
      <c r="G230" s="22" t="n">
        <f aca="false">COUNTIFS('Role Enclaves'!$D$7:$D$42,B230,'Role Enclaves'!$E$7:$E$42,C230,'Role Enclaves'!$B$7:$B$42,"&lt;&gt;"&amp;D230,'Role Enclaves'!$C$7:$C$42,"&lt;&gt;"&amp;E230)-IF(F230=C230,1,0)</f>
        <v>2</v>
      </c>
      <c r="H230" s="22" t="n">
        <f aca="false">COUNTIFS('Court Quorum'!$B$7:$B$24,B230,'Court Quorum'!$C$7:$C$24,"&lt;&gt;"&amp;D230,'Court Quorum'!$D$7:$D$24,"&lt;&gt;"&amp;E230)-IF(F230="Court",1,0)</f>
        <v>3</v>
      </c>
      <c r="I230" s="22" t="n">
        <f aca="false">Inputs!$B$10</f>
        <v>2</v>
      </c>
      <c r="J230" s="22" t="str">
        <f aca="false">IF(AND(G230&gt;=1,H230&gt;=I230),"PASS","FAIL")</f>
        <v>PASS</v>
      </c>
      <c r="K230" s="4"/>
      <c r="L230" s="4"/>
      <c r="M230" s="4"/>
      <c r="N230" s="4"/>
    </row>
    <row r="231" customFormat="false" ht="15" hidden="false" customHeight="false" outlineLevel="0" collapsed="false">
      <c r="A231" s="17" t="s">
        <v>344</v>
      </c>
      <c r="B231" s="17" t="s">
        <v>157</v>
      </c>
      <c r="C231" s="17" t="s">
        <v>142</v>
      </c>
      <c r="D231" s="17" t="s">
        <v>166</v>
      </c>
      <c r="E231" s="17"/>
      <c r="F231" s="17"/>
      <c r="G231" s="22" t="n">
        <f aca="false">COUNTIFS('Role Enclaves'!$D$7:$D$42,B231,'Role Enclaves'!$E$7:$E$42,C231,'Role Enclaves'!$B$7:$B$42,"&lt;&gt;"&amp;D231,'Role Enclaves'!$C$7:$C$42,"&lt;&gt;"&amp;E231)-IF(F231=C231,1,0)</f>
        <v>2</v>
      </c>
      <c r="H231" s="22" t="n">
        <f aca="false">COUNTIFS('Court Quorum'!$B$7:$B$24,B231,'Court Quorum'!$C$7:$C$24,"&lt;&gt;"&amp;D231,'Court Quorum'!$D$7:$D$24,"&lt;&gt;"&amp;E231)-IF(F231="Court",1,0)</f>
        <v>3</v>
      </c>
      <c r="I231" s="22" t="n">
        <f aca="false">Inputs!$B$10</f>
        <v>2</v>
      </c>
      <c r="J231" s="22" t="str">
        <f aca="false">IF(AND(G231&gt;=1,H231&gt;=I231),"PASS","FAIL")</f>
        <v>PASS</v>
      </c>
      <c r="K231" s="4"/>
      <c r="L231" s="4"/>
      <c r="M231" s="4"/>
      <c r="N231" s="4"/>
    </row>
    <row r="232" customFormat="false" ht="15" hidden="false" customHeight="false" outlineLevel="0" collapsed="false">
      <c r="A232" s="17" t="s">
        <v>344</v>
      </c>
      <c r="B232" s="17" t="s">
        <v>162</v>
      </c>
      <c r="C232" s="17" t="s">
        <v>141</v>
      </c>
      <c r="D232" s="17" t="s">
        <v>166</v>
      </c>
      <c r="E232" s="17"/>
      <c r="F232" s="17"/>
      <c r="G232" s="22" t="n">
        <f aca="false">COUNTIFS('Role Enclaves'!$D$7:$D$42,B232,'Role Enclaves'!$E$7:$E$42,C232,'Role Enclaves'!$B$7:$B$42,"&lt;&gt;"&amp;D232,'Role Enclaves'!$C$7:$C$42,"&lt;&gt;"&amp;E232)-IF(F232=C232,1,0)</f>
        <v>2</v>
      </c>
      <c r="H232" s="22" t="n">
        <f aca="false">COUNTIFS('Court Quorum'!$B$7:$B$24,B232,'Court Quorum'!$C$7:$C$24,"&lt;&gt;"&amp;D232,'Court Quorum'!$D$7:$D$24,"&lt;&gt;"&amp;E232)-IF(F232="Court",1,0)</f>
        <v>3</v>
      </c>
      <c r="I232" s="22" t="n">
        <f aca="false">Inputs!$B$10</f>
        <v>2</v>
      </c>
      <c r="J232" s="22" t="str">
        <f aca="false">IF(AND(G232&gt;=1,H232&gt;=I232),"PASS","FAIL")</f>
        <v>PASS</v>
      </c>
      <c r="K232" s="4"/>
      <c r="L232" s="4"/>
      <c r="M232" s="4"/>
      <c r="N232" s="4"/>
    </row>
    <row r="233" customFormat="false" ht="15" hidden="false" customHeight="false" outlineLevel="0" collapsed="false">
      <c r="A233" s="17" t="s">
        <v>344</v>
      </c>
      <c r="B233" s="17" t="s">
        <v>162</v>
      </c>
      <c r="C233" s="17" t="s">
        <v>145</v>
      </c>
      <c r="D233" s="17" t="s">
        <v>166</v>
      </c>
      <c r="E233" s="17"/>
      <c r="F233" s="17"/>
      <c r="G233" s="22" t="n">
        <f aca="false">COUNTIFS('Role Enclaves'!$D$7:$D$42,B233,'Role Enclaves'!$E$7:$E$42,C233,'Role Enclaves'!$B$7:$B$42,"&lt;&gt;"&amp;D233,'Role Enclaves'!$C$7:$C$42,"&lt;&gt;"&amp;E233)-IF(F233=C233,1,0)</f>
        <v>2</v>
      </c>
      <c r="H233" s="22" t="n">
        <f aca="false">COUNTIFS('Court Quorum'!$B$7:$B$24,B233,'Court Quorum'!$C$7:$C$24,"&lt;&gt;"&amp;D233,'Court Quorum'!$D$7:$D$24,"&lt;&gt;"&amp;E233)-IF(F233="Court",1,0)</f>
        <v>3</v>
      </c>
      <c r="I233" s="22" t="n">
        <f aca="false">Inputs!$B$10</f>
        <v>2</v>
      </c>
      <c r="J233" s="22" t="str">
        <f aca="false">IF(AND(G233&gt;=1,H233&gt;=I233),"PASS","FAIL")</f>
        <v>PASS</v>
      </c>
      <c r="K233" s="4"/>
      <c r="L233" s="4"/>
      <c r="M233" s="4"/>
      <c r="N233" s="4"/>
    </row>
    <row r="234" customFormat="false" ht="15" hidden="false" customHeight="false" outlineLevel="0" collapsed="false">
      <c r="A234" s="17" t="s">
        <v>344</v>
      </c>
      <c r="B234" s="17" t="s">
        <v>162</v>
      </c>
      <c r="C234" s="17" t="s">
        <v>142</v>
      </c>
      <c r="D234" s="17" t="s">
        <v>166</v>
      </c>
      <c r="E234" s="17"/>
      <c r="F234" s="17"/>
      <c r="G234" s="22" t="n">
        <f aca="false">COUNTIFS('Role Enclaves'!$D$7:$D$42,B234,'Role Enclaves'!$E$7:$E$42,C234,'Role Enclaves'!$B$7:$B$42,"&lt;&gt;"&amp;D234,'Role Enclaves'!$C$7:$C$42,"&lt;&gt;"&amp;E234)-IF(F234=C234,1,0)</f>
        <v>2</v>
      </c>
      <c r="H234" s="22" t="n">
        <f aca="false">COUNTIFS('Court Quorum'!$B$7:$B$24,B234,'Court Quorum'!$C$7:$C$24,"&lt;&gt;"&amp;D234,'Court Quorum'!$D$7:$D$24,"&lt;&gt;"&amp;E234)-IF(F234="Court",1,0)</f>
        <v>3</v>
      </c>
      <c r="I234" s="22" t="n">
        <f aca="false">Inputs!$B$10</f>
        <v>2</v>
      </c>
      <c r="J234" s="22" t="str">
        <f aca="false">IF(AND(G234&gt;=1,H234&gt;=I234),"PASS","FAIL")</f>
        <v>PASS</v>
      </c>
      <c r="K234" s="4"/>
      <c r="L234" s="4"/>
      <c r="M234" s="4"/>
      <c r="N234" s="4"/>
    </row>
    <row r="235" customFormat="false" ht="15" hidden="false" customHeight="false" outlineLevel="0" collapsed="false">
      <c r="A235" s="17" t="s">
        <v>344</v>
      </c>
      <c r="B235" s="17" t="s">
        <v>167</v>
      </c>
      <c r="C235" s="17" t="s">
        <v>141</v>
      </c>
      <c r="D235" s="17" t="s">
        <v>166</v>
      </c>
      <c r="E235" s="17"/>
      <c r="F235" s="17"/>
      <c r="G235" s="22" t="n">
        <f aca="false">COUNTIFS('Role Enclaves'!$D$7:$D$42,B235,'Role Enclaves'!$E$7:$E$42,C235,'Role Enclaves'!$B$7:$B$42,"&lt;&gt;"&amp;D235,'Role Enclaves'!$C$7:$C$42,"&lt;&gt;"&amp;E235)-IF(F235=C235,1,0)</f>
        <v>1</v>
      </c>
      <c r="H235" s="22" t="n">
        <f aca="false">COUNTIFS('Court Quorum'!$B$7:$B$24,B235,'Court Quorum'!$C$7:$C$24,"&lt;&gt;"&amp;D235,'Court Quorum'!$D$7:$D$24,"&lt;&gt;"&amp;E235)-IF(F235="Court",1,0)</f>
        <v>2</v>
      </c>
      <c r="I235" s="22" t="n">
        <f aca="false">Inputs!$B$10</f>
        <v>2</v>
      </c>
      <c r="J235" s="22" t="str">
        <f aca="false">IF(AND(G235&gt;=1,H235&gt;=I235),"PASS","FAIL")</f>
        <v>PASS</v>
      </c>
      <c r="K235" s="4"/>
      <c r="L235" s="4"/>
      <c r="M235" s="4"/>
      <c r="N235" s="4"/>
    </row>
    <row r="236" customFormat="false" ht="15" hidden="false" customHeight="false" outlineLevel="0" collapsed="false">
      <c r="A236" s="17" t="s">
        <v>344</v>
      </c>
      <c r="B236" s="17" t="s">
        <v>167</v>
      </c>
      <c r="C236" s="17" t="s">
        <v>145</v>
      </c>
      <c r="D236" s="17" t="s">
        <v>166</v>
      </c>
      <c r="E236" s="17"/>
      <c r="F236" s="17"/>
      <c r="G236" s="22" t="n">
        <f aca="false">COUNTIFS('Role Enclaves'!$D$7:$D$42,B236,'Role Enclaves'!$E$7:$E$42,C236,'Role Enclaves'!$B$7:$B$42,"&lt;&gt;"&amp;D236,'Role Enclaves'!$C$7:$C$42,"&lt;&gt;"&amp;E236)-IF(F236=C236,1,0)</f>
        <v>2</v>
      </c>
      <c r="H236" s="22" t="n">
        <f aca="false">COUNTIFS('Court Quorum'!$B$7:$B$24,B236,'Court Quorum'!$C$7:$C$24,"&lt;&gt;"&amp;D236,'Court Quorum'!$D$7:$D$24,"&lt;&gt;"&amp;E236)-IF(F236="Court",1,0)</f>
        <v>2</v>
      </c>
      <c r="I236" s="22" t="n">
        <f aca="false">Inputs!$B$10</f>
        <v>2</v>
      </c>
      <c r="J236" s="22" t="str">
        <f aca="false">IF(AND(G236&gt;=1,H236&gt;=I236),"PASS","FAIL")</f>
        <v>PASS</v>
      </c>
      <c r="K236" s="4"/>
      <c r="L236" s="4"/>
      <c r="M236" s="4"/>
      <c r="N236" s="4"/>
    </row>
    <row r="237" customFormat="false" ht="15" hidden="false" customHeight="false" outlineLevel="0" collapsed="false">
      <c r="A237" s="17" t="s">
        <v>344</v>
      </c>
      <c r="B237" s="17" t="s">
        <v>167</v>
      </c>
      <c r="C237" s="17" t="s">
        <v>142</v>
      </c>
      <c r="D237" s="17" t="s">
        <v>166</v>
      </c>
      <c r="E237" s="17"/>
      <c r="F237" s="17"/>
      <c r="G237" s="22" t="n">
        <f aca="false">COUNTIFS('Role Enclaves'!$D$7:$D$42,B237,'Role Enclaves'!$E$7:$E$42,C237,'Role Enclaves'!$B$7:$B$42,"&lt;&gt;"&amp;D237,'Role Enclaves'!$C$7:$C$42,"&lt;&gt;"&amp;E237)-IF(F237=C237,1,0)</f>
        <v>1</v>
      </c>
      <c r="H237" s="22" t="n">
        <f aca="false">COUNTIFS('Court Quorum'!$B$7:$B$24,B237,'Court Quorum'!$C$7:$C$24,"&lt;&gt;"&amp;D237,'Court Quorum'!$D$7:$D$24,"&lt;&gt;"&amp;E237)-IF(F237="Court",1,0)</f>
        <v>2</v>
      </c>
      <c r="I237" s="22" t="n">
        <f aca="false">Inputs!$B$10</f>
        <v>2</v>
      </c>
      <c r="J237" s="22" t="str">
        <f aca="false">IF(AND(G237&gt;=1,H237&gt;=I237),"PASS","FAIL")</f>
        <v>PASS</v>
      </c>
      <c r="K237" s="4"/>
      <c r="L237" s="4"/>
      <c r="M237" s="4"/>
      <c r="N237" s="4"/>
    </row>
    <row r="238" customFormat="false" ht="15" hidden="false" customHeight="false" outlineLevel="0" collapsed="false">
      <c r="A238" s="17" t="s">
        <v>344</v>
      </c>
      <c r="B238" s="17" t="s">
        <v>172</v>
      </c>
      <c r="C238" s="17" t="s">
        <v>141</v>
      </c>
      <c r="D238" s="17" t="s">
        <v>166</v>
      </c>
      <c r="E238" s="17"/>
      <c r="F238" s="17"/>
      <c r="G238" s="22" t="n">
        <f aca="false">COUNTIFS('Role Enclaves'!$D$7:$D$42,B238,'Role Enclaves'!$E$7:$E$42,C238,'Role Enclaves'!$B$7:$B$42,"&lt;&gt;"&amp;D238,'Role Enclaves'!$C$7:$C$42,"&lt;&gt;"&amp;E238)-IF(F238=C238,1,0)</f>
        <v>2</v>
      </c>
      <c r="H238" s="22" t="n">
        <f aca="false">COUNTIFS('Court Quorum'!$B$7:$B$24,B238,'Court Quorum'!$C$7:$C$24,"&lt;&gt;"&amp;D238,'Court Quorum'!$D$7:$D$24,"&lt;&gt;"&amp;E238)-IF(F238="Court",1,0)</f>
        <v>3</v>
      </c>
      <c r="I238" s="22" t="n">
        <f aca="false">Inputs!$B$10</f>
        <v>2</v>
      </c>
      <c r="J238" s="22" t="str">
        <f aca="false">IF(AND(G238&gt;=1,H238&gt;=I238),"PASS","FAIL")</f>
        <v>PASS</v>
      </c>
      <c r="K238" s="4"/>
      <c r="L238" s="4"/>
      <c r="M238" s="4"/>
      <c r="N238" s="4"/>
    </row>
    <row r="239" customFormat="false" ht="15" hidden="false" customHeight="false" outlineLevel="0" collapsed="false">
      <c r="A239" s="17" t="s">
        <v>344</v>
      </c>
      <c r="B239" s="17" t="s">
        <v>172</v>
      </c>
      <c r="C239" s="17" t="s">
        <v>145</v>
      </c>
      <c r="D239" s="17" t="s">
        <v>166</v>
      </c>
      <c r="E239" s="17"/>
      <c r="F239" s="17"/>
      <c r="G239" s="22" t="n">
        <f aca="false">COUNTIFS('Role Enclaves'!$D$7:$D$42,B239,'Role Enclaves'!$E$7:$E$42,C239,'Role Enclaves'!$B$7:$B$42,"&lt;&gt;"&amp;D239,'Role Enclaves'!$C$7:$C$42,"&lt;&gt;"&amp;E239)-IF(F239=C239,1,0)</f>
        <v>2</v>
      </c>
      <c r="H239" s="22" t="n">
        <f aca="false">COUNTIFS('Court Quorum'!$B$7:$B$24,B239,'Court Quorum'!$C$7:$C$24,"&lt;&gt;"&amp;D239,'Court Quorum'!$D$7:$D$24,"&lt;&gt;"&amp;E239)-IF(F239="Court",1,0)</f>
        <v>3</v>
      </c>
      <c r="I239" s="22" t="n">
        <f aca="false">Inputs!$B$10</f>
        <v>2</v>
      </c>
      <c r="J239" s="22" t="str">
        <f aca="false">IF(AND(G239&gt;=1,H239&gt;=I239),"PASS","FAIL")</f>
        <v>PASS</v>
      </c>
      <c r="K239" s="4"/>
      <c r="L239" s="4"/>
      <c r="M239" s="4"/>
      <c r="N239" s="4"/>
    </row>
    <row r="240" customFormat="false" ht="15" hidden="false" customHeight="false" outlineLevel="0" collapsed="false">
      <c r="A240" s="17" t="s">
        <v>344</v>
      </c>
      <c r="B240" s="17" t="s">
        <v>172</v>
      </c>
      <c r="C240" s="17" t="s">
        <v>142</v>
      </c>
      <c r="D240" s="17" t="s">
        <v>166</v>
      </c>
      <c r="E240" s="17"/>
      <c r="F240" s="17"/>
      <c r="G240" s="22" t="n">
        <f aca="false">COUNTIFS('Role Enclaves'!$D$7:$D$42,B240,'Role Enclaves'!$E$7:$E$42,C240,'Role Enclaves'!$B$7:$B$42,"&lt;&gt;"&amp;D240,'Role Enclaves'!$C$7:$C$42,"&lt;&gt;"&amp;E240)-IF(F240=C240,1,0)</f>
        <v>2</v>
      </c>
      <c r="H240" s="22" t="n">
        <f aca="false">COUNTIFS('Court Quorum'!$B$7:$B$24,B240,'Court Quorum'!$C$7:$C$24,"&lt;&gt;"&amp;D240,'Court Quorum'!$D$7:$D$24,"&lt;&gt;"&amp;E240)-IF(F240="Court",1,0)</f>
        <v>3</v>
      </c>
      <c r="I240" s="22" t="n">
        <f aca="false">Inputs!$B$10</f>
        <v>2</v>
      </c>
      <c r="J240" s="22" t="str">
        <f aca="false">IF(AND(G240&gt;=1,H240&gt;=I240),"PASS","FAIL")</f>
        <v>PASS</v>
      </c>
      <c r="K240" s="4"/>
      <c r="L240" s="4"/>
      <c r="M240" s="4"/>
      <c r="N240" s="4"/>
    </row>
    <row r="241" customFormat="false" ht="15" hidden="false" customHeight="false" outlineLevel="0" collapsed="false">
      <c r="A241" s="17" t="s">
        <v>345</v>
      </c>
      <c r="B241" s="17" t="s">
        <v>138</v>
      </c>
      <c r="C241" s="17" t="s">
        <v>141</v>
      </c>
      <c r="D241" s="17" t="s">
        <v>169</v>
      </c>
      <c r="E241" s="17"/>
      <c r="F241" s="17"/>
      <c r="G241" s="22" t="n">
        <f aca="false">COUNTIFS('Role Enclaves'!$D$7:$D$42,B241,'Role Enclaves'!$E$7:$E$42,C241,'Role Enclaves'!$B$7:$B$42,"&lt;&gt;"&amp;D241,'Role Enclaves'!$C$7:$C$42,"&lt;&gt;"&amp;E241)-IF(F241=C241,1,0)</f>
        <v>2</v>
      </c>
      <c r="H241" s="22" t="n">
        <f aca="false">COUNTIFS('Court Quorum'!$B$7:$B$24,B241,'Court Quorum'!$C$7:$C$24,"&lt;&gt;"&amp;D241,'Court Quorum'!$D$7:$D$24,"&lt;&gt;"&amp;E241)-IF(F241="Court",1,0)</f>
        <v>3</v>
      </c>
      <c r="I241" s="22" t="n">
        <f aca="false">Inputs!$B$10</f>
        <v>2</v>
      </c>
      <c r="J241" s="22" t="str">
        <f aca="false">IF(AND(G241&gt;=1,H241&gt;=I241),"PASS","FAIL")</f>
        <v>PASS</v>
      </c>
      <c r="K241" s="4"/>
      <c r="L241" s="4"/>
      <c r="M241" s="4"/>
      <c r="N241" s="4"/>
    </row>
    <row r="242" customFormat="false" ht="15" hidden="false" customHeight="false" outlineLevel="0" collapsed="false">
      <c r="A242" s="17" t="s">
        <v>345</v>
      </c>
      <c r="B242" s="17" t="s">
        <v>138</v>
      </c>
      <c r="C242" s="17" t="s">
        <v>145</v>
      </c>
      <c r="D242" s="17" t="s">
        <v>169</v>
      </c>
      <c r="E242" s="17"/>
      <c r="F242" s="17"/>
      <c r="G242" s="22" t="n">
        <f aca="false">COUNTIFS('Role Enclaves'!$D$7:$D$42,B242,'Role Enclaves'!$E$7:$E$42,C242,'Role Enclaves'!$B$7:$B$42,"&lt;&gt;"&amp;D242,'Role Enclaves'!$C$7:$C$42,"&lt;&gt;"&amp;E242)-IF(F242=C242,1,0)</f>
        <v>2</v>
      </c>
      <c r="H242" s="22" t="n">
        <f aca="false">COUNTIFS('Court Quorum'!$B$7:$B$24,B242,'Court Quorum'!$C$7:$C$24,"&lt;&gt;"&amp;D242,'Court Quorum'!$D$7:$D$24,"&lt;&gt;"&amp;E242)-IF(F242="Court",1,0)</f>
        <v>3</v>
      </c>
      <c r="I242" s="22" t="n">
        <f aca="false">Inputs!$B$10</f>
        <v>2</v>
      </c>
      <c r="J242" s="22" t="str">
        <f aca="false">IF(AND(G242&gt;=1,H242&gt;=I242),"PASS","FAIL")</f>
        <v>PASS</v>
      </c>
      <c r="K242" s="4"/>
      <c r="L242" s="4"/>
      <c r="M242" s="4"/>
      <c r="N242" s="4"/>
    </row>
    <row r="243" customFormat="false" ht="15" hidden="false" customHeight="false" outlineLevel="0" collapsed="false">
      <c r="A243" s="17" t="s">
        <v>345</v>
      </c>
      <c r="B243" s="17" t="s">
        <v>138</v>
      </c>
      <c r="C243" s="17" t="s">
        <v>142</v>
      </c>
      <c r="D243" s="17" t="s">
        <v>169</v>
      </c>
      <c r="E243" s="17"/>
      <c r="F243" s="17"/>
      <c r="G243" s="22" t="n">
        <f aca="false">COUNTIFS('Role Enclaves'!$D$7:$D$42,B243,'Role Enclaves'!$E$7:$E$42,C243,'Role Enclaves'!$B$7:$B$42,"&lt;&gt;"&amp;D243,'Role Enclaves'!$C$7:$C$42,"&lt;&gt;"&amp;E243)-IF(F243=C243,1,0)</f>
        <v>2</v>
      </c>
      <c r="H243" s="22" t="n">
        <f aca="false">COUNTIFS('Court Quorum'!$B$7:$B$24,B243,'Court Quorum'!$C$7:$C$24,"&lt;&gt;"&amp;D243,'Court Quorum'!$D$7:$D$24,"&lt;&gt;"&amp;E243)-IF(F243="Court",1,0)</f>
        <v>3</v>
      </c>
      <c r="I243" s="22" t="n">
        <f aca="false">Inputs!$B$10</f>
        <v>2</v>
      </c>
      <c r="J243" s="22" t="str">
        <f aca="false">IF(AND(G243&gt;=1,H243&gt;=I243),"PASS","FAIL")</f>
        <v>PASS</v>
      </c>
      <c r="K243" s="4"/>
      <c r="L243" s="4"/>
      <c r="M243" s="4"/>
      <c r="N243" s="4"/>
    </row>
    <row r="244" customFormat="false" ht="15" hidden="false" customHeight="false" outlineLevel="0" collapsed="false">
      <c r="A244" s="17" t="s">
        <v>345</v>
      </c>
      <c r="B244" s="17" t="s">
        <v>149</v>
      </c>
      <c r="C244" s="17" t="s">
        <v>141</v>
      </c>
      <c r="D244" s="17" t="s">
        <v>169</v>
      </c>
      <c r="E244" s="17"/>
      <c r="F244" s="17"/>
      <c r="G244" s="22" t="n">
        <f aca="false">COUNTIFS('Role Enclaves'!$D$7:$D$42,B244,'Role Enclaves'!$E$7:$E$42,C244,'Role Enclaves'!$B$7:$B$42,"&lt;&gt;"&amp;D244,'Role Enclaves'!$C$7:$C$42,"&lt;&gt;"&amp;E244)-IF(F244=C244,1,0)</f>
        <v>2</v>
      </c>
      <c r="H244" s="22" t="n">
        <f aca="false">COUNTIFS('Court Quorum'!$B$7:$B$24,B244,'Court Quorum'!$C$7:$C$24,"&lt;&gt;"&amp;D244,'Court Quorum'!$D$7:$D$24,"&lt;&gt;"&amp;E244)-IF(F244="Court",1,0)</f>
        <v>3</v>
      </c>
      <c r="I244" s="22" t="n">
        <f aca="false">Inputs!$B$10</f>
        <v>2</v>
      </c>
      <c r="J244" s="22" t="str">
        <f aca="false">IF(AND(G244&gt;=1,H244&gt;=I244),"PASS","FAIL")</f>
        <v>PASS</v>
      </c>
      <c r="K244" s="4"/>
      <c r="L244" s="4"/>
      <c r="M244" s="4"/>
      <c r="N244" s="4"/>
    </row>
    <row r="245" customFormat="false" ht="15" hidden="false" customHeight="false" outlineLevel="0" collapsed="false">
      <c r="A245" s="17" t="s">
        <v>345</v>
      </c>
      <c r="B245" s="17" t="s">
        <v>149</v>
      </c>
      <c r="C245" s="17" t="s">
        <v>145</v>
      </c>
      <c r="D245" s="17" t="s">
        <v>169</v>
      </c>
      <c r="E245" s="17"/>
      <c r="F245" s="17"/>
      <c r="G245" s="22" t="n">
        <f aca="false">COUNTIFS('Role Enclaves'!$D$7:$D$42,B245,'Role Enclaves'!$E$7:$E$42,C245,'Role Enclaves'!$B$7:$B$42,"&lt;&gt;"&amp;D245,'Role Enclaves'!$C$7:$C$42,"&lt;&gt;"&amp;E245)-IF(F245=C245,1,0)</f>
        <v>2</v>
      </c>
      <c r="H245" s="22" t="n">
        <f aca="false">COUNTIFS('Court Quorum'!$B$7:$B$24,B245,'Court Quorum'!$C$7:$C$24,"&lt;&gt;"&amp;D245,'Court Quorum'!$D$7:$D$24,"&lt;&gt;"&amp;E245)-IF(F245="Court",1,0)</f>
        <v>3</v>
      </c>
      <c r="I245" s="22" t="n">
        <f aca="false">Inputs!$B$10</f>
        <v>2</v>
      </c>
      <c r="J245" s="22" t="str">
        <f aca="false">IF(AND(G245&gt;=1,H245&gt;=I245),"PASS","FAIL")</f>
        <v>PASS</v>
      </c>
      <c r="K245" s="4"/>
      <c r="L245" s="4"/>
      <c r="M245" s="4"/>
      <c r="N245" s="4"/>
    </row>
    <row r="246" customFormat="false" ht="15" hidden="false" customHeight="false" outlineLevel="0" collapsed="false">
      <c r="A246" s="17" t="s">
        <v>345</v>
      </c>
      <c r="B246" s="17" t="s">
        <v>149</v>
      </c>
      <c r="C246" s="17" t="s">
        <v>142</v>
      </c>
      <c r="D246" s="17" t="s">
        <v>169</v>
      </c>
      <c r="E246" s="17"/>
      <c r="F246" s="17"/>
      <c r="G246" s="22" t="n">
        <f aca="false">COUNTIFS('Role Enclaves'!$D$7:$D$42,B246,'Role Enclaves'!$E$7:$E$42,C246,'Role Enclaves'!$B$7:$B$42,"&lt;&gt;"&amp;D246,'Role Enclaves'!$C$7:$C$42,"&lt;&gt;"&amp;E246)-IF(F246=C246,1,0)</f>
        <v>2</v>
      </c>
      <c r="H246" s="22" t="n">
        <f aca="false">COUNTIFS('Court Quorum'!$B$7:$B$24,B246,'Court Quorum'!$C$7:$C$24,"&lt;&gt;"&amp;D246,'Court Quorum'!$D$7:$D$24,"&lt;&gt;"&amp;E246)-IF(F246="Court",1,0)</f>
        <v>3</v>
      </c>
      <c r="I246" s="22" t="n">
        <f aca="false">Inputs!$B$10</f>
        <v>2</v>
      </c>
      <c r="J246" s="22" t="str">
        <f aca="false">IF(AND(G246&gt;=1,H246&gt;=I246),"PASS","FAIL")</f>
        <v>PASS</v>
      </c>
      <c r="K246" s="4"/>
      <c r="L246" s="4"/>
      <c r="M246" s="4"/>
      <c r="N246" s="4"/>
    </row>
    <row r="247" customFormat="false" ht="15" hidden="false" customHeight="false" outlineLevel="0" collapsed="false">
      <c r="A247" s="17" t="s">
        <v>345</v>
      </c>
      <c r="B247" s="17" t="s">
        <v>157</v>
      </c>
      <c r="C247" s="17" t="s">
        <v>141</v>
      </c>
      <c r="D247" s="17" t="s">
        <v>169</v>
      </c>
      <c r="E247" s="17"/>
      <c r="F247" s="17"/>
      <c r="G247" s="22" t="n">
        <f aca="false">COUNTIFS('Role Enclaves'!$D$7:$D$42,B247,'Role Enclaves'!$E$7:$E$42,C247,'Role Enclaves'!$B$7:$B$42,"&lt;&gt;"&amp;D247,'Role Enclaves'!$C$7:$C$42,"&lt;&gt;"&amp;E247)-IF(F247=C247,1,0)</f>
        <v>2</v>
      </c>
      <c r="H247" s="22" t="n">
        <f aca="false">COUNTIFS('Court Quorum'!$B$7:$B$24,B247,'Court Quorum'!$C$7:$C$24,"&lt;&gt;"&amp;D247,'Court Quorum'!$D$7:$D$24,"&lt;&gt;"&amp;E247)-IF(F247="Court",1,0)</f>
        <v>3</v>
      </c>
      <c r="I247" s="22" t="n">
        <f aca="false">Inputs!$B$10</f>
        <v>2</v>
      </c>
      <c r="J247" s="22" t="str">
        <f aca="false">IF(AND(G247&gt;=1,H247&gt;=I247),"PASS","FAIL")</f>
        <v>PASS</v>
      </c>
      <c r="K247" s="4"/>
      <c r="L247" s="4"/>
      <c r="M247" s="4"/>
      <c r="N247" s="4"/>
    </row>
    <row r="248" customFormat="false" ht="15" hidden="false" customHeight="false" outlineLevel="0" collapsed="false">
      <c r="A248" s="17" t="s">
        <v>345</v>
      </c>
      <c r="B248" s="17" t="s">
        <v>157</v>
      </c>
      <c r="C248" s="17" t="s">
        <v>145</v>
      </c>
      <c r="D248" s="17" t="s">
        <v>169</v>
      </c>
      <c r="E248" s="17"/>
      <c r="F248" s="17"/>
      <c r="G248" s="22" t="n">
        <f aca="false">COUNTIFS('Role Enclaves'!$D$7:$D$42,B248,'Role Enclaves'!$E$7:$E$42,C248,'Role Enclaves'!$B$7:$B$42,"&lt;&gt;"&amp;D248,'Role Enclaves'!$C$7:$C$42,"&lt;&gt;"&amp;E248)-IF(F248=C248,1,0)</f>
        <v>2</v>
      </c>
      <c r="H248" s="22" t="n">
        <f aca="false">COUNTIFS('Court Quorum'!$B$7:$B$24,B248,'Court Quorum'!$C$7:$C$24,"&lt;&gt;"&amp;D248,'Court Quorum'!$D$7:$D$24,"&lt;&gt;"&amp;E248)-IF(F248="Court",1,0)</f>
        <v>3</v>
      </c>
      <c r="I248" s="22" t="n">
        <f aca="false">Inputs!$B$10</f>
        <v>2</v>
      </c>
      <c r="J248" s="22" t="str">
        <f aca="false">IF(AND(G248&gt;=1,H248&gt;=I248),"PASS","FAIL")</f>
        <v>PASS</v>
      </c>
      <c r="K248" s="4"/>
      <c r="L248" s="4"/>
      <c r="M248" s="4"/>
      <c r="N248" s="4"/>
    </row>
    <row r="249" customFormat="false" ht="15" hidden="false" customHeight="false" outlineLevel="0" collapsed="false">
      <c r="A249" s="17" t="s">
        <v>345</v>
      </c>
      <c r="B249" s="17" t="s">
        <v>157</v>
      </c>
      <c r="C249" s="17" t="s">
        <v>142</v>
      </c>
      <c r="D249" s="17" t="s">
        <v>169</v>
      </c>
      <c r="E249" s="17"/>
      <c r="F249" s="17"/>
      <c r="G249" s="22" t="n">
        <f aca="false">COUNTIFS('Role Enclaves'!$D$7:$D$42,B249,'Role Enclaves'!$E$7:$E$42,C249,'Role Enclaves'!$B$7:$B$42,"&lt;&gt;"&amp;D249,'Role Enclaves'!$C$7:$C$42,"&lt;&gt;"&amp;E249)-IF(F249=C249,1,0)</f>
        <v>2</v>
      </c>
      <c r="H249" s="22" t="n">
        <f aca="false">COUNTIFS('Court Quorum'!$B$7:$B$24,B249,'Court Quorum'!$C$7:$C$24,"&lt;&gt;"&amp;D249,'Court Quorum'!$D$7:$D$24,"&lt;&gt;"&amp;E249)-IF(F249="Court",1,0)</f>
        <v>3</v>
      </c>
      <c r="I249" s="22" t="n">
        <f aca="false">Inputs!$B$10</f>
        <v>2</v>
      </c>
      <c r="J249" s="22" t="str">
        <f aca="false">IF(AND(G249&gt;=1,H249&gt;=I249),"PASS","FAIL")</f>
        <v>PASS</v>
      </c>
      <c r="K249" s="4"/>
      <c r="L249" s="4"/>
      <c r="M249" s="4"/>
      <c r="N249" s="4"/>
    </row>
    <row r="250" customFormat="false" ht="15" hidden="false" customHeight="false" outlineLevel="0" collapsed="false">
      <c r="A250" s="17" t="s">
        <v>345</v>
      </c>
      <c r="B250" s="17" t="s">
        <v>162</v>
      </c>
      <c r="C250" s="17" t="s">
        <v>141</v>
      </c>
      <c r="D250" s="17" t="s">
        <v>169</v>
      </c>
      <c r="E250" s="17"/>
      <c r="F250" s="17"/>
      <c r="G250" s="22" t="n">
        <f aca="false">COUNTIFS('Role Enclaves'!$D$7:$D$42,B250,'Role Enclaves'!$E$7:$E$42,C250,'Role Enclaves'!$B$7:$B$42,"&lt;&gt;"&amp;D250,'Role Enclaves'!$C$7:$C$42,"&lt;&gt;"&amp;E250)-IF(F250=C250,1,0)</f>
        <v>2</v>
      </c>
      <c r="H250" s="22" t="n">
        <f aca="false">COUNTIFS('Court Quorum'!$B$7:$B$24,B250,'Court Quorum'!$C$7:$C$24,"&lt;&gt;"&amp;D250,'Court Quorum'!$D$7:$D$24,"&lt;&gt;"&amp;E250)-IF(F250="Court",1,0)</f>
        <v>3</v>
      </c>
      <c r="I250" s="22" t="n">
        <f aca="false">Inputs!$B$10</f>
        <v>2</v>
      </c>
      <c r="J250" s="22" t="str">
        <f aca="false">IF(AND(G250&gt;=1,H250&gt;=I250),"PASS","FAIL")</f>
        <v>PASS</v>
      </c>
      <c r="K250" s="4"/>
      <c r="L250" s="4"/>
      <c r="M250" s="4"/>
      <c r="N250" s="4"/>
    </row>
    <row r="251" customFormat="false" ht="15" hidden="false" customHeight="false" outlineLevel="0" collapsed="false">
      <c r="A251" s="17" t="s">
        <v>345</v>
      </c>
      <c r="B251" s="17" t="s">
        <v>162</v>
      </c>
      <c r="C251" s="17" t="s">
        <v>145</v>
      </c>
      <c r="D251" s="17" t="s">
        <v>169</v>
      </c>
      <c r="E251" s="17"/>
      <c r="F251" s="17"/>
      <c r="G251" s="22" t="n">
        <f aca="false">COUNTIFS('Role Enclaves'!$D$7:$D$42,B251,'Role Enclaves'!$E$7:$E$42,C251,'Role Enclaves'!$B$7:$B$42,"&lt;&gt;"&amp;D251,'Role Enclaves'!$C$7:$C$42,"&lt;&gt;"&amp;E251)-IF(F251=C251,1,0)</f>
        <v>2</v>
      </c>
      <c r="H251" s="22" t="n">
        <f aca="false">COUNTIFS('Court Quorum'!$B$7:$B$24,B251,'Court Quorum'!$C$7:$C$24,"&lt;&gt;"&amp;D251,'Court Quorum'!$D$7:$D$24,"&lt;&gt;"&amp;E251)-IF(F251="Court",1,0)</f>
        <v>3</v>
      </c>
      <c r="I251" s="22" t="n">
        <f aca="false">Inputs!$B$10</f>
        <v>2</v>
      </c>
      <c r="J251" s="22" t="str">
        <f aca="false">IF(AND(G251&gt;=1,H251&gt;=I251),"PASS","FAIL")</f>
        <v>PASS</v>
      </c>
      <c r="K251" s="4"/>
      <c r="L251" s="4"/>
      <c r="M251" s="4"/>
      <c r="N251" s="4"/>
    </row>
    <row r="252" customFormat="false" ht="15" hidden="false" customHeight="false" outlineLevel="0" collapsed="false">
      <c r="A252" s="17" t="s">
        <v>345</v>
      </c>
      <c r="B252" s="17" t="s">
        <v>162</v>
      </c>
      <c r="C252" s="17" t="s">
        <v>142</v>
      </c>
      <c r="D252" s="17" t="s">
        <v>169</v>
      </c>
      <c r="E252" s="17"/>
      <c r="F252" s="17"/>
      <c r="G252" s="22" t="n">
        <f aca="false">COUNTIFS('Role Enclaves'!$D$7:$D$42,B252,'Role Enclaves'!$E$7:$E$42,C252,'Role Enclaves'!$B$7:$B$42,"&lt;&gt;"&amp;D252,'Role Enclaves'!$C$7:$C$42,"&lt;&gt;"&amp;E252)-IF(F252=C252,1,0)</f>
        <v>2</v>
      </c>
      <c r="H252" s="22" t="n">
        <f aca="false">COUNTIFS('Court Quorum'!$B$7:$B$24,B252,'Court Quorum'!$C$7:$C$24,"&lt;&gt;"&amp;D252,'Court Quorum'!$D$7:$D$24,"&lt;&gt;"&amp;E252)-IF(F252="Court",1,0)</f>
        <v>3</v>
      </c>
      <c r="I252" s="22" t="n">
        <f aca="false">Inputs!$B$10</f>
        <v>2</v>
      </c>
      <c r="J252" s="22" t="str">
        <f aca="false">IF(AND(G252&gt;=1,H252&gt;=I252),"PASS","FAIL")</f>
        <v>PASS</v>
      </c>
      <c r="K252" s="4"/>
      <c r="L252" s="4"/>
      <c r="M252" s="4"/>
      <c r="N252" s="4"/>
    </row>
    <row r="253" customFormat="false" ht="15" hidden="false" customHeight="false" outlineLevel="0" collapsed="false">
      <c r="A253" s="17" t="s">
        <v>345</v>
      </c>
      <c r="B253" s="17" t="s">
        <v>167</v>
      </c>
      <c r="C253" s="17" t="s">
        <v>141</v>
      </c>
      <c r="D253" s="17" t="s">
        <v>169</v>
      </c>
      <c r="E253" s="17"/>
      <c r="F253" s="17"/>
      <c r="G253" s="22" t="n">
        <f aca="false">COUNTIFS('Role Enclaves'!$D$7:$D$42,B253,'Role Enclaves'!$E$7:$E$42,C253,'Role Enclaves'!$B$7:$B$42,"&lt;&gt;"&amp;D253,'Role Enclaves'!$C$7:$C$42,"&lt;&gt;"&amp;E253)-IF(F253=C253,1,0)</f>
        <v>1</v>
      </c>
      <c r="H253" s="22" t="n">
        <f aca="false">COUNTIFS('Court Quorum'!$B$7:$B$24,B253,'Court Quorum'!$C$7:$C$24,"&lt;&gt;"&amp;D253,'Court Quorum'!$D$7:$D$24,"&lt;&gt;"&amp;E253)-IF(F253="Court",1,0)</f>
        <v>2</v>
      </c>
      <c r="I253" s="22" t="n">
        <f aca="false">Inputs!$B$10</f>
        <v>2</v>
      </c>
      <c r="J253" s="22" t="str">
        <f aca="false">IF(AND(G253&gt;=1,H253&gt;=I253),"PASS","FAIL")</f>
        <v>PASS</v>
      </c>
      <c r="K253" s="4"/>
      <c r="L253" s="4"/>
      <c r="M253" s="4"/>
      <c r="N253" s="4"/>
    </row>
    <row r="254" customFormat="false" ht="15" hidden="false" customHeight="false" outlineLevel="0" collapsed="false">
      <c r="A254" s="17" t="s">
        <v>345</v>
      </c>
      <c r="B254" s="17" t="s">
        <v>167</v>
      </c>
      <c r="C254" s="17" t="s">
        <v>145</v>
      </c>
      <c r="D254" s="17" t="s">
        <v>169</v>
      </c>
      <c r="E254" s="17"/>
      <c r="F254" s="17"/>
      <c r="G254" s="22" t="n">
        <f aca="false">COUNTIFS('Role Enclaves'!$D$7:$D$42,B254,'Role Enclaves'!$E$7:$E$42,C254,'Role Enclaves'!$B$7:$B$42,"&lt;&gt;"&amp;D254,'Role Enclaves'!$C$7:$C$42,"&lt;&gt;"&amp;E254)-IF(F254=C254,1,0)</f>
        <v>1</v>
      </c>
      <c r="H254" s="22" t="n">
        <f aca="false">COUNTIFS('Court Quorum'!$B$7:$B$24,B254,'Court Quorum'!$C$7:$C$24,"&lt;&gt;"&amp;D254,'Court Quorum'!$D$7:$D$24,"&lt;&gt;"&amp;E254)-IF(F254="Court",1,0)</f>
        <v>2</v>
      </c>
      <c r="I254" s="22" t="n">
        <f aca="false">Inputs!$B$10</f>
        <v>2</v>
      </c>
      <c r="J254" s="22" t="str">
        <f aca="false">IF(AND(G254&gt;=1,H254&gt;=I254),"PASS","FAIL")</f>
        <v>PASS</v>
      </c>
      <c r="K254" s="4"/>
      <c r="L254" s="4"/>
      <c r="M254" s="4"/>
      <c r="N254" s="4"/>
    </row>
    <row r="255" customFormat="false" ht="15" hidden="false" customHeight="false" outlineLevel="0" collapsed="false">
      <c r="A255" s="17" t="s">
        <v>345</v>
      </c>
      <c r="B255" s="17" t="s">
        <v>167</v>
      </c>
      <c r="C255" s="17" t="s">
        <v>142</v>
      </c>
      <c r="D255" s="17" t="s">
        <v>169</v>
      </c>
      <c r="E255" s="17"/>
      <c r="F255" s="17"/>
      <c r="G255" s="22" t="n">
        <f aca="false">COUNTIFS('Role Enclaves'!$D$7:$D$42,B255,'Role Enclaves'!$E$7:$E$42,C255,'Role Enclaves'!$B$7:$B$42,"&lt;&gt;"&amp;D255,'Role Enclaves'!$C$7:$C$42,"&lt;&gt;"&amp;E255)-IF(F255=C255,1,0)</f>
        <v>2</v>
      </c>
      <c r="H255" s="22" t="n">
        <f aca="false">COUNTIFS('Court Quorum'!$B$7:$B$24,B255,'Court Quorum'!$C$7:$C$24,"&lt;&gt;"&amp;D255,'Court Quorum'!$D$7:$D$24,"&lt;&gt;"&amp;E255)-IF(F255="Court",1,0)</f>
        <v>2</v>
      </c>
      <c r="I255" s="22" t="n">
        <f aca="false">Inputs!$B$10</f>
        <v>2</v>
      </c>
      <c r="J255" s="22" t="str">
        <f aca="false">IF(AND(G255&gt;=1,H255&gt;=I255),"PASS","FAIL")</f>
        <v>PASS</v>
      </c>
      <c r="K255" s="4"/>
      <c r="L255" s="4"/>
      <c r="M255" s="4"/>
      <c r="N255" s="4"/>
    </row>
    <row r="256" customFormat="false" ht="15" hidden="false" customHeight="false" outlineLevel="0" collapsed="false">
      <c r="A256" s="17" t="s">
        <v>345</v>
      </c>
      <c r="B256" s="17" t="s">
        <v>172</v>
      </c>
      <c r="C256" s="17" t="s">
        <v>141</v>
      </c>
      <c r="D256" s="17" t="s">
        <v>169</v>
      </c>
      <c r="E256" s="17"/>
      <c r="F256" s="17"/>
      <c r="G256" s="22" t="n">
        <f aca="false">COUNTIFS('Role Enclaves'!$D$7:$D$42,B256,'Role Enclaves'!$E$7:$E$42,C256,'Role Enclaves'!$B$7:$B$42,"&lt;&gt;"&amp;D256,'Role Enclaves'!$C$7:$C$42,"&lt;&gt;"&amp;E256)-IF(F256=C256,1,0)</f>
        <v>2</v>
      </c>
      <c r="H256" s="22" t="n">
        <f aca="false">COUNTIFS('Court Quorum'!$B$7:$B$24,B256,'Court Quorum'!$C$7:$C$24,"&lt;&gt;"&amp;D256,'Court Quorum'!$D$7:$D$24,"&lt;&gt;"&amp;E256)-IF(F256="Court",1,0)</f>
        <v>3</v>
      </c>
      <c r="I256" s="22" t="n">
        <f aca="false">Inputs!$B$10</f>
        <v>2</v>
      </c>
      <c r="J256" s="22" t="str">
        <f aca="false">IF(AND(G256&gt;=1,H256&gt;=I256),"PASS","FAIL")</f>
        <v>PASS</v>
      </c>
      <c r="K256" s="4"/>
      <c r="L256" s="4"/>
      <c r="M256" s="4"/>
      <c r="N256" s="4"/>
    </row>
    <row r="257" customFormat="false" ht="15" hidden="false" customHeight="false" outlineLevel="0" collapsed="false">
      <c r="A257" s="17" t="s">
        <v>345</v>
      </c>
      <c r="B257" s="17" t="s">
        <v>172</v>
      </c>
      <c r="C257" s="17" t="s">
        <v>145</v>
      </c>
      <c r="D257" s="17" t="s">
        <v>169</v>
      </c>
      <c r="E257" s="17"/>
      <c r="F257" s="17"/>
      <c r="G257" s="22" t="n">
        <f aca="false">COUNTIFS('Role Enclaves'!$D$7:$D$42,B257,'Role Enclaves'!$E$7:$E$42,C257,'Role Enclaves'!$B$7:$B$42,"&lt;&gt;"&amp;D257,'Role Enclaves'!$C$7:$C$42,"&lt;&gt;"&amp;E257)-IF(F257=C257,1,0)</f>
        <v>2</v>
      </c>
      <c r="H257" s="22" t="n">
        <f aca="false">COUNTIFS('Court Quorum'!$B$7:$B$24,B257,'Court Quorum'!$C$7:$C$24,"&lt;&gt;"&amp;D257,'Court Quorum'!$D$7:$D$24,"&lt;&gt;"&amp;E257)-IF(F257="Court",1,0)</f>
        <v>3</v>
      </c>
      <c r="I257" s="22" t="n">
        <f aca="false">Inputs!$B$10</f>
        <v>2</v>
      </c>
      <c r="J257" s="22" t="str">
        <f aca="false">IF(AND(G257&gt;=1,H257&gt;=I257),"PASS","FAIL")</f>
        <v>PASS</v>
      </c>
      <c r="K257" s="4"/>
      <c r="L257" s="4"/>
      <c r="M257" s="4"/>
      <c r="N257" s="4"/>
    </row>
    <row r="258" customFormat="false" ht="15" hidden="false" customHeight="false" outlineLevel="0" collapsed="false">
      <c r="A258" s="17" t="s">
        <v>345</v>
      </c>
      <c r="B258" s="17" t="s">
        <v>172</v>
      </c>
      <c r="C258" s="17" t="s">
        <v>142</v>
      </c>
      <c r="D258" s="17" t="s">
        <v>169</v>
      </c>
      <c r="E258" s="17"/>
      <c r="F258" s="17"/>
      <c r="G258" s="22" t="n">
        <f aca="false">COUNTIFS('Role Enclaves'!$D$7:$D$42,B258,'Role Enclaves'!$E$7:$E$42,C258,'Role Enclaves'!$B$7:$B$42,"&lt;&gt;"&amp;D258,'Role Enclaves'!$C$7:$C$42,"&lt;&gt;"&amp;E258)-IF(F258=C258,1,0)</f>
        <v>2</v>
      </c>
      <c r="H258" s="22" t="n">
        <f aca="false">COUNTIFS('Court Quorum'!$B$7:$B$24,B258,'Court Quorum'!$C$7:$C$24,"&lt;&gt;"&amp;D258,'Court Quorum'!$D$7:$D$24,"&lt;&gt;"&amp;E258)-IF(F258="Court",1,0)</f>
        <v>3</v>
      </c>
      <c r="I258" s="22" t="n">
        <f aca="false">Inputs!$B$10</f>
        <v>2</v>
      </c>
      <c r="J258" s="22" t="str">
        <f aca="false">IF(AND(G258&gt;=1,H258&gt;=I258),"PASS","FAIL")</f>
        <v>PASS</v>
      </c>
      <c r="K258" s="4"/>
      <c r="L258" s="4"/>
      <c r="M258" s="4"/>
      <c r="N258" s="4"/>
    </row>
    <row r="259" customFormat="false" ht="15" hidden="false" customHeight="false" outlineLevel="0" collapsed="false">
      <c r="A259" s="17" t="s">
        <v>346</v>
      </c>
      <c r="B259" s="17" t="s">
        <v>138</v>
      </c>
      <c r="C259" s="17" t="s">
        <v>141</v>
      </c>
      <c r="D259" s="17" t="s">
        <v>170</v>
      </c>
      <c r="E259" s="17"/>
      <c r="F259" s="17"/>
      <c r="G259" s="22" t="n">
        <f aca="false">COUNTIFS('Role Enclaves'!$D$7:$D$42,B259,'Role Enclaves'!$E$7:$E$42,C259,'Role Enclaves'!$B$7:$B$42,"&lt;&gt;"&amp;D259,'Role Enclaves'!$C$7:$C$42,"&lt;&gt;"&amp;E259)-IF(F259=C259,1,0)</f>
        <v>2</v>
      </c>
      <c r="H259" s="22" t="n">
        <f aca="false">COUNTIFS('Court Quorum'!$B$7:$B$24,B259,'Court Quorum'!$C$7:$C$24,"&lt;&gt;"&amp;D259,'Court Quorum'!$D$7:$D$24,"&lt;&gt;"&amp;E259)-IF(F259="Court",1,0)</f>
        <v>3</v>
      </c>
      <c r="I259" s="22" t="n">
        <f aca="false">Inputs!$B$10</f>
        <v>2</v>
      </c>
      <c r="J259" s="22" t="str">
        <f aca="false">IF(AND(G259&gt;=1,H259&gt;=I259),"PASS","FAIL")</f>
        <v>PASS</v>
      </c>
      <c r="K259" s="4"/>
      <c r="L259" s="4"/>
      <c r="M259" s="4"/>
      <c r="N259" s="4"/>
    </row>
    <row r="260" customFormat="false" ht="15" hidden="false" customHeight="false" outlineLevel="0" collapsed="false">
      <c r="A260" s="17" t="s">
        <v>346</v>
      </c>
      <c r="B260" s="17" t="s">
        <v>138</v>
      </c>
      <c r="C260" s="17" t="s">
        <v>145</v>
      </c>
      <c r="D260" s="17" t="s">
        <v>170</v>
      </c>
      <c r="E260" s="17"/>
      <c r="F260" s="17"/>
      <c r="G260" s="22" t="n">
        <f aca="false">COUNTIFS('Role Enclaves'!$D$7:$D$42,B260,'Role Enclaves'!$E$7:$E$42,C260,'Role Enclaves'!$B$7:$B$42,"&lt;&gt;"&amp;D260,'Role Enclaves'!$C$7:$C$42,"&lt;&gt;"&amp;E260)-IF(F260=C260,1,0)</f>
        <v>2</v>
      </c>
      <c r="H260" s="22" t="n">
        <f aca="false">COUNTIFS('Court Quorum'!$B$7:$B$24,B260,'Court Quorum'!$C$7:$C$24,"&lt;&gt;"&amp;D260,'Court Quorum'!$D$7:$D$24,"&lt;&gt;"&amp;E260)-IF(F260="Court",1,0)</f>
        <v>3</v>
      </c>
      <c r="I260" s="22" t="n">
        <f aca="false">Inputs!$B$10</f>
        <v>2</v>
      </c>
      <c r="J260" s="22" t="str">
        <f aca="false">IF(AND(G260&gt;=1,H260&gt;=I260),"PASS","FAIL")</f>
        <v>PASS</v>
      </c>
      <c r="K260" s="4"/>
      <c r="L260" s="4"/>
      <c r="M260" s="4"/>
      <c r="N260" s="4"/>
    </row>
    <row r="261" customFormat="false" ht="15" hidden="false" customHeight="false" outlineLevel="0" collapsed="false">
      <c r="A261" s="17" t="s">
        <v>346</v>
      </c>
      <c r="B261" s="17" t="s">
        <v>138</v>
      </c>
      <c r="C261" s="17" t="s">
        <v>142</v>
      </c>
      <c r="D261" s="17" t="s">
        <v>170</v>
      </c>
      <c r="E261" s="17"/>
      <c r="F261" s="17"/>
      <c r="G261" s="22" t="n">
        <f aca="false">COUNTIFS('Role Enclaves'!$D$7:$D$42,B261,'Role Enclaves'!$E$7:$E$42,C261,'Role Enclaves'!$B$7:$B$42,"&lt;&gt;"&amp;D261,'Role Enclaves'!$C$7:$C$42,"&lt;&gt;"&amp;E261)-IF(F261=C261,1,0)</f>
        <v>2</v>
      </c>
      <c r="H261" s="22" t="n">
        <f aca="false">COUNTIFS('Court Quorum'!$B$7:$B$24,B261,'Court Quorum'!$C$7:$C$24,"&lt;&gt;"&amp;D261,'Court Quorum'!$D$7:$D$24,"&lt;&gt;"&amp;E261)-IF(F261="Court",1,0)</f>
        <v>3</v>
      </c>
      <c r="I261" s="22" t="n">
        <f aca="false">Inputs!$B$10</f>
        <v>2</v>
      </c>
      <c r="J261" s="22" t="str">
        <f aca="false">IF(AND(G261&gt;=1,H261&gt;=I261),"PASS","FAIL")</f>
        <v>PASS</v>
      </c>
      <c r="K261" s="4"/>
      <c r="L261" s="4"/>
      <c r="M261" s="4"/>
      <c r="N261" s="4"/>
    </row>
    <row r="262" customFormat="false" ht="15" hidden="false" customHeight="false" outlineLevel="0" collapsed="false">
      <c r="A262" s="17" t="s">
        <v>346</v>
      </c>
      <c r="B262" s="17" t="s">
        <v>149</v>
      </c>
      <c r="C262" s="17" t="s">
        <v>141</v>
      </c>
      <c r="D262" s="17" t="s">
        <v>170</v>
      </c>
      <c r="E262" s="17"/>
      <c r="F262" s="17"/>
      <c r="G262" s="22" t="n">
        <f aca="false">COUNTIFS('Role Enclaves'!$D$7:$D$42,B262,'Role Enclaves'!$E$7:$E$42,C262,'Role Enclaves'!$B$7:$B$42,"&lt;&gt;"&amp;D262,'Role Enclaves'!$C$7:$C$42,"&lt;&gt;"&amp;E262)-IF(F262=C262,1,0)</f>
        <v>2</v>
      </c>
      <c r="H262" s="22" t="n">
        <f aca="false">COUNTIFS('Court Quorum'!$B$7:$B$24,B262,'Court Quorum'!$C$7:$C$24,"&lt;&gt;"&amp;D262,'Court Quorum'!$D$7:$D$24,"&lt;&gt;"&amp;E262)-IF(F262="Court",1,0)</f>
        <v>3</v>
      </c>
      <c r="I262" s="22" t="n">
        <f aca="false">Inputs!$B$10</f>
        <v>2</v>
      </c>
      <c r="J262" s="22" t="str">
        <f aca="false">IF(AND(G262&gt;=1,H262&gt;=I262),"PASS","FAIL")</f>
        <v>PASS</v>
      </c>
      <c r="K262" s="4"/>
      <c r="L262" s="4"/>
      <c r="M262" s="4"/>
      <c r="N262" s="4"/>
    </row>
    <row r="263" customFormat="false" ht="15" hidden="false" customHeight="false" outlineLevel="0" collapsed="false">
      <c r="A263" s="17" t="s">
        <v>346</v>
      </c>
      <c r="B263" s="17" t="s">
        <v>149</v>
      </c>
      <c r="C263" s="17" t="s">
        <v>145</v>
      </c>
      <c r="D263" s="17" t="s">
        <v>170</v>
      </c>
      <c r="E263" s="17"/>
      <c r="F263" s="17"/>
      <c r="G263" s="22" t="n">
        <f aca="false">COUNTIFS('Role Enclaves'!$D$7:$D$42,B263,'Role Enclaves'!$E$7:$E$42,C263,'Role Enclaves'!$B$7:$B$42,"&lt;&gt;"&amp;D263,'Role Enclaves'!$C$7:$C$42,"&lt;&gt;"&amp;E263)-IF(F263=C263,1,0)</f>
        <v>2</v>
      </c>
      <c r="H263" s="22" t="n">
        <f aca="false">COUNTIFS('Court Quorum'!$B$7:$B$24,B263,'Court Quorum'!$C$7:$C$24,"&lt;&gt;"&amp;D263,'Court Quorum'!$D$7:$D$24,"&lt;&gt;"&amp;E263)-IF(F263="Court",1,0)</f>
        <v>3</v>
      </c>
      <c r="I263" s="22" t="n">
        <f aca="false">Inputs!$B$10</f>
        <v>2</v>
      </c>
      <c r="J263" s="22" t="str">
        <f aca="false">IF(AND(G263&gt;=1,H263&gt;=I263),"PASS","FAIL")</f>
        <v>PASS</v>
      </c>
      <c r="K263" s="4"/>
      <c r="L263" s="4"/>
      <c r="M263" s="4"/>
      <c r="N263" s="4"/>
    </row>
    <row r="264" customFormat="false" ht="15" hidden="false" customHeight="false" outlineLevel="0" collapsed="false">
      <c r="A264" s="17" t="s">
        <v>346</v>
      </c>
      <c r="B264" s="17" t="s">
        <v>149</v>
      </c>
      <c r="C264" s="17" t="s">
        <v>142</v>
      </c>
      <c r="D264" s="17" t="s">
        <v>170</v>
      </c>
      <c r="E264" s="17"/>
      <c r="F264" s="17"/>
      <c r="G264" s="22" t="n">
        <f aca="false">COUNTIFS('Role Enclaves'!$D$7:$D$42,B264,'Role Enclaves'!$E$7:$E$42,C264,'Role Enclaves'!$B$7:$B$42,"&lt;&gt;"&amp;D264,'Role Enclaves'!$C$7:$C$42,"&lt;&gt;"&amp;E264)-IF(F264=C264,1,0)</f>
        <v>2</v>
      </c>
      <c r="H264" s="22" t="n">
        <f aca="false">COUNTIFS('Court Quorum'!$B$7:$B$24,B264,'Court Quorum'!$C$7:$C$24,"&lt;&gt;"&amp;D264,'Court Quorum'!$D$7:$D$24,"&lt;&gt;"&amp;E264)-IF(F264="Court",1,0)</f>
        <v>3</v>
      </c>
      <c r="I264" s="22" t="n">
        <f aca="false">Inputs!$B$10</f>
        <v>2</v>
      </c>
      <c r="J264" s="22" t="str">
        <f aca="false">IF(AND(G264&gt;=1,H264&gt;=I264),"PASS","FAIL")</f>
        <v>PASS</v>
      </c>
      <c r="K264" s="4"/>
      <c r="L264" s="4"/>
      <c r="M264" s="4"/>
      <c r="N264" s="4"/>
    </row>
    <row r="265" customFormat="false" ht="15" hidden="false" customHeight="false" outlineLevel="0" collapsed="false">
      <c r="A265" s="17" t="s">
        <v>346</v>
      </c>
      <c r="B265" s="17" t="s">
        <v>157</v>
      </c>
      <c r="C265" s="17" t="s">
        <v>141</v>
      </c>
      <c r="D265" s="17" t="s">
        <v>170</v>
      </c>
      <c r="E265" s="17"/>
      <c r="F265" s="17"/>
      <c r="G265" s="22" t="n">
        <f aca="false">COUNTIFS('Role Enclaves'!$D$7:$D$42,B265,'Role Enclaves'!$E$7:$E$42,C265,'Role Enclaves'!$B$7:$B$42,"&lt;&gt;"&amp;D265,'Role Enclaves'!$C$7:$C$42,"&lt;&gt;"&amp;E265)-IF(F265=C265,1,0)</f>
        <v>2</v>
      </c>
      <c r="H265" s="22" t="n">
        <f aca="false">COUNTIFS('Court Quorum'!$B$7:$B$24,B265,'Court Quorum'!$C$7:$C$24,"&lt;&gt;"&amp;D265,'Court Quorum'!$D$7:$D$24,"&lt;&gt;"&amp;E265)-IF(F265="Court",1,0)</f>
        <v>3</v>
      </c>
      <c r="I265" s="22" t="n">
        <f aca="false">Inputs!$B$10</f>
        <v>2</v>
      </c>
      <c r="J265" s="22" t="str">
        <f aca="false">IF(AND(G265&gt;=1,H265&gt;=I265),"PASS","FAIL")</f>
        <v>PASS</v>
      </c>
      <c r="K265" s="4"/>
      <c r="L265" s="4"/>
      <c r="M265" s="4"/>
      <c r="N265" s="4"/>
    </row>
    <row r="266" customFormat="false" ht="15" hidden="false" customHeight="false" outlineLevel="0" collapsed="false">
      <c r="A266" s="17" t="s">
        <v>346</v>
      </c>
      <c r="B266" s="17" t="s">
        <v>157</v>
      </c>
      <c r="C266" s="17" t="s">
        <v>145</v>
      </c>
      <c r="D266" s="17" t="s">
        <v>170</v>
      </c>
      <c r="E266" s="17"/>
      <c r="F266" s="17"/>
      <c r="G266" s="22" t="n">
        <f aca="false">COUNTIFS('Role Enclaves'!$D$7:$D$42,B266,'Role Enclaves'!$E$7:$E$42,C266,'Role Enclaves'!$B$7:$B$42,"&lt;&gt;"&amp;D266,'Role Enclaves'!$C$7:$C$42,"&lt;&gt;"&amp;E266)-IF(F266=C266,1,0)</f>
        <v>2</v>
      </c>
      <c r="H266" s="22" t="n">
        <f aca="false">COUNTIFS('Court Quorum'!$B$7:$B$24,B266,'Court Quorum'!$C$7:$C$24,"&lt;&gt;"&amp;D266,'Court Quorum'!$D$7:$D$24,"&lt;&gt;"&amp;E266)-IF(F266="Court",1,0)</f>
        <v>3</v>
      </c>
      <c r="I266" s="22" t="n">
        <f aca="false">Inputs!$B$10</f>
        <v>2</v>
      </c>
      <c r="J266" s="22" t="str">
        <f aca="false">IF(AND(G266&gt;=1,H266&gt;=I266),"PASS","FAIL")</f>
        <v>PASS</v>
      </c>
      <c r="K266" s="4"/>
      <c r="L266" s="4"/>
      <c r="M266" s="4"/>
      <c r="N266" s="4"/>
    </row>
    <row r="267" customFormat="false" ht="15" hidden="false" customHeight="false" outlineLevel="0" collapsed="false">
      <c r="A267" s="17" t="s">
        <v>346</v>
      </c>
      <c r="B267" s="17" t="s">
        <v>157</v>
      </c>
      <c r="C267" s="17" t="s">
        <v>142</v>
      </c>
      <c r="D267" s="17" t="s">
        <v>170</v>
      </c>
      <c r="E267" s="17"/>
      <c r="F267" s="17"/>
      <c r="G267" s="22" t="n">
        <f aca="false">COUNTIFS('Role Enclaves'!$D$7:$D$42,B267,'Role Enclaves'!$E$7:$E$42,C267,'Role Enclaves'!$B$7:$B$42,"&lt;&gt;"&amp;D267,'Role Enclaves'!$C$7:$C$42,"&lt;&gt;"&amp;E267)-IF(F267=C267,1,0)</f>
        <v>2</v>
      </c>
      <c r="H267" s="22" t="n">
        <f aca="false">COUNTIFS('Court Quorum'!$B$7:$B$24,B267,'Court Quorum'!$C$7:$C$24,"&lt;&gt;"&amp;D267,'Court Quorum'!$D$7:$D$24,"&lt;&gt;"&amp;E267)-IF(F267="Court",1,0)</f>
        <v>3</v>
      </c>
      <c r="I267" s="22" t="n">
        <f aca="false">Inputs!$B$10</f>
        <v>2</v>
      </c>
      <c r="J267" s="22" t="str">
        <f aca="false">IF(AND(G267&gt;=1,H267&gt;=I267),"PASS","FAIL")</f>
        <v>PASS</v>
      </c>
      <c r="K267" s="4"/>
      <c r="L267" s="4"/>
      <c r="M267" s="4"/>
      <c r="N267" s="4"/>
    </row>
    <row r="268" customFormat="false" ht="15" hidden="false" customHeight="false" outlineLevel="0" collapsed="false">
      <c r="A268" s="17" t="s">
        <v>346</v>
      </c>
      <c r="B268" s="17" t="s">
        <v>162</v>
      </c>
      <c r="C268" s="17" t="s">
        <v>141</v>
      </c>
      <c r="D268" s="17" t="s">
        <v>170</v>
      </c>
      <c r="E268" s="17"/>
      <c r="F268" s="17"/>
      <c r="G268" s="22" t="n">
        <f aca="false">COUNTIFS('Role Enclaves'!$D$7:$D$42,B268,'Role Enclaves'!$E$7:$E$42,C268,'Role Enclaves'!$B$7:$B$42,"&lt;&gt;"&amp;D268,'Role Enclaves'!$C$7:$C$42,"&lt;&gt;"&amp;E268)-IF(F268=C268,1,0)</f>
        <v>2</v>
      </c>
      <c r="H268" s="22" t="n">
        <f aca="false">COUNTIFS('Court Quorum'!$B$7:$B$24,B268,'Court Quorum'!$C$7:$C$24,"&lt;&gt;"&amp;D268,'Court Quorum'!$D$7:$D$24,"&lt;&gt;"&amp;E268)-IF(F268="Court",1,0)</f>
        <v>3</v>
      </c>
      <c r="I268" s="22" t="n">
        <f aca="false">Inputs!$B$10</f>
        <v>2</v>
      </c>
      <c r="J268" s="22" t="str">
        <f aca="false">IF(AND(G268&gt;=1,H268&gt;=I268),"PASS","FAIL")</f>
        <v>PASS</v>
      </c>
      <c r="K268" s="4"/>
      <c r="L268" s="4"/>
      <c r="M268" s="4"/>
      <c r="N268" s="4"/>
    </row>
    <row r="269" customFormat="false" ht="15" hidden="false" customHeight="false" outlineLevel="0" collapsed="false">
      <c r="A269" s="17" t="s">
        <v>346</v>
      </c>
      <c r="B269" s="17" t="s">
        <v>162</v>
      </c>
      <c r="C269" s="17" t="s">
        <v>145</v>
      </c>
      <c r="D269" s="17" t="s">
        <v>170</v>
      </c>
      <c r="E269" s="17"/>
      <c r="F269" s="17"/>
      <c r="G269" s="22" t="n">
        <f aca="false">COUNTIFS('Role Enclaves'!$D$7:$D$42,B269,'Role Enclaves'!$E$7:$E$42,C269,'Role Enclaves'!$B$7:$B$42,"&lt;&gt;"&amp;D269,'Role Enclaves'!$C$7:$C$42,"&lt;&gt;"&amp;E269)-IF(F269=C269,1,0)</f>
        <v>2</v>
      </c>
      <c r="H269" s="22" t="n">
        <f aca="false">COUNTIFS('Court Quorum'!$B$7:$B$24,B269,'Court Quorum'!$C$7:$C$24,"&lt;&gt;"&amp;D269,'Court Quorum'!$D$7:$D$24,"&lt;&gt;"&amp;E269)-IF(F269="Court",1,0)</f>
        <v>3</v>
      </c>
      <c r="I269" s="22" t="n">
        <f aca="false">Inputs!$B$10</f>
        <v>2</v>
      </c>
      <c r="J269" s="22" t="str">
        <f aca="false">IF(AND(G269&gt;=1,H269&gt;=I269),"PASS","FAIL")</f>
        <v>PASS</v>
      </c>
      <c r="K269" s="4"/>
      <c r="L269" s="4"/>
      <c r="M269" s="4"/>
      <c r="N269" s="4"/>
    </row>
    <row r="270" customFormat="false" ht="15" hidden="false" customHeight="false" outlineLevel="0" collapsed="false">
      <c r="A270" s="17" t="s">
        <v>346</v>
      </c>
      <c r="B270" s="17" t="s">
        <v>162</v>
      </c>
      <c r="C270" s="17" t="s">
        <v>142</v>
      </c>
      <c r="D270" s="17" t="s">
        <v>170</v>
      </c>
      <c r="E270" s="17"/>
      <c r="F270" s="17"/>
      <c r="G270" s="22" t="n">
        <f aca="false">COUNTIFS('Role Enclaves'!$D$7:$D$42,B270,'Role Enclaves'!$E$7:$E$42,C270,'Role Enclaves'!$B$7:$B$42,"&lt;&gt;"&amp;D270,'Role Enclaves'!$C$7:$C$42,"&lt;&gt;"&amp;E270)-IF(F270=C270,1,0)</f>
        <v>2</v>
      </c>
      <c r="H270" s="22" t="n">
        <f aca="false">COUNTIFS('Court Quorum'!$B$7:$B$24,B270,'Court Quorum'!$C$7:$C$24,"&lt;&gt;"&amp;D270,'Court Quorum'!$D$7:$D$24,"&lt;&gt;"&amp;E270)-IF(F270="Court",1,0)</f>
        <v>3</v>
      </c>
      <c r="I270" s="22" t="n">
        <f aca="false">Inputs!$B$10</f>
        <v>2</v>
      </c>
      <c r="J270" s="22" t="str">
        <f aca="false">IF(AND(G270&gt;=1,H270&gt;=I270),"PASS","FAIL")</f>
        <v>PASS</v>
      </c>
      <c r="K270" s="4"/>
      <c r="L270" s="4"/>
      <c r="M270" s="4"/>
      <c r="N270" s="4"/>
    </row>
    <row r="271" customFormat="false" ht="15" hidden="false" customHeight="false" outlineLevel="0" collapsed="false">
      <c r="A271" s="17" t="s">
        <v>346</v>
      </c>
      <c r="B271" s="17" t="s">
        <v>167</v>
      </c>
      <c r="C271" s="17" t="s">
        <v>141</v>
      </c>
      <c r="D271" s="17" t="s">
        <v>170</v>
      </c>
      <c r="E271" s="17"/>
      <c r="F271" s="17"/>
      <c r="G271" s="22" t="n">
        <f aca="false">COUNTIFS('Role Enclaves'!$D$7:$D$42,B271,'Role Enclaves'!$E$7:$E$42,C271,'Role Enclaves'!$B$7:$B$42,"&lt;&gt;"&amp;D271,'Role Enclaves'!$C$7:$C$42,"&lt;&gt;"&amp;E271)-IF(F271=C271,1,0)</f>
        <v>2</v>
      </c>
      <c r="H271" s="22" t="n">
        <f aca="false">COUNTIFS('Court Quorum'!$B$7:$B$24,B271,'Court Quorum'!$C$7:$C$24,"&lt;&gt;"&amp;D271,'Court Quorum'!$D$7:$D$24,"&lt;&gt;"&amp;E271)-IF(F271="Court",1,0)</f>
        <v>2</v>
      </c>
      <c r="I271" s="22" t="n">
        <f aca="false">Inputs!$B$10</f>
        <v>2</v>
      </c>
      <c r="J271" s="22" t="str">
        <f aca="false">IF(AND(G271&gt;=1,H271&gt;=I271),"PASS","FAIL")</f>
        <v>PASS</v>
      </c>
      <c r="K271" s="4"/>
      <c r="L271" s="4"/>
      <c r="M271" s="4"/>
      <c r="N271" s="4"/>
    </row>
    <row r="272" customFormat="false" ht="15" hidden="false" customHeight="false" outlineLevel="0" collapsed="false">
      <c r="A272" s="17" t="s">
        <v>346</v>
      </c>
      <c r="B272" s="17" t="s">
        <v>167</v>
      </c>
      <c r="C272" s="17" t="s">
        <v>145</v>
      </c>
      <c r="D272" s="17" t="s">
        <v>170</v>
      </c>
      <c r="E272" s="17"/>
      <c r="F272" s="17"/>
      <c r="G272" s="22" t="n">
        <f aca="false">COUNTIFS('Role Enclaves'!$D$7:$D$42,B272,'Role Enclaves'!$E$7:$E$42,C272,'Role Enclaves'!$B$7:$B$42,"&lt;&gt;"&amp;D272,'Role Enclaves'!$C$7:$C$42,"&lt;&gt;"&amp;E272)-IF(F272=C272,1,0)</f>
        <v>1</v>
      </c>
      <c r="H272" s="22" t="n">
        <f aca="false">COUNTIFS('Court Quorum'!$B$7:$B$24,B272,'Court Quorum'!$C$7:$C$24,"&lt;&gt;"&amp;D272,'Court Quorum'!$D$7:$D$24,"&lt;&gt;"&amp;E272)-IF(F272="Court",1,0)</f>
        <v>2</v>
      </c>
      <c r="I272" s="22" t="n">
        <f aca="false">Inputs!$B$10</f>
        <v>2</v>
      </c>
      <c r="J272" s="22" t="str">
        <f aca="false">IF(AND(G272&gt;=1,H272&gt;=I272),"PASS","FAIL")</f>
        <v>PASS</v>
      </c>
      <c r="K272" s="4"/>
      <c r="L272" s="4"/>
      <c r="M272" s="4"/>
      <c r="N272" s="4"/>
    </row>
    <row r="273" customFormat="false" ht="15" hidden="false" customHeight="false" outlineLevel="0" collapsed="false">
      <c r="A273" s="17" t="s">
        <v>346</v>
      </c>
      <c r="B273" s="17" t="s">
        <v>167</v>
      </c>
      <c r="C273" s="17" t="s">
        <v>142</v>
      </c>
      <c r="D273" s="17" t="s">
        <v>170</v>
      </c>
      <c r="E273" s="17"/>
      <c r="F273" s="17"/>
      <c r="G273" s="22" t="n">
        <f aca="false">COUNTIFS('Role Enclaves'!$D$7:$D$42,B273,'Role Enclaves'!$E$7:$E$42,C273,'Role Enclaves'!$B$7:$B$42,"&lt;&gt;"&amp;D273,'Role Enclaves'!$C$7:$C$42,"&lt;&gt;"&amp;E273)-IF(F273=C273,1,0)</f>
        <v>1</v>
      </c>
      <c r="H273" s="22" t="n">
        <f aca="false">COUNTIFS('Court Quorum'!$B$7:$B$24,B273,'Court Quorum'!$C$7:$C$24,"&lt;&gt;"&amp;D273,'Court Quorum'!$D$7:$D$24,"&lt;&gt;"&amp;E273)-IF(F273="Court",1,0)</f>
        <v>2</v>
      </c>
      <c r="I273" s="22" t="n">
        <f aca="false">Inputs!$B$10</f>
        <v>2</v>
      </c>
      <c r="J273" s="22" t="str">
        <f aca="false">IF(AND(G273&gt;=1,H273&gt;=I273),"PASS","FAIL")</f>
        <v>PASS</v>
      </c>
      <c r="K273" s="4"/>
      <c r="L273" s="4"/>
      <c r="M273" s="4"/>
      <c r="N273" s="4"/>
    </row>
    <row r="274" customFormat="false" ht="15" hidden="false" customHeight="false" outlineLevel="0" collapsed="false">
      <c r="A274" s="17" t="s">
        <v>346</v>
      </c>
      <c r="B274" s="17" t="s">
        <v>172</v>
      </c>
      <c r="C274" s="17" t="s">
        <v>141</v>
      </c>
      <c r="D274" s="17" t="s">
        <v>170</v>
      </c>
      <c r="E274" s="17"/>
      <c r="F274" s="17"/>
      <c r="G274" s="22" t="n">
        <f aca="false">COUNTIFS('Role Enclaves'!$D$7:$D$42,B274,'Role Enclaves'!$E$7:$E$42,C274,'Role Enclaves'!$B$7:$B$42,"&lt;&gt;"&amp;D274,'Role Enclaves'!$C$7:$C$42,"&lt;&gt;"&amp;E274)-IF(F274=C274,1,0)</f>
        <v>2</v>
      </c>
      <c r="H274" s="22" t="n">
        <f aca="false">COUNTIFS('Court Quorum'!$B$7:$B$24,B274,'Court Quorum'!$C$7:$C$24,"&lt;&gt;"&amp;D274,'Court Quorum'!$D$7:$D$24,"&lt;&gt;"&amp;E274)-IF(F274="Court",1,0)</f>
        <v>3</v>
      </c>
      <c r="I274" s="22" t="n">
        <f aca="false">Inputs!$B$10</f>
        <v>2</v>
      </c>
      <c r="J274" s="22" t="str">
        <f aca="false">IF(AND(G274&gt;=1,H274&gt;=I274),"PASS","FAIL")</f>
        <v>PASS</v>
      </c>
      <c r="K274" s="4"/>
      <c r="L274" s="4"/>
      <c r="M274" s="4"/>
      <c r="N274" s="4"/>
    </row>
    <row r="275" customFormat="false" ht="15" hidden="false" customHeight="false" outlineLevel="0" collapsed="false">
      <c r="A275" s="17" t="s">
        <v>346</v>
      </c>
      <c r="B275" s="17" t="s">
        <v>172</v>
      </c>
      <c r="C275" s="17" t="s">
        <v>145</v>
      </c>
      <c r="D275" s="17" t="s">
        <v>170</v>
      </c>
      <c r="E275" s="17"/>
      <c r="F275" s="17"/>
      <c r="G275" s="22" t="n">
        <f aca="false">COUNTIFS('Role Enclaves'!$D$7:$D$42,B275,'Role Enclaves'!$E$7:$E$42,C275,'Role Enclaves'!$B$7:$B$42,"&lt;&gt;"&amp;D275,'Role Enclaves'!$C$7:$C$42,"&lt;&gt;"&amp;E275)-IF(F275=C275,1,0)</f>
        <v>2</v>
      </c>
      <c r="H275" s="22" t="n">
        <f aca="false">COUNTIFS('Court Quorum'!$B$7:$B$24,B275,'Court Quorum'!$C$7:$C$24,"&lt;&gt;"&amp;D275,'Court Quorum'!$D$7:$D$24,"&lt;&gt;"&amp;E275)-IF(F275="Court",1,0)</f>
        <v>3</v>
      </c>
      <c r="I275" s="22" t="n">
        <f aca="false">Inputs!$B$10</f>
        <v>2</v>
      </c>
      <c r="J275" s="22" t="str">
        <f aca="false">IF(AND(G275&gt;=1,H275&gt;=I275),"PASS","FAIL")</f>
        <v>PASS</v>
      </c>
      <c r="K275" s="4"/>
      <c r="L275" s="4"/>
      <c r="M275" s="4"/>
      <c r="N275" s="4"/>
    </row>
    <row r="276" customFormat="false" ht="15" hidden="false" customHeight="false" outlineLevel="0" collapsed="false">
      <c r="A276" s="17" t="s">
        <v>346</v>
      </c>
      <c r="B276" s="17" t="s">
        <v>172</v>
      </c>
      <c r="C276" s="17" t="s">
        <v>142</v>
      </c>
      <c r="D276" s="17" t="s">
        <v>170</v>
      </c>
      <c r="E276" s="17"/>
      <c r="F276" s="17"/>
      <c r="G276" s="22" t="n">
        <f aca="false">COUNTIFS('Role Enclaves'!$D$7:$D$42,B276,'Role Enclaves'!$E$7:$E$42,C276,'Role Enclaves'!$B$7:$B$42,"&lt;&gt;"&amp;D276,'Role Enclaves'!$C$7:$C$42,"&lt;&gt;"&amp;E276)-IF(F276=C276,1,0)</f>
        <v>2</v>
      </c>
      <c r="H276" s="22" t="n">
        <f aca="false">COUNTIFS('Court Quorum'!$B$7:$B$24,B276,'Court Quorum'!$C$7:$C$24,"&lt;&gt;"&amp;D276,'Court Quorum'!$D$7:$D$24,"&lt;&gt;"&amp;E276)-IF(F276="Court",1,0)</f>
        <v>3</v>
      </c>
      <c r="I276" s="22" t="n">
        <f aca="false">Inputs!$B$10</f>
        <v>2</v>
      </c>
      <c r="J276" s="22" t="str">
        <f aca="false">IF(AND(G276&gt;=1,H276&gt;=I276),"PASS","FAIL")</f>
        <v>PASS</v>
      </c>
      <c r="K276" s="4"/>
      <c r="L276" s="4"/>
      <c r="M276" s="4"/>
      <c r="N276" s="4"/>
    </row>
    <row r="277" customFormat="false" ht="15" hidden="false" customHeight="false" outlineLevel="0" collapsed="false">
      <c r="A277" s="17" t="s">
        <v>347</v>
      </c>
      <c r="B277" s="17" t="s">
        <v>138</v>
      </c>
      <c r="C277" s="17" t="s">
        <v>141</v>
      </c>
      <c r="D277" s="17" t="s">
        <v>171</v>
      </c>
      <c r="E277" s="17"/>
      <c r="F277" s="17"/>
      <c r="G277" s="22" t="n">
        <f aca="false">COUNTIFS('Role Enclaves'!$D$7:$D$42,B277,'Role Enclaves'!$E$7:$E$42,C277,'Role Enclaves'!$B$7:$B$42,"&lt;&gt;"&amp;D277,'Role Enclaves'!$C$7:$C$42,"&lt;&gt;"&amp;E277)-IF(F277=C277,1,0)</f>
        <v>2</v>
      </c>
      <c r="H277" s="22" t="n">
        <f aca="false">COUNTIFS('Court Quorum'!$B$7:$B$24,B277,'Court Quorum'!$C$7:$C$24,"&lt;&gt;"&amp;D277,'Court Quorum'!$D$7:$D$24,"&lt;&gt;"&amp;E277)-IF(F277="Court",1,0)</f>
        <v>3</v>
      </c>
      <c r="I277" s="22" t="n">
        <f aca="false">Inputs!$B$10</f>
        <v>2</v>
      </c>
      <c r="J277" s="22" t="str">
        <f aca="false">IF(AND(G277&gt;=1,H277&gt;=I277),"PASS","FAIL")</f>
        <v>PASS</v>
      </c>
      <c r="K277" s="4"/>
      <c r="L277" s="4"/>
      <c r="M277" s="4"/>
      <c r="N277" s="4"/>
    </row>
    <row r="278" customFormat="false" ht="15" hidden="false" customHeight="false" outlineLevel="0" collapsed="false">
      <c r="A278" s="17" t="s">
        <v>347</v>
      </c>
      <c r="B278" s="17" t="s">
        <v>138</v>
      </c>
      <c r="C278" s="17" t="s">
        <v>145</v>
      </c>
      <c r="D278" s="17" t="s">
        <v>171</v>
      </c>
      <c r="E278" s="17"/>
      <c r="F278" s="17"/>
      <c r="G278" s="22" t="n">
        <f aca="false">COUNTIFS('Role Enclaves'!$D$7:$D$42,B278,'Role Enclaves'!$E$7:$E$42,C278,'Role Enclaves'!$B$7:$B$42,"&lt;&gt;"&amp;D278,'Role Enclaves'!$C$7:$C$42,"&lt;&gt;"&amp;E278)-IF(F278=C278,1,0)</f>
        <v>2</v>
      </c>
      <c r="H278" s="22" t="n">
        <f aca="false">COUNTIFS('Court Quorum'!$B$7:$B$24,B278,'Court Quorum'!$C$7:$C$24,"&lt;&gt;"&amp;D278,'Court Quorum'!$D$7:$D$24,"&lt;&gt;"&amp;E278)-IF(F278="Court",1,0)</f>
        <v>3</v>
      </c>
      <c r="I278" s="22" t="n">
        <f aca="false">Inputs!$B$10</f>
        <v>2</v>
      </c>
      <c r="J278" s="22" t="str">
        <f aca="false">IF(AND(G278&gt;=1,H278&gt;=I278),"PASS","FAIL")</f>
        <v>PASS</v>
      </c>
      <c r="K278" s="4"/>
      <c r="L278" s="4"/>
      <c r="M278" s="4"/>
      <c r="N278" s="4"/>
    </row>
    <row r="279" customFormat="false" ht="15" hidden="false" customHeight="false" outlineLevel="0" collapsed="false">
      <c r="A279" s="17" t="s">
        <v>347</v>
      </c>
      <c r="B279" s="17" t="s">
        <v>138</v>
      </c>
      <c r="C279" s="17" t="s">
        <v>142</v>
      </c>
      <c r="D279" s="17" t="s">
        <v>171</v>
      </c>
      <c r="E279" s="17"/>
      <c r="F279" s="17"/>
      <c r="G279" s="22" t="n">
        <f aca="false">COUNTIFS('Role Enclaves'!$D$7:$D$42,B279,'Role Enclaves'!$E$7:$E$42,C279,'Role Enclaves'!$B$7:$B$42,"&lt;&gt;"&amp;D279,'Role Enclaves'!$C$7:$C$42,"&lt;&gt;"&amp;E279)-IF(F279=C279,1,0)</f>
        <v>2</v>
      </c>
      <c r="H279" s="22" t="n">
        <f aca="false">COUNTIFS('Court Quorum'!$B$7:$B$24,B279,'Court Quorum'!$C$7:$C$24,"&lt;&gt;"&amp;D279,'Court Quorum'!$D$7:$D$24,"&lt;&gt;"&amp;E279)-IF(F279="Court",1,0)</f>
        <v>3</v>
      </c>
      <c r="I279" s="22" t="n">
        <f aca="false">Inputs!$B$10</f>
        <v>2</v>
      </c>
      <c r="J279" s="22" t="str">
        <f aca="false">IF(AND(G279&gt;=1,H279&gt;=I279),"PASS","FAIL")</f>
        <v>PASS</v>
      </c>
      <c r="K279" s="4"/>
      <c r="L279" s="4"/>
      <c r="M279" s="4"/>
      <c r="N279" s="4"/>
    </row>
    <row r="280" customFormat="false" ht="15" hidden="false" customHeight="false" outlineLevel="0" collapsed="false">
      <c r="A280" s="17" t="s">
        <v>347</v>
      </c>
      <c r="B280" s="17" t="s">
        <v>149</v>
      </c>
      <c r="C280" s="17" t="s">
        <v>141</v>
      </c>
      <c r="D280" s="17" t="s">
        <v>171</v>
      </c>
      <c r="E280" s="17"/>
      <c r="F280" s="17"/>
      <c r="G280" s="22" t="n">
        <f aca="false">COUNTIFS('Role Enclaves'!$D$7:$D$42,B280,'Role Enclaves'!$E$7:$E$42,C280,'Role Enclaves'!$B$7:$B$42,"&lt;&gt;"&amp;D280,'Role Enclaves'!$C$7:$C$42,"&lt;&gt;"&amp;E280)-IF(F280=C280,1,0)</f>
        <v>2</v>
      </c>
      <c r="H280" s="22" t="n">
        <f aca="false">COUNTIFS('Court Quorum'!$B$7:$B$24,B280,'Court Quorum'!$C$7:$C$24,"&lt;&gt;"&amp;D280,'Court Quorum'!$D$7:$D$24,"&lt;&gt;"&amp;E280)-IF(F280="Court",1,0)</f>
        <v>3</v>
      </c>
      <c r="I280" s="22" t="n">
        <f aca="false">Inputs!$B$10</f>
        <v>2</v>
      </c>
      <c r="J280" s="22" t="str">
        <f aca="false">IF(AND(G280&gt;=1,H280&gt;=I280),"PASS","FAIL")</f>
        <v>PASS</v>
      </c>
      <c r="K280" s="4"/>
      <c r="L280" s="4"/>
      <c r="M280" s="4"/>
      <c r="N280" s="4"/>
    </row>
    <row r="281" customFormat="false" ht="15" hidden="false" customHeight="false" outlineLevel="0" collapsed="false">
      <c r="A281" s="17" t="s">
        <v>347</v>
      </c>
      <c r="B281" s="17" t="s">
        <v>149</v>
      </c>
      <c r="C281" s="17" t="s">
        <v>145</v>
      </c>
      <c r="D281" s="17" t="s">
        <v>171</v>
      </c>
      <c r="E281" s="17"/>
      <c r="F281" s="17"/>
      <c r="G281" s="22" t="n">
        <f aca="false">COUNTIFS('Role Enclaves'!$D$7:$D$42,B281,'Role Enclaves'!$E$7:$E$42,C281,'Role Enclaves'!$B$7:$B$42,"&lt;&gt;"&amp;D281,'Role Enclaves'!$C$7:$C$42,"&lt;&gt;"&amp;E281)-IF(F281=C281,1,0)</f>
        <v>2</v>
      </c>
      <c r="H281" s="22" t="n">
        <f aca="false">COUNTIFS('Court Quorum'!$B$7:$B$24,B281,'Court Quorum'!$C$7:$C$24,"&lt;&gt;"&amp;D281,'Court Quorum'!$D$7:$D$24,"&lt;&gt;"&amp;E281)-IF(F281="Court",1,0)</f>
        <v>3</v>
      </c>
      <c r="I281" s="22" t="n">
        <f aca="false">Inputs!$B$10</f>
        <v>2</v>
      </c>
      <c r="J281" s="22" t="str">
        <f aca="false">IF(AND(G281&gt;=1,H281&gt;=I281),"PASS","FAIL")</f>
        <v>PASS</v>
      </c>
      <c r="K281" s="4"/>
      <c r="L281" s="4"/>
      <c r="M281" s="4"/>
      <c r="N281" s="4"/>
    </row>
    <row r="282" customFormat="false" ht="15" hidden="false" customHeight="false" outlineLevel="0" collapsed="false">
      <c r="A282" s="17" t="s">
        <v>347</v>
      </c>
      <c r="B282" s="17" t="s">
        <v>149</v>
      </c>
      <c r="C282" s="17" t="s">
        <v>142</v>
      </c>
      <c r="D282" s="17" t="s">
        <v>171</v>
      </c>
      <c r="E282" s="17"/>
      <c r="F282" s="17"/>
      <c r="G282" s="22" t="n">
        <f aca="false">COUNTIFS('Role Enclaves'!$D$7:$D$42,B282,'Role Enclaves'!$E$7:$E$42,C282,'Role Enclaves'!$B$7:$B$42,"&lt;&gt;"&amp;D282,'Role Enclaves'!$C$7:$C$42,"&lt;&gt;"&amp;E282)-IF(F282=C282,1,0)</f>
        <v>2</v>
      </c>
      <c r="H282" s="22" t="n">
        <f aca="false">COUNTIFS('Court Quorum'!$B$7:$B$24,B282,'Court Quorum'!$C$7:$C$24,"&lt;&gt;"&amp;D282,'Court Quorum'!$D$7:$D$24,"&lt;&gt;"&amp;E282)-IF(F282="Court",1,0)</f>
        <v>3</v>
      </c>
      <c r="I282" s="22" t="n">
        <f aca="false">Inputs!$B$10</f>
        <v>2</v>
      </c>
      <c r="J282" s="22" t="str">
        <f aca="false">IF(AND(G282&gt;=1,H282&gt;=I282),"PASS","FAIL")</f>
        <v>PASS</v>
      </c>
      <c r="K282" s="4"/>
      <c r="L282" s="4"/>
      <c r="M282" s="4"/>
      <c r="N282" s="4"/>
    </row>
    <row r="283" customFormat="false" ht="15" hidden="false" customHeight="false" outlineLevel="0" collapsed="false">
      <c r="A283" s="17" t="s">
        <v>347</v>
      </c>
      <c r="B283" s="17" t="s">
        <v>157</v>
      </c>
      <c r="C283" s="17" t="s">
        <v>141</v>
      </c>
      <c r="D283" s="17" t="s">
        <v>171</v>
      </c>
      <c r="E283" s="17"/>
      <c r="F283" s="17"/>
      <c r="G283" s="22" t="n">
        <f aca="false">COUNTIFS('Role Enclaves'!$D$7:$D$42,B283,'Role Enclaves'!$E$7:$E$42,C283,'Role Enclaves'!$B$7:$B$42,"&lt;&gt;"&amp;D283,'Role Enclaves'!$C$7:$C$42,"&lt;&gt;"&amp;E283)-IF(F283=C283,1,0)</f>
        <v>2</v>
      </c>
      <c r="H283" s="22" t="n">
        <f aca="false">COUNTIFS('Court Quorum'!$B$7:$B$24,B283,'Court Quorum'!$C$7:$C$24,"&lt;&gt;"&amp;D283,'Court Quorum'!$D$7:$D$24,"&lt;&gt;"&amp;E283)-IF(F283="Court",1,0)</f>
        <v>3</v>
      </c>
      <c r="I283" s="22" t="n">
        <f aca="false">Inputs!$B$10</f>
        <v>2</v>
      </c>
      <c r="J283" s="22" t="str">
        <f aca="false">IF(AND(G283&gt;=1,H283&gt;=I283),"PASS","FAIL")</f>
        <v>PASS</v>
      </c>
      <c r="K283" s="4"/>
      <c r="L283" s="4"/>
      <c r="M283" s="4"/>
      <c r="N283" s="4"/>
    </row>
    <row r="284" customFormat="false" ht="15" hidden="false" customHeight="false" outlineLevel="0" collapsed="false">
      <c r="A284" s="17" t="s">
        <v>347</v>
      </c>
      <c r="B284" s="17" t="s">
        <v>157</v>
      </c>
      <c r="C284" s="17" t="s">
        <v>145</v>
      </c>
      <c r="D284" s="17" t="s">
        <v>171</v>
      </c>
      <c r="E284" s="17"/>
      <c r="F284" s="17"/>
      <c r="G284" s="22" t="n">
        <f aca="false">COUNTIFS('Role Enclaves'!$D$7:$D$42,B284,'Role Enclaves'!$E$7:$E$42,C284,'Role Enclaves'!$B$7:$B$42,"&lt;&gt;"&amp;D284,'Role Enclaves'!$C$7:$C$42,"&lt;&gt;"&amp;E284)-IF(F284=C284,1,0)</f>
        <v>2</v>
      </c>
      <c r="H284" s="22" t="n">
        <f aca="false">COUNTIFS('Court Quorum'!$B$7:$B$24,B284,'Court Quorum'!$C$7:$C$24,"&lt;&gt;"&amp;D284,'Court Quorum'!$D$7:$D$24,"&lt;&gt;"&amp;E284)-IF(F284="Court",1,0)</f>
        <v>3</v>
      </c>
      <c r="I284" s="22" t="n">
        <f aca="false">Inputs!$B$10</f>
        <v>2</v>
      </c>
      <c r="J284" s="22" t="str">
        <f aca="false">IF(AND(G284&gt;=1,H284&gt;=I284),"PASS","FAIL")</f>
        <v>PASS</v>
      </c>
      <c r="K284" s="4"/>
      <c r="L284" s="4"/>
      <c r="M284" s="4"/>
      <c r="N284" s="4"/>
    </row>
    <row r="285" customFormat="false" ht="15" hidden="false" customHeight="false" outlineLevel="0" collapsed="false">
      <c r="A285" s="17" t="s">
        <v>347</v>
      </c>
      <c r="B285" s="17" t="s">
        <v>157</v>
      </c>
      <c r="C285" s="17" t="s">
        <v>142</v>
      </c>
      <c r="D285" s="17" t="s">
        <v>171</v>
      </c>
      <c r="E285" s="17"/>
      <c r="F285" s="17"/>
      <c r="G285" s="22" t="n">
        <f aca="false">COUNTIFS('Role Enclaves'!$D$7:$D$42,B285,'Role Enclaves'!$E$7:$E$42,C285,'Role Enclaves'!$B$7:$B$42,"&lt;&gt;"&amp;D285,'Role Enclaves'!$C$7:$C$42,"&lt;&gt;"&amp;E285)-IF(F285=C285,1,0)</f>
        <v>2</v>
      </c>
      <c r="H285" s="22" t="n">
        <f aca="false">COUNTIFS('Court Quorum'!$B$7:$B$24,B285,'Court Quorum'!$C$7:$C$24,"&lt;&gt;"&amp;D285,'Court Quorum'!$D$7:$D$24,"&lt;&gt;"&amp;E285)-IF(F285="Court",1,0)</f>
        <v>3</v>
      </c>
      <c r="I285" s="22" t="n">
        <f aca="false">Inputs!$B$10</f>
        <v>2</v>
      </c>
      <c r="J285" s="22" t="str">
        <f aca="false">IF(AND(G285&gt;=1,H285&gt;=I285),"PASS","FAIL")</f>
        <v>PASS</v>
      </c>
      <c r="K285" s="4"/>
      <c r="L285" s="4"/>
      <c r="M285" s="4"/>
      <c r="N285" s="4"/>
    </row>
    <row r="286" customFormat="false" ht="15" hidden="false" customHeight="false" outlineLevel="0" collapsed="false">
      <c r="A286" s="17" t="s">
        <v>347</v>
      </c>
      <c r="B286" s="17" t="s">
        <v>162</v>
      </c>
      <c r="C286" s="17" t="s">
        <v>141</v>
      </c>
      <c r="D286" s="17" t="s">
        <v>171</v>
      </c>
      <c r="E286" s="17"/>
      <c r="F286" s="17"/>
      <c r="G286" s="22" t="n">
        <f aca="false">COUNTIFS('Role Enclaves'!$D$7:$D$42,B286,'Role Enclaves'!$E$7:$E$42,C286,'Role Enclaves'!$B$7:$B$42,"&lt;&gt;"&amp;D286,'Role Enclaves'!$C$7:$C$42,"&lt;&gt;"&amp;E286)-IF(F286=C286,1,0)</f>
        <v>2</v>
      </c>
      <c r="H286" s="22" t="n">
        <f aca="false">COUNTIFS('Court Quorum'!$B$7:$B$24,B286,'Court Quorum'!$C$7:$C$24,"&lt;&gt;"&amp;D286,'Court Quorum'!$D$7:$D$24,"&lt;&gt;"&amp;E286)-IF(F286="Court",1,0)</f>
        <v>3</v>
      </c>
      <c r="I286" s="22" t="n">
        <f aca="false">Inputs!$B$10</f>
        <v>2</v>
      </c>
      <c r="J286" s="22" t="str">
        <f aca="false">IF(AND(G286&gt;=1,H286&gt;=I286),"PASS","FAIL")</f>
        <v>PASS</v>
      </c>
      <c r="K286" s="4"/>
      <c r="L286" s="4"/>
      <c r="M286" s="4"/>
      <c r="N286" s="4"/>
    </row>
    <row r="287" customFormat="false" ht="15" hidden="false" customHeight="false" outlineLevel="0" collapsed="false">
      <c r="A287" s="17" t="s">
        <v>347</v>
      </c>
      <c r="B287" s="17" t="s">
        <v>162</v>
      </c>
      <c r="C287" s="17" t="s">
        <v>145</v>
      </c>
      <c r="D287" s="17" t="s">
        <v>171</v>
      </c>
      <c r="E287" s="17"/>
      <c r="F287" s="17"/>
      <c r="G287" s="22" t="n">
        <f aca="false">COUNTIFS('Role Enclaves'!$D$7:$D$42,B287,'Role Enclaves'!$E$7:$E$42,C287,'Role Enclaves'!$B$7:$B$42,"&lt;&gt;"&amp;D287,'Role Enclaves'!$C$7:$C$42,"&lt;&gt;"&amp;E287)-IF(F287=C287,1,0)</f>
        <v>2</v>
      </c>
      <c r="H287" s="22" t="n">
        <f aca="false">COUNTIFS('Court Quorum'!$B$7:$B$24,B287,'Court Quorum'!$C$7:$C$24,"&lt;&gt;"&amp;D287,'Court Quorum'!$D$7:$D$24,"&lt;&gt;"&amp;E287)-IF(F287="Court",1,0)</f>
        <v>3</v>
      </c>
      <c r="I287" s="22" t="n">
        <f aca="false">Inputs!$B$10</f>
        <v>2</v>
      </c>
      <c r="J287" s="22" t="str">
        <f aca="false">IF(AND(G287&gt;=1,H287&gt;=I287),"PASS","FAIL")</f>
        <v>PASS</v>
      </c>
      <c r="K287" s="4"/>
      <c r="L287" s="4"/>
      <c r="M287" s="4"/>
      <c r="N287" s="4"/>
    </row>
    <row r="288" customFormat="false" ht="15" hidden="false" customHeight="false" outlineLevel="0" collapsed="false">
      <c r="A288" s="17" t="s">
        <v>347</v>
      </c>
      <c r="B288" s="17" t="s">
        <v>162</v>
      </c>
      <c r="C288" s="17" t="s">
        <v>142</v>
      </c>
      <c r="D288" s="17" t="s">
        <v>171</v>
      </c>
      <c r="E288" s="17"/>
      <c r="F288" s="17"/>
      <c r="G288" s="22" t="n">
        <f aca="false">COUNTIFS('Role Enclaves'!$D$7:$D$42,B288,'Role Enclaves'!$E$7:$E$42,C288,'Role Enclaves'!$B$7:$B$42,"&lt;&gt;"&amp;D288,'Role Enclaves'!$C$7:$C$42,"&lt;&gt;"&amp;E288)-IF(F288=C288,1,0)</f>
        <v>2</v>
      </c>
      <c r="H288" s="22" t="n">
        <f aca="false">COUNTIFS('Court Quorum'!$B$7:$B$24,B288,'Court Quorum'!$C$7:$C$24,"&lt;&gt;"&amp;D288,'Court Quorum'!$D$7:$D$24,"&lt;&gt;"&amp;E288)-IF(F288="Court",1,0)</f>
        <v>3</v>
      </c>
      <c r="I288" s="22" t="n">
        <f aca="false">Inputs!$B$10</f>
        <v>2</v>
      </c>
      <c r="J288" s="22" t="str">
        <f aca="false">IF(AND(G288&gt;=1,H288&gt;=I288),"PASS","FAIL")</f>
        <v>PASS</v>
      </c>
      <c r="K288" s="4"/>
      <c r="L288" s="4"/>
      <c r="M288" s="4"/>
      <c r="N288" s="4"/>
    </row>
    <row r="289" customFormat="false" ht="15" hidden="false" customHeight="false" outlineLevel="0" collapsed="false">
      <c r="A289" s="17" t="s">
        <v>347</v>
      </c>
      <c r="B289" s="17" t="s">
        <v>167</v>
      </c>
      <c r="C289" s="17" t="s">
        <v>141</v>
      </c>
      <c r="D289" s="17" t="s">
        <v>171</v>
      </c>
      <c r="E289" s="17"/>
      <c r="F289" s="17"/>
      <c r="G289" s="22" t="n">
        <f aca="false">COUNTIFS('Role Enclaves'!$D$7:$D$42,B289,'Role Enclaves'!$E$7:$E$42,C289,'Role Enclaves'!$B$7:$B$42,"&lt;&gt;"&amp;D289,'Role Enclaves'!$C$7:$C$42,"&lt;&gt;"&amp;E289)-IF(F289=C289,1,0)</f>
        <v>2</v>
      </c>
      <c r="H289" s="22" t="n">
        <f aca="false">COUNTIFS('Court Quorum'!$B$7:$B$24,B289,'Court Quorum'!$C$7:$C$24,"&lt;&gt;"&amp;D289,'Court Quorum'!$D$7:$D$24,"&lt;&gt;"&amp;E289)-IF(F289="Court",1,0)</f>
        <v>3</v>
      </c>
      <c r="I289" s="22" t="n">
        <f aca="false">Inputs!$B$10</f>
        <v>2</v>
      </c>
      <c r="J289" s="22" t="str">
        <f aca="false">IF(AND(G289&gt;=1,H289&gt;=I289),"PASS","FAIL")</f>
        <v>PASS</v>
      </c>
      <c r="K289" s="4"/>
      <c r="L289" s="4"/>
      <c r="M289" s="4"/>
      <c r="N289" s="4"/>
    </row>
    <row r="290" customFormat="false" ht="15" hidden="false" customHeight="false" outlineLevel="0" collapsed="false">
      <c r="A290" s="17" t="s">
        <v>347</v>
      </c>
      <c r="B290" s="17" t="s">
        <v>167</v>
      </c>
      <c r="C290" s="17" t="s">
        <v>145</v>
      </c>
      <c r="D290" s="17" t="s">
        <v>171</v>
      </c>
      <c r="E290" s="17"/>
      <c r="F290" s="17"/>
      <c r="G290" s="22" t="n">
        <f aca="false">COUNTIFS('Role Enclaves'!$D$7:$D$42,B290,'Role Enclaves'!$E$7:$E$42,C290,'Role Enclaves'!$B$7:$B$42,"&lt;&gt;"&amp;D290,'Role Enclaves'!$C$7:$C$42,"&lt;&gt;"&amp;E290)-IF(F290=C290,1,0)</f>
        <v>2</v>
      </c>
      <c r="H290" s="22" t="n">
        <f aca="false">COUNTIFS('Court Quorum'!$B$7:$B$24,B290,'Court Quorum'!$C$7:$C$24,"&lt;&gt;"&amp;D290,'Court Quorum'!$D$7:$D$24,"&lt;&gt;"&amp;E290)-IF(F290="Court",1,0)</f>
        <v>3</v>
      </c>
      <c r="I290" s="22" t="n">
        <f aca="false">Inputs!$B$10</f>
        <v>2</v>
      </c>
      <c r="J290" s="22" t="str">
        <f aca="false">IF(AND(G290&gt;=1,H290&gt;=I290),"PASS","FAIL")</f>
        <v>PASS</v>
      </c>
      <c r="K290" s="4"/>
      <c r="L290" s="4"/>
      <c r="M290" s="4"/>
      <c r="N290" s="4"/>
    </row>
    <row r="291" customFormat="false" ht="15" hidden="false" customHeight="false" outlineLevel="0" collapsed="false">
      <c r="A291" s="17" t="s">
        <v>347</v>
      </c>
      <c r="B291" s="17" t="s">
        <v>167</v>
      </c>
      <c r="C291" s="17" t="s">
        <v>142</v>
      </c>
      <c r="D291" s="17" t="s">
        <v>171</v>
      </c>
      <c r="E291" s="17"/>
      <c r="F291" s="17"/>
      <c r="G291" s="22" t="n">
        <f aca="false">COUNTIFS('Role Enclaves'!$D$7:$D$42,B291,'Role Enclaves'!$E$7:$E$42,C291,'Role Enclaves'!$B$7:$B$42,"&lt;&gt;"&amp;D291,'Role Enclaves'!$C$7:$C$42,"&lt;&gt;"&amp;E291)-IF(F291=C291,1,0)</f>
        <v>2</v>
      </c>
      <c r="H291" s="22" t="n">
        <f aca="false">COUNTIFS('Court Quorum'!$B$7:$B$24,B291,'Court Quorum'!$C$7:$C$24,"&lt;&gt;"&amp;D291,'Court Quorum'!$D$7:$D$24,"&lt;&gt;"&amp;E291)-IF(F291="Court",1,0)</f>
        <v>3</v>
      </c>
      <c r="I291" s="22" t="n">
        <f aca="false">Inputs!$B$10</f>
        <v>2</v>
      </c>
      <c r="J291" s="22" t="str">
        <f aca="false">IF(AND(G291&gt;=1,H291&gt;=I291),"PASS","FAIL")</f>
        <v>PASS</v>
      </c>
      <c r="K291" s="4"/>
      <c r="L291" s="4"/>
      <c r="M291" s="4"/>
      <c r="N291" s="4"/>
    </row>
    <row r="292" customFormat="false" ht="15" hidden="false" customHeight="false" outlineLevel="0" collapsed="false">
      <c r="A292" s="17" t="s">
        <v>347</v>
      </c>
      <c r="B292" s="17" t="s">
        <v>172</v>
      </c>
      <c r="C292" s="17" t="s">
        <v>141</v>
      </c>
      <c r="D292" s="17" t="s">
        <v>171</v>
      </c>
      <c r="E292" s="17"/>
      <c r="F292" s="17"/>
      <c r="G292" s="22" t="n">
        <f aca="false">COUNTIFS('Role Enclaves'!$D$7:$D$42,B292,'Role Enclaves'!$E$7:$E$42,C292,'Role Enclaves'!$B$7:$B$42,"&lt;&gt;"&amp;D292,'Role Enclaves'!$C$7:$C$42,"&lt;&gt;"&amp;E292)-IF(F292=C292,1,0)</f>
        <v>1</v>
      </c>
      <c r="H292" s="22" t="n">
        <f aca="false">COUNTIFS('Court Quorum'!$B$7:$B$24,B292,'Court Quorum'!$C$7:$C$24,"&lt;&gt;"&amp;D292,'Court Quorum'!$D$7:$D$24,"&lt;&gt;"&amp;E292)-IF(F292="Court",1,0)</f>
        <v>2</v>
      </c>
      <c r="I292" s="22" t="n">
        <f aca="false">Inputs!$B$10</f>
        <v>2</v>
      </c>
      <c r="J292" s="22" t="str">
        <f aca="false">IF(AND(G292&gt;=1,H292&gt;=I292),"PASS","FAIL")</f>
        <v>PASS</v>
      </c>
      <c r="K292" s="4"/>
      <c r="L292" s="4"/>
      <c r="M292" s="4"/>
      <c r="N292" s="4"/>
    </row>
    <row r="293" customFormat="false" ht="15" hidden="false" customHeight="false" outlineLevel="0" collapsed="false">
      <c r="A293" s="17" t="s">
        <v>347</v>
      </c>
      <c r="B293" s="17" t="s">
        <v>172</v>
      </c>
      <c r="C293" s="17" t="s">
        <v>145</v>
      </c>
      <c r="D293" s="17" t="s">
        <v>171</v>
      </c>
      <c r="E293" s="17"/>
      <c r="F293" s="17"/>
      <c r="G293" s="22" t="n">
        <f aca="false">COUNTIFS('Role Enclaves'!$D$7:$D$42,B293,'Role Enclaves'!$E$7:$E$42,C293,'Role Enclaves'!$B$7:$B$42,"&lt;&gt;"&amp;D293,'Role Enclaves'!$C$7:$C$42,"&lt;&gt;"&amp;E293)-IF(F293=C293,1,0)</f>
        <v>2</v>
      </c>
      <c r="H293" s="22" t="n">
        <f aca="false">COUNTIFS('Court Quorum'!$B$7:$B$24,B293,'Court Quorum'!$C$7:$C$24,"&lt;&gt;"&amp;D293,'Court Quorum'!$D$7:$D$24,"&lt;&gt;"&amp;E293)-IF(F293="Court",1,0)</f>
        <v>2</v>
      </c>
      <c r="I293" s="22" t="n">
        <f aca="false">Inputs!$B$10</f>
        <v>2</v>
      </c>
      <c r="J293" s="22" t="str">
        <f aca="false">IF(AND(G293&gt;=1,H293&gt;=I293),"PASS","FAIL")</f>
        <v>PASS</v>
      </c>
      <c r="K293" s="4"/>
      <c r="L293" s="4"/>
      <c r="M293" s="4"/>
      <c r="N293" s="4"/>
    </row>
    <row r="294" customFormat="false" ht="15" hidden="false" customHeight="false" outlineLevel="0" collapsed="false">
      <c r="A294" s="17" t="s">
        <v>347</v>
      </c>
      <c r="B294" s="17" t="s">
        <v>172</v>
      </c>
      <c r="C294" s="17" t="s">
        <v>142</v>
      </c>
      <c r="D294" s="17" t="s">
        <v>171</v>
      </c>
      <c r="E294" s="17"/>
      <c r="F294" s="17"/>
      <c r="G294" s="22" t="n">
        <f aca="false">COUNTIFS('Role Enclaves'!$D$7:$D$42,B294,'Role Enclaves'!$E$7:$E$42,C294,'Role Enclaves'!$B$7:$B$42,"&lt;&gt;"&amp;D294,'Role Enclaves'!$C$7:$C$42,"&lt;&gt;"&amp;E294)-IF(F294=C294,1,0)</f>
        <v>1</v>
      </c>
      <c r="H294" s="22" t="n">
        <f aca="false">COUNTIFS('Court Quorum'!$B$7:$B$24,B294,'Court Quorum'!$C$7:$C$24,"&lt;&gt;"&amp;D294,'Court Quorum'!$D$7:$D$24,"&lt;&gt;"&amp;E294)-IF(F294="Court",1,0)</f>
        <v>2</v>
      </c>
      <c r="I294" s="22" t="n">
        <f aca="false">Inputs!$B$10</f>
        <v>2</v>
      </c>
      <c r="J294" s="22" t="str">
        <f aca="false">IF(AND(G294&gt;=1,H294&gt;=I294),"PASS","FAIL")</f>
        <v>PASS</v>
      </c>
      <c r="K294" s="4"/>
      <c r="L294" s="4"/>
      <c r="M294" s="4"/>
      <c r="N294" s="4"/>
    </row>
    <row r="295" customFormat="false" ht="15" hidden="false" customHeight="false" outlineLevel="0" collapsed="false">
      <c r="A295" s="17" t="s">
        <v>348</v>
      </c>
      <c r="B295" s="17" t="s">
        <v>138</v>
      </c>
      <c r="C295" s="17" t="s">
        <v>141</v>
      </c>
      <c r="D295" s="17" t="s">
        <v>174</v>
      </c>
      <c r="E295" s="17"/>
      <c r="F295" s="17"/>
      <c r="G295" s="22" t="n">
        <f aca="false">COUNTIFS('Role Enclaves'!$D$7:$D$42,B295,'Role Enclaves'!$E$7:$E$42,C295,'Role Enclaves'!$B$7:$B$42,"&lt;&gt;"&amp;D295,'Role Enclaves'!$C$7:$C$42,"&lt;&gt;"&amp;E295)-IF(F295=C295,1,0)</f>
        <v>2</v>
      </c>
      <c r="H295" s="22" t="n">
        <f aca="false">COUNTIFS('Court Quorum'!$B$7:$B$24,B295,'Court Quorum'!$C$7:$C$24,"&lt;&gt;"&amp;D295,'Court Quorum'!$D$7:$D$24,"&lt;&gt;"&amp;E295)-IF(F295="Court",1,0)</f>
        <v>3</v>
      </c>
      <c r="I295" s="22" t="n">
        <f aca="false">Inputs!$B$10</f>
        <v>2</v>
      </c>
      <c r="J295" s="22" t="str">
        <f aca="false">IF(AND(G295&gt;=1,H295&gt;=I295),"PASS","FAIL")</f>
        <v>PASS</v>
      </c>
      <c r="K295" s="4"/>
      <c r="L295" s="4"/>
      <c r="M295" s="4"/>
      <c r="N295" s="4"/>
    </row>
    <row r="296" customFormat="false" ht="15" hidden="false" customHeight="false" outlineLevel="0" collapsed="false">
      <c r="A296" s="17" t="s">
        <v>348</v>
      </c>
      <c r="B296" s="17" t="s">
        <v>138</v>
      </c>
      <c r="C296" s="17" t="s">
        <v>145</v>
      </c>
      <c r="D296" s="17" t="s">
        <v>174</v>
      </c>
      <c r="E296" s="17"/>
      <c r="F296" s="17"/>
      <c r="G296" s="22" t="n">
        <f aca="false">COUNTIFS('Role Enclaves'!$D$7:$D$42,B296,'Role Enclaves'!$E$7:$E$42,C296,'Role Enclaves'!$B$7:$B$42,"&lt;&gt;"&amp;D296,'Role Enclaves'!$C$7:$C$42,"&lt;&gt;"&amp;E296)-IF(F296=C296,1,0)</f>
        <v>2</v>
      </c>
      <c r="H296" s="22" t="n">
        <f aca="false">COUNTIFS('Court Quorum'!$B$7:$B$24,B296,'Court Quorum'!$C$7:$C$24,"&lt;&gt;"&amp;D296,'Court Quorum'!$D$7:$D$24,"&lt;&gt;"&amp;E296)-IF(F296="Court",1,0)</f>
        <v>3</v>
      </c>
      <c r="I296" s="22" t="n">
        <f aca="false">Inputs!$B$10</f>
        <v>2</v>
      </c>
      <c r="J296" s="22" t="str">
        <f aca="false">IF(AND(G296&gt;=1,H296&gt;=I296),"PASS","FAIL")</f>
        <v>PASS</v>
      </c>
      <c r="K296" s="4"/>
      <c r="L296" s="4"/>
      <c r="M296" s="4"/>
      <c r="N296" s="4"/>
    </row>
    <row r="297" customFormat="false" ht="15" hidden="false" customHeight="false" outlineLevel="0" collapsed="false">
      <c r="A297" s="17" t="s">
        <v>348</v>
      </c>
      <c r="B297" s="17" t="s">
        <v>138</v>
      </c>
      <c r="C297" s="17" t="s">
        <v>142</v>
      </c>
      <c r="D297" s="17" t="s">
        <v>174</v>
      </c>
      <c r="E297" s="17"/>
      <c r="F297" s="17"/>
      <c r="G297" s="22" t="n">
        <f aca="false">COUNTIFS('Role Enclaves'!$D$7:$D$42,B297,'Role Enclaves'!$E$7:$E$42,C297,'Role Enclaves'!$B$7:$B$42,"&lt;&gt;"&amp;D297,'Role Enclaves'!$C$7:$C$42,"&lt;&gt;"&amp;E297)-IF(F297=C297,1,0)</f>
        <v>2</v>
      </c>
      <c r="H297" s="22" t="n">
        <f aca="false">COUNTIFS('Court Quorum'!$B$7:$B$24,B297,'Court Quorum'!$C$7:$C$24,"&lt;&gt;"&amp;D297,'Court Quorum'!$D$7:$D$24,"&lt;&gt;"&amp;E297)-IF(F297="Court",1,0)</f>
        <v>3</v>
      </c>
      <c r="I297" s="22" t="n">
        <f aca="false">Inputs!$B$10</f>
        <v>2</v>
      </c>
      <c r="J297" s="22" t="str">
        <f aca="false">IF(AND(G297&gt;=1,H297&gt;=I297),"PASS","FAIL")</f>
        <v>PASS</v>
      </c>
      <c r="K297" s="4"/>
      <c r="L297" s="4"/>
      <c r="M297" s="4"/>
      <c r="N297" s="4"/>
    </row>
    <row r="298" customFormat="false" ht="15" hidden="false" customHeight="false" outlineLevel="0" collapsed="false">
      <c r="A298" s="17" t="s">
        <v>348</v>
      </c>
      <c r="B298" s="17" t="s">
        <v>149</v>
      </c>
      <c r="C298" s="17" t="s">
        <v>141</v>
      </c>
      <c r="D298" s="17" t="s">
        <v>174</v>
      </c>
      <c r="E298" s="17"/>
      <c r="F298" s="17"/>
      <c r="G298" s="22" t="n">
        <f aca="false">COUNTIFS('Role Enclaves'!$D$7:$D$42,B298,'Role Enclaves'!$E$7:$E$42,C298,'Role Enclaves'!$B$7:$B$42,"&lt;&gt;"&amp;D298,'Role Enclaves'!$C$7:$C$42,"&lt;&gt;"&amp;E298)-IF(F298=C298,1,0)</f>
        <v>2</v>
      </c>
      <c r="H298" s="22" t="n">
        <f aca="false">COUNTIFS('Court Quorum'!$B$7:$B$24,B298,'Court Quorum'!$C$7:$C$24,"&lt;&gt;"&amp;D298,'Court Quorum'!$D$7:$D$24,"&lt;&gt;"&amp;E298)-IF(F298="Court",1,0)</f>
        <v>3</v>
      </c>
      <c r="I298" s="22" t="n">
        <f aca="false">Inputs!$B$10</f>
        <v>2</v>
      </c>
      <c r="J298" s="22" t="str">
        <f aca="false">IF(AND(G298&gt;=1,H298&gt;=I298),"PASS","FAIL")</f>
        <v>PASS</v>
      </c>
      <c r="K298" s="4"/>
      <c r="L298" s="4"/>
      <c r="M298" s="4"/>
      <c r="N298" s="4"/>
    </row>
    <row r="299" customFormat="false" ht="15" hidden="false" customHeight="false" outlineLevel="0" collapsed="false">
      <c r="A299" s="17" t="s">
        <v>348</v>
      </c>
      <c r="B299" s="17" t="s">
        <v>149</v>
      </c>
      <c r="C299" s="17" t="s">
        <v>145</v>
      </c>
      <c r="D299" s="17" t="s">
        <v>174</v>
      </c>
      <c r="E299" s="17"/>
      <c r="F299" s="17"/>
      <c r="G299" s="22" t="n">
        <f aca="false">COUNTIFS('Role Enclaves'!$D$7:$D$42,B299,'Role Enclaves'!$E$7:$E$42,C299,'Role Enclaves'!$B$7:$B$42,"&lt;&gt;"&amp;D299,'Role Enclaves'!$C$7:$C$42,"&lt;&gt;"&amp;E299)-IF(F299=C299,1,0)</f>
        <v>2</v>
      </c>
      <c r="H299" s="22" t="n">
        <f aca="false">COUNTIFS('Court Quorum'!$B$7:$B$24,B299,'Court Quorum'!$C$7:$C$24,"&lt;&gt;"&amp;D299,'Court Quorum'!$D$7:$D$24,"&lt;&gt;"&amp;E299)-IF(F299="Court",1,0)</f>
        <v>3</v>
      </c>
      <c r="I299" s="22" t="n">
        <f aca="false">Inputs!$B$10</f>
        <v>2</v>
      </c>
      <c r="J299" s="22" t="str">
        <f aca="false">IF(AND(G299&gt;=1,H299&gt;=I299),"PASS","FAIL")</f>
        <v>PASS</v>
      </c>
      <c r="K299" s="4"/>
      <c r="L299" s="4"/>
      <c r="M299" s="4"/>
      <c r="N299" s="4"/>
    </row>
    <row r="300" customFormat="false" ht="15" hidden="false" customHeight="false" outlineLevel="0" collapsed="false">
      <c r="A300" s="17" t="s">
        <v>348</v>
      </c>
      <c r="B300" s="17" t="s">
        <v>149</v>
      </c>
      <c r="C300" s="17" t="s">
        <v>142</v>
      </c>
      <c r="D300" s="17" t="s">
        <v>174</v>
      </c>
      <c r="E300" s="17"/>
      <c r="F300" s="17"/>
      <c r="G300" s="22" t="n">
        <f aca="false">COUNTIFS('Role Enclaves'!$D$7:$D$42,B300,'Role Enclaves'!$E$7:$E$42,C300,'Role Enclaves'!$B$7:$B$42,"&lt;&gt;"&amp;D300,'Role Enclaves'!$C$7:$C$42,"&lt;&gt;"&amp;E300)-IF(F300=C300,1,0)</f>
        <v>2</v>
      </c>
      <c r="H300" s="22" t="n">
        <f aca="false">COUNTIFS('Court Quorum'!$B$7:$B$24,B300,'Court Quorum'!$C$7:$C$24,"&lt;&gt;"&amp;D300,'Court Quorum'!$D$7:$D$24,"&lt;&gt;"&amp;E300)-IF(F300="Court",1,0)</f>
        <v>3</v>
      </c>
      <c r="I300" s="22" t="n">
        <f aca="false">Inputs!$B$10</f>
        <v>2</v>
      </c>
      <c r="J300" s="22" t="str">
        <f aca="false">IF(AND(G300&gt;=1,H300&gt;=I300),"PASS","FAIL")</f>
        <v>PASS</v>
      </c>
      <c r="K300" s="4"/>
      <c r="L300" s="4"/>
      <c r="M300" s="4"/>
      <c r="N300" s="4"/>
    </row>
    <row r="301" customFormat="false" ht="15" hidden="false" customHeight="false" outlineLevel="0" collapsed="false">
      <c r="A301" s="17" t="s">
        <v>348</v>
      </c>
      <c r="B301" s="17" t="s">
        <v>157</v>
      </c>
      <c r="C301" s="17" t="s">
        <v>141</v>
      </c>
      <c r="D301" s="17" t="s">
        <v>174</v>
      </c>
      <c r="E301" s="17"/>
      <c r="F301" s="17"/>
      <c r="G301" s="22" t="n">
        <f aca="false">COUNTIFS('Role Enclaves'!$D$7:$D$42,B301,'Role Enclaves'!$E$7:$E$42,C301,'Role Enclaves'!$B$7:$B$42,"&lt;&gt;"&amp;D301,'Role Enclaves'!$C$7:$C$42,"&lt;&gt;"&amp;E301)-IF(F301=C301,1,0)</f>
        <v>2</v>
      </c>
      <c r="H301" s="22" t="n">
        <f aca="false">COUNTIFS('Court Quorum'!$B$7:$B$24,B301,'Court Quorum'!$C$7:$C$24,"&lt;&gt;"&amp;D301,'Court Quorum'!$D$7:$D$24,"&lt;&gt;"&amp;E301)-IF(F301="Court",1,0)</f>
        <v>3</v>
      </c>
      <c r="I301" s="22" t="n">
        <f aca="false">Inputs!$B$10</f>
        <v>2</v>
      </c>
      <c r="J301" s="22" t="str">
        <f aca="false">IF(AND(G301&gt;=1,H301&gt;=I301),"PASS","FAIL")</f>
        <v>PASS</v>
      </c>
      <c r="K301" s="4"/>
      <c r="L301" s="4"/>
      <c r="M301" s="4"/>
      <c r="N301" s="4"/>
    </row>
    <row r="302" customFormat="false" ht="15" hidden="false" customHeight="false" outlineLevel="0" collapsed="false">
      <c r="A302" s="17" t="s">
        <v>348</v>
      </c>
      <c r="B302" s="17" t="s">
        <v>157</v>
      </c>
      <c r="C302" s="17" t="s">
        <v>145</v>
      </c>
      <c r="D302" s="17" t="s">
        <v>174</v>
      </c>
      <c r="E302" s="17"/>
      <c r="F302" s="17"/>
      <c r="G302" s="22" t="n">
        <f aca="false">COUNTIFS('Role Enclaves'!$D$7:$D$42,B302,'Role Enclaves'!$E$7:$E$42,C302,'Role Enclaves'!$B$7:$B$42,"&lt;&gt;"&amp;D302,'Role Enclaves'!$C$7:$C$42,"&lt;&gt;"&amp;E302)-IF(F302=C302,1,0)</f>
        <v>2</v>
      </c>
      <c r="H302" s="22" t="n">
        <f aca="false">COUNTIFS('Court Quorum'!$B$7:$B$24,B302,'Court Quorum'!$C$7:$C$24,"&lt;&gt;"&amp;D302,'Court Quorum'!$D$7:$D$24,"&lt;&gt;"&amp;E302)-IF(F302="Court",1,0)</f>
        <v>3</v>
      </c>
      <c r="I302" s="22" t="n">
        <f aca="false">Inputs!$B$10</f>
        <v>2</v>
      </c>
      <c r="J302" s="22" t="str">
        <f aca="false">IF(AND(G302&gt;=1,H302&gt;=I302),"PASS","FAIL")</f>
        <v>PASS</v>
      </c>
      <c r="K302" s="4"/>
      <c r="L302" s="4"/>
      <c r="M302" s="4"/>
      <c r="N302" s="4"/>
    </row>
    <row r="303" customFormat="false" ht="15" hidden="false" customHeight="false" outlineLevel="0" collapsed="false">
      <c r="A303" s="17" t="s">
        <v>348</v>
      </c>
      <c r="B303" s="17" t="s">
        <v>157</v>
      </c>
      <c r="C303" s="17" t="s">
        <v>142</v>
      </c>
      <c r="D303" s="17" t="s">
        <v>174</v>
      </c>
      <c r="E303" s="17"/>
      <c r="F303" s="17"/>
      <c r="G303" s="22" t="n">
        <f aca="false">COUNTIFS('Role Enclaves'!$D$7:$D$42,B303,'Role Enclaves'!$E$7:$E$42,C303,'Role Enclaves'!$B$7:$B$42,"&lt;&gt;"&amp;D303,'Role Enclaves'!$C$7:$C$42,"&lt;&gt;"&amp;E303)-IF(F303=C303,1,0)</f>
        <v>2</v>
      </c>
      <c r="H303" s="22" t="n">
        <f aca="false">COUNTIFS('Court Quorum'!$B$7:$B$24,B303,'Court Quorum'!$C$7:$C$24,"&lt;&gt;"&amp;D303,'Court Quorum'!$D$7:$D$24,"&lt;&gt;"&amp;E303)-IF(F303="Court",1,0)</f>
        <v>3</v>
      </c>
      <c r="I303" s="22" t="n">
        <f aca="false">Inputs!$B$10</f>
        <v>2</v>
      </c>
      <c r="J303" s="22" t="str">
        <f aca="false">IF(AND(G303&gt;=1,H303&gt;=I303),"PASS","FAIL")</f>
        <v>PASS</v>
      </c>
      <c r="K303" s="4"/>
      <c r="L303" s="4"/>
      <c r="M303" s="4"/>
      <c r="N303" s="4"/>
    </row>
    <row r="304" customFormat="false" ht="15" hidden="false" customHeight="false" outlineLevel="0" collapsed="false">
      <c r="A304" s="17" t="s">
        <v>348</v>
      </c>
      <c r="B304" s="17" t="s">
        <v>162</v>
      </c>
      <c r="C304" s="17" t="s">
        <v>141</v>
      </c>
      <c r="D304" s="17" t="s">
        <v>174</v>
      </c>
      <c r="E304" s="17"/>
      <c r="F304" s="17"/>
      <c r="G304" s="22" t="n">
        <f aca="false">COUNTIFS('Role Enclaves'!$D$7:$D$42,B304,'Role Enclaves'!$E$7:$E$42,C304,'Role Enclaves'!$B$7:$B$42,"&lt;&gt;"&amp;D304,'Role Enclaves'!$C$7:$C$42,"&lt;&gt;"&amp;E304)-IF(F304=C304,1,0)</f>
        <v>2</v>
      </c>
      <c r="H304" s="22" t="n">
        <f aca="false">COUNTIFS('Court Quorum'!$B$7:$B$24,B304,'Court Quorum'!$C$7:$C$24,"&lt;&gt;"&amp;D304,'Court Quorum'!$D$7:$D$24,"&lt;&gt;"&amp;E304)-IF(F304="Court",1,0)</f>
        <v>3</v>
      </c>
      <c r="I304" s="22" t="n">
        <f aca="false">Inputs!$B$10</f>
        <v>2</v>
      </c>
      <c r="J304" s="22" t="str">
        <f aca="false">IF(AND(G304&gt;=1,H304&gt;=I304),"PASS","FAIL")</f>
        <v>PASS</v>
      </c>
      <c r="K304" s="4"/>
      <c r="L304" s="4"/>
      <c r="M304" s="4"/>
      <c r="N304" s="4"/>
    </row>
    <row r="305" customFormat="false" ht="15" hidden="false" customHeight="false" outlineLevel="0" collapsed="false">
      <c r="A305" s="17" t="s">
        <v>348</v>
      </c>
      <c r="B305" s="17" t="s">
        <v>162</v>
      </c>
      <c r="C305" s="17" t="s">
        <v>145</v>
      </c>
      <c r="D305" s="17" t="s">
        <v>174</v>
      </c>
      <c r="E305" s="17"/>
      <c r="F305" s="17"/>
      <c r="G305" s="22" t="n">
        <f aca="false">COUNTIFS('Role Enclaves'!$D$7:$D$42,B305,'Role Enclaves'!$E$7:$E$42,C305,'Role Enclaves'!$B$7:$B$42,"&lt;&gt;"&amp;D305,'Role Enclaves'!$C$7:$C$42,"&lt;&gt;"&amp;E305)-IF(F305=C305,1,0)</f>
        <v>2</v>
      </c>
      <c r="H305" s="22" t="n">
        <f aca="false">COUNTIFS('Court Quorum'!$B$7:$B$24,B305,'Court Quorum'!$C$7:$C$24,"&lt;&gt;"&amp;D305,'Court Quorum'!$D$7:$D$24,"&lt;&gt;"&amp;E305)-IF(F305="Court",1,0)</f>
        <v>3</v>
      </c>
      <c r="I305" s="22" t="n">
        <f aca="false">Inputs!$B$10</f>
        <v>2</v>
      </c>
      <c r="J305" s="22" t="str">
        <f aca="false">IF(AND(G305&gt;=1,H305&gt;=I305),"PASS","FAIL")</f>
        <v>PASS</v>
      </c>
      <c r="K305" s="4"/>
      <c r="L305" s="4"/>
      <c r="M305" s="4"/>
      <c r="N305" s="4"/>
    </row>
    <row r="306" customFormat="false" ht="15" hidden="false" customHeight="false" outlineLevel="0" collapsed="false">
      <c r="A306" s="17" t="s">
        <v>348</v>
      </c>
      <c r="B306" s="17" t="s">
        <v>162</v>
      </c>
      <c r="C306" s="17" t="s">
        <v>142</v>
      </c>
      <c r="D306" s="17" t="s">
        <v>174</v>
      </c>
      <c r="E306" s="17"/>
      <c r="F306" s="17"/>
      <c r="G306" s="22" t="n">
        <f aca="false">COUNTIFS('Role Enclaves'!$D$7:$D$42,B306,'Role Enclaves'!$E$7:$E$42,C306,'Role Enclaves'!$B$7:$B$42,"&lt;&gt;"&amp;D306,'Role Enclaves'!$C$7:$C$42,"&lt;&gt;"&amp;E306)-IF(F306=C306,1,0)</f>
        <v>2</v>
      </c>
      <c r="H306" s="22" t="n">
        <f aca="false">COUNTIFS('Court Quorum'!$B$7:$B$24,B306,'Court Quorum'!$C$7:$C$24,"&lt;&gt;"&amp;D306,'Court Quorum'!$D$7:$D$24,"&lt;&gt;"&amp;E306)-IF(F306="Court",1,0)</f>
        <v>3</v>
      </c>
      <c r="I306" s="22" t="n">
        <f aca="false">Inputs!$B$10</f>
        <v>2</v>
      </c>
      <c r="J306" s="22" t="str">
        <f aca="false">IF(AND(G306&gt;=1,H306&gt;=I306),"PASS","FAIL")</f>
        <v>PASS</v>
      </c>
      <c r="K306" s="4"/>
      <c r="L306" s="4"/>
      <c r="M306" s="4"/>
      <c r="N306" s="4"/>
    </row>
    <row r="307" customFormat="false" ht="15" hidden="false" customHeight="false" outlineLevel="0" collapsed="false">
      <c r="A307" s="17" t="s">
        <v>348</v>
      </c>
      <c r="B307" s="17" t="s">
        <v>167</v>
      </c>
      <c r="C307" s="17" t="s">
        <v>141</v>
      </c>
      <c r="D307" s="17" t="s">
        <v>174</v>
      </c>
      <c r="E307" s="17"/>
      <c r="F307" s="17"/>
      <c r="G307" s="22" t="n">
        <f aca="false">COUNTIFS('Role Enclaves'!$D$7:$D$42,B307,'Role Enclaves'!$E$7:$E$42,C307,'Role Enclaves'!$B$7:$B$42,"&lt;&gt;"&amp;D307,'Role Enclaves'!$C$7:$C$42,"&lt;&gt;"&amp;E307)-IF(F307=C307,1,0)</f>
        <v>2</v>
      </c>
      <c r="H307" s="22" t="n">
        <f aca="false">COUNTIFS('Court Quorum'!$B$7:$B$24,B307,'Court Quorum'!$C$7:$C$24,"&lt;&gt;"&amp;D307,'Court Quorum'!$D$7:$D$24,"&lt;&gt;"&amp;E307)-IF(F307="Court",1,0)</f>
        <v>3</v>
      </c>
      <c r="I307" s="22" t="n">
        <f aca="false">Inputs!$B$10</f>
        <v>2</v>
      </c>
      <c r="J307" s="22" t="str">
        <f aca="false">IF(AND(G307&gt;=1,H307&gt;=I307),"PASS","FAIL")</f>
        <v>PASS</v>
      </c>
      <c r="K307" s="4"/>
      <c r="L307" s="4"/>
      <c r="M307" s="4"/>
      <c r="N307" s="4"/>
    </row>
    <row r="308" customFormat="false" ht="15" hidden="false" customHeight="false" outlineLevel="0" collapsed="false">
      <c r="A308" s="17" t="s">
        <v>348</v>
      </c>
      <c r="B308" s="17" t="s">
        <v>167</v>
      </c>
      <c r="C308" s="17" t="s">
        <v>145</v>
      </c>
      <c r="D308" s="17" t="s">
        <v>174</v>
      </c>
      <c r="E308" s="17"/>
      <c r="F308" s="17"/>
      <c r="G308" s="22" t="n">
        <f aca="false">COUNTIFS('Role Enclaves'!$D$7:$D$42,B308,'Role Enclaves'!$E$7:$E$42,C308,'Role Enclaves'!$B$7:$B$42,"&lt;&gt;"&amp;D308,'Role Enclaves'!$C$7:$C$42,"&lt;&gt;"&amp;E308)-IF(F308=C308,1,0)</f>
        <v>2</v>
      </c>
      <c r="H308" s="22" t="n">
        <f aca="false">COUNTIFS('Court Quorum'!$B$7:$B$24,B308,'Court Quorum'!$C$7:$C$24,"&lt;&gt;"&amp;D308,'Court Quorum'!$D$7:$D$24,"&lt;&gt;"&amp;E308)-IF(F308="Court",1,0)</f>
        <v>3</v>
      </c>
      <c r="I308" s="22" t="n">
        <f aca="false">Inputs!$B$10</f>
        <v>2</v>
      </c>
      <c r="J308" s="22" t="str">
        <f aca="false">IF(AND(G308&gt;=1,H308&gt;=I308),"PASS","FAIL")</f>
        <v>PASS</v>
      </c>
      <c r="K308" s="4"/>
      <c r="L308" s="4"/>
      <c r="M308" s="4"/>
      <c r="N308" s="4"/>
    </row>
    <row r="309" customFormat="false" ht="15" hidden="false" customHeight="false" outlineLevel="0" collapsed="false">
      <c r="A309" s="17" t="s">
        <v>348</v>
      </c>
      <c r="B309" s="17" t="s">
        <v>167</v>
      </c>
      <c r="C309" s="17" t="s">
        <v>142</v>
      </c>
      <c r="D309" s="17" t="s">
        <v>174</v>
      </c>
      <c r="E309" s="17"/>
      <c r="F309" s="17"/>
      <c r="G309" s="22" t="n">
        <f aca="false">COUNTIFS('Role Enclaves'!$D$7:$D$42,B309,'Role Enclaves'!$E$7:$E$42,C309,'Role Enclaves'!$B$7:$B$42,"&lt;&gt;"&amp;D309,'Role Enclaves'!$C$7:$C$42,"&lt;&gt;"&amp;E309)-IF(F309=C309,1,0)</f>
        <v>2</v>
      </c>
      <c r="H309" s="22" t="n">
        <f aca="false">COUNTIFS('Court Quorum'!$B$7:$B$24,B309,'Court Quorum'!$C$7:$C$24,"&lt;&gt;"&amp;D309,'Court Quorum'!$D$7:$D$24,"&lt;&gt;"&amp;E309)-IF(F309="Court",1,0)</f>
        <v>3</v>
      </c>
      <c r="I309" s="22" t="n">
        <f aca="false">Inputs!$B$10</f>
        <v>2</v>
      </c>
      <c r="J309" s="22" t="str">
        <f aca="false">IF(AND(G309&gt;=1,H309&gt;=I309),"PASS","FAIL")</f>
        <v>PASS</v>
      </c>
      <c r="K309" s="4"/>
      <c r="L309" s="4"/>
      <c r="M309" s="4"/>
      <c r="N309" s="4"/>
    </row>
    <row r="310" customFormat="false" ht="15" hidden="false" customHeight="false" outlineLevel="0" collapsed="false">
      <c r="A310" s="17" t="s">
        <v>348</v>
      </c>
      <c r="B310" s="17" t="s">
        <v>172</v>
      </c>
      <c r="C310" s="17" t="s">
        <v>141</v>
      </c>
      <c r="D310" s="17" t="s">
        <v>174</v>
      </c>
      <c r="E310" s="17"/>
      <c r="F310" s="17"/>
      <c r="G310" s="22" t="n">
        <f aca="false">COUNTIFS('Role Enclaves'!$D$7:$D$42,B310,'Role Enclaves'!$E$7:$E$42,C310,'Role Enclaves'!$B$7:$B$42,"&lt;&gt;"&amp;D310,'Role Enclaves'!$C$7:$C$42,"&lt;&gt;"&amp;E310)-IF(F310=C310,1,0)</f>
        <v>1</v>
      </c>
      <c r="H310" s="22" t="n">
        <f aca="false">COUNTIFS('Court Quorum'!$B$7:$B$24,B310,'Court Quorum'!$C$7:$C$24,"&lt;&gt;"&amp;D310,'Court Quorum'!$D$7:$D$24,"&lt;&gt;"&amp;E310)-IF(F310="Court",1,0)</f>
        <v>2</v>
      </c>
      <c r="I310" s="22" t="n">
        <f aca="false">Inputs!$B$10</f>
        <v>2</v>
      </c>
      <c r="J310" s="22" t="str">
        <f aca="false">IF(AND(G310&gt;=1,H310&gt;=I310),"PASS","FAIL")</f>
        <v>PASS</v>
      </c>
      <c r="K310" s="4"/>
      <c r="L310" s="4"/>
      <c r="M310" s="4"/>
      <c r="N310" s="4"/>
    </row>
    <row r="311" customFormat="false" ht="15" hidden="false" customHeight="false" outlineLevel="0" collapsed="false">
      <c r="A311" s="17" t="s">
        <v>348</v>
      </c>
      <c r="B311" s="17" t="s">
        <v>172</v>
      </c>
      <c r="C311" s="17" t="s">
        <v>145</v>
      </c>
      <c r="D311" s="17" t="s">
        <v>174</v>
      </c>
      <c r="E311" s="17"/>
      <c r="F311" s="17"/>
      <c r="G311" s="22" t="n">
        <f aca="false">COUNTIFS('Role Enclaves'!$D$7:$D$42,B311,'Role Enclaves'!$E$7:$E$42,C311,'Role Enclaves'!$B$7:$B$42,"&lt;&gt;"&amp;D311,'Role Enclaves'!$C$7:$C$42,"&lt;&gt;"&amp;E311)-IF(F311=C311,1,0)</f>
        <v>1</v>
      </c>
      <c r="H311" s="22" t="n">
        <f aca="false">COUNTIFS('Court Quorum'!$B$7:$B$24,B311,'Court Quorum'!$C$7:$C$24,"&lt;&gt;"&amp;D311,'Court Quorum'!$D$7:$D$24,"&lt;&gt;"&amp;E311)-IF(F311="Court",1,0)</f>
        <v>2</v>
      </c>
      <c r="I311" s="22" t="n">
        <f aca="false">Inputs!$B$10</f>
        <v>2</v>
      </c>
      <c r="J311" s="22" t="str">
        <f aca="false">IF(AND(G311&gt;=1,H311&gt;=I311),"PASS","FAIL")</f>
        <v>PASS</v>
      </c>
      <c r="K311" s="4"/>
      <c r="L311" s="4"/>
      <c r="M311" s="4"/>
      <c r="N311" s="4"/>
    </row>
    <row r="312" customFormat="false" ht="15" hidden="false" customHeight="false" outlineLevel="0" collapsed="false">
      <c r="A312" s="17" t="s">
        <v>348</v>
      </c>
      <c r="B312" s="17" t="s">
        <v>172</v>
      </c>
      <c r="C312" s="17" t="s">
        <v>142</v>
      </c>
      <c r="D312" s="17" t="s">
        <v>174</v>
      </c>
      <c r="E312" s="17"/>
      <c r="F312" s="17"/>
      <c r="G312" s="22" t="n">
        <f aca="false">COUNTIFS('Role Enclaves'!$D$7:$D$42,B312,'Role Enclaves'!$E$7:$E$42,C312,'Role Enclaves'!$B$7:$B$42,"&lt;&gt;"&amp;D312,'Role Enclaves'!$C$7:$C$42,"&lt;&gt;"&amp;E312)-IF(F312=C312,1,0)</f>
        <v>2</v>
      </c>
      <c r="H312" s="22" t="n">
        <f aca="false">COUNTIFS('Court Quorum'!$B$7:$B$24,B312,'Court Quorum'!$C$7:$C$24,"&lt;&gt;"&amp;D312,'Court Quorum'!$D$7:$D$24,"&lt;&gt;"&amp;E312)-IF(F312="Court",1,0)</f>
        <v>2</v>
      </c>
      <c r="I312" s="22" t="n">
        <f aca="false">Inputs!$B$10</f>
        <v>2</v>
      </c>
      <c r="J312" s="22" t="str">
        <f aca="false">IF(AND(G312&gt;=1,H312&gt;=I312),"PASS","FAIL")</f>
        <v>PASS</v>
      </c>
      <c r="K312" s="4"/>
      <c r="L312" s="4"/>
      <c r="M312" s="4"/>
      <c r="N312" s="4"/>
    </row>
    <row r="313" customFormat="false" ht="15" hidden="false" customHeight="false" outlineLevel="0" collapsed="false">
      <c r="A313" s="17" t="s">
        <v>349</v>
      </c>
      <c r="B313" s="17" t="s">
        <v>138</v>
      </c>
      <c r="C313" s="17" t="s">
        <v>141</v>
      </c>
      <c r="D313" s="17" t="s">
        <v>175</v>
      </c>
      <c r="E313" s="17"/>
      <c r="F313" s="17"/>
      <c r="G313" s="22" t="n">
        <f aca="false">COUNTIFS('Role Enclaves'!$D$7:$D$42,B313,'Role Enclaves'!$E$7:$E$42,C313,'Role Enclaves'!$B$7:$B$42,"&lt;&gt;"&amp;D313,'Role Enclaves'!$C$7:$C$42,"&lt;&gt;"&amp;E313)-IF(F313=C313,1,0)</f>
        <v>2</v>
      </c>
      <c r="H313" s="22" t="n">
        <f aca="false">COUNTIFS('Court Quorum'!$B$7:$B$24,B313,'Court Quorum'!$C$7:$C$24,"&lt;&gt;"&amp;D313,'Court Quorum'!$D$7:$D$24,"&lt;&gt;"&amp;E313)-IF(F313="Court",1,0)</f>
        <v>3</v>
      </c>
      <c r="I313" s="22" t="n">
        <f aca="false">Inputs!$B$10</f>
        <v>2</v>
      </c>
      <c r="J313" s="22" t="str">
        <f aca="false">IF(AND(G313&gt;=1,H313&gt;=I313),"PASS","FAIL")</f>
        <v>PASS</v>
      </c>
      <c r="K313" s="4"/>
      <c r="L313" s="4"/>
      <c r="M313" s="4"/>
      <c r="N313" s="4"/>
    </row>
    <row r="314" customFormat="false" ht="15" hidden="false" customHeight="false" outlineLevel="0" collapsed="false">
      <c r="A314" s="17" t="s">
        <v>349</v>
      </c>
      <c r="B314" s="17" t="s">
        <v>138</v>
      </c>
      <c r="C314" s="17" t="s">
        <v>145</v>
      </c>
      <c r="D314" s="17" t="s">
        <v>175</v>
      </c>
      <c r="E314" s="17"/>
      <c r="F314" s="17"/>
      <c r="G314" s="22" t="n">
        <f aca="false">COUNTIFS('Role Enclaves'!$D$7:$D$42,B314,'Role Enclaves'!$E$7:$E$42,C314,'Role Enclaves'!$B$7:$B$42,"&lt;&gt;"&amp;D314,'Role Enclaves'!$C$7:$C$42,"&lt;&gt;"&amp;E314)-IF(F314=C314,1,0)</f>
        <v>2</v>
      </c>
      <c r="H314" s="22" t="n">
        <f aca="false">COUNTIFS('Court Quorum'!$B$7:$B$24,B314,'Court Quorum'!$C$7:$C$24,"&lt;&gt;"&amp;D314,'Court Quorum'!$D$7:$D$24,"&lt;&gt;"&amp;E314)-IF(F314="Court",1,0)</f>
        <v>3</v>
      </c>
      <c r="I314" s="22" t="n">
        <f aca="false">Inputs!$B$10</f>
        <v>2</v>
      </c>
      <c r="J314" s="22" t="str">
        <f aca="false">IF(AND(G314&gt;=1,H314&gt;=I314),"PASS","FAIL")</f>
        <v>PASS</v>
      </c>
      <c r="K314" s="4"/>
      <c r="L314" s="4"/>
      <c r="M314" s="4"/>
      <c r="N314" s="4"/>
    </row>
    <row r="315" customFormat="false" ht="15" hidden="false" customHeight="false" outlineLevel="0" collapsed="false">
      <c r="A315" s="17" t="s">
        <v>349</v>
      </c>
      <c r="B315" s="17" t="s">
        <v>138</v>
      </c>
      <c r="C315" s="17" t="s">
        <v>142</v>
      </c>
      <c r="D315" s="17" t="s">
        <v>175</v>
      </c>
      <c r="E315" s="17"/>
      <c r="F315" s="17"/>
      <c r="G315" s="22" t="n">
        <f aca="false">COUNTIFS('Role Enclaves'!$D$7:$D$42,B315,'Role Enclaves'!$E$7:$E$42,C315,'Role Enclaves'!$B$7:$B$42,"&lt;&gt;"&amp;D315,'Role Enclaves'!$C$7:$C$42,"&lt;&gt;"&amp;E315)-IF(F315=C315,1,0)</f>
        <v>2</v>
      </c>
      <c r="H315" s="22" t="n">
        <f aca="false">COUNTIFS('Court Quorum'!$B$7:$B$24,B315,'Court Quorum'!$C$7:$C$24,"&lt;&gt;"&amp;D315,'Court Quorum'!$D$7:$D$24,"&lt;&gt;"&amp;E315)-IF(F315="Court",1,0)</f>
        <v>3</v>
      </c>
      <c r="I315" s="22" t="n">
        <f aca="false">Inputs!$B$10</f>
        <v>2</v>
      </c>
      <c r="J315" s="22" t="str">
        <f aca="false">IF(AND(G315&gt;=1,H315&gt;=I315),"PASS","FAIL")</f>
        <v>PASS</v>
      </c>
      <c r="K315" s="4"/>
      <c r="L315" s="4"/>
      <c r="M315" s="4"/>
      <c r="N315" s="4"/>
    </row>
    <row r="316" customFormat="false" ht="15" hidden="false" customHeight="false" outlineLevel="0" collapsed="false">
      <c r="A316" s="17" t="s">
        <v>349</v>
      </c>
      <c r="B316" s="17" t="s">
        <v>149</v>
      </c>
      <c r="C316" s="17" t="s">
        <v>141</v>
      </c>
      <c r="D316" s="17" t="s">
        <v>175</v>
      </c>
      <c r="E316" s="17"/>
      <c r="F316" s="17"/>
      <c r="G316" s="22" t="n">
        <f aca="false">COUNTIFS('Role Enclaves'!$D$7:$D$42,B316,'Role Enclaves'!$E$7:$E$42,C316,'Role Enclaves'!$B$7:$B$42,"&lt;&gt;"&amp;D316,'Role Enclaves'!$C$7:$C$42,"&lt;&gt;"&amp;E316)-IF(F316=C316,1,0)</f>
        <v>2</v>
      </c>
      <c r="H316" s="22" t="n">
        <f aca="false">COUNTIFS('Court Quorum'!$B$7:$B$24,B316,'Court Quorum'!$C$7:$C$24,"&lt;&gt;"&amp;D316,'Court Quorum'!$D$7:$D$24,"&lt;&gt;"&amp;E316)-IF(F316="Court",1,0)</f>
        <v>3</v>
      </c>
      <c r="I316" s="22" t="n">
        <f aca="false">Inputs!$B$10</f>
        <v>2</v>
      </c>
      <c r="J316" s="22" t="str">
        <f aca="false">IF(AND(G316&gt;=1,H316&gt;=I316),"PASS","FAIL")</f>
        <v>PASS</v>
      </c>
      <c r="K316" s="4"/>
      <c r="L316" s="4"/>
      <c r="M316" s="4"/>
      <c r="N316" s="4"/>
    </row>
    <row r="317" customFormat="false" ht="15" hidden="false" customHeight="false" outlineLevel="0" collapsed="false">
      <c r="A317" s="17" t="s">
        <v>349</v>
      </c>
      <c r="B317" s="17" t="s">
        <v>149</v>
      </c>
      <c r="C317" s="17" t="s">
        <v>145</v>
      </c>
      <c r="D317" s="17" t="s">
        <v>175</v>
      </c>
      <c r="E317" s="17"/>
      <c r="F317" s="17"/>
      <c r="G317" s="22" t="n">
        <f aca="false">COUNTIFS('Role Enclaves'!$D$7:$D$42,B317,'Role Enclaves'!$E$7:$E$42,C317,'Role Enclaves'!$B$7:$B$42,"&lt;&gt;"&amp;D317,'Role Enclaves'!$C$7:$C$42,"&lt;&gt;"&amp;E317)-IF(F317=C317,1,0)</f>
        <v>2</v>
      </c>
      <c r="H317" s="22" t="n">
        <f aca="false">COUNTIFS('Court Quorum'!$B$7:$B$24,B317,'Court Quorum'!$C$7:$C$24,"&lt;&gt;"&amp;D317,'Court Quorum'!$D$7:$D$24,"&lt;&gt;"&amp;E317)-IF(F317="Court",1,0)</f>
        <v>3</v>
      </c>
      <c r="I317" s="22" t="n">
        <f aca="false">Inputs!$B$10</f>
        <v>2</v>
      </c>
      <c r="J317" s="22" t="str">
        <f aca="false">IF(AND(G317&gt;=1,H317&gt;=I317),"PASS","FAIL")</f>
        <v>PASS</v>
      </c>
      <c r="K317" s="4"/>
      <c r="L317" s="4"/>
      <c r="M317" s="4"/>
      <c r="N317" s="4"/>
    </row>
    <row r="318" customFormat="false" ht="15" hidden="false" customHeight="false" outlineLevel="0" collapsed="false">
      <c r="A318" s="17" t="s">
        <v>349</v>
      </c>
      <c r="B318" s="17" t="s">
        <v>149</v>
      </c>
      <c r="C318" s="17" t="s">
        <v>142</v>
      </c>
      <c r="D318" s="17" t="s">
        <v>175</v>
      </c>
      <c r="E318" s="17"/>
      <c r="F318" s="17"/>
      <c r="G318" s="22" t="n">
        <f aca="false">COUNTIFS('Role Enclaves'!$D$7:$D$42,B318,'Role Enclaves'!$E$7:$E$42,C318,'Role Enclaves'!$B$7:$B$42,"&lt;&gt;"&amp;D318,'Role Enclaves'!$C$7:$C$42,"&lt;&gt;"&amp;E318)-IF(F318=C318,1,0)</f>
        <v>2</v>
      </c>
      <c r="H318" s="22" t="n">
        <f aca="false">COUNTIFS('Court Quorum'!$B$7:$B$24,B318,'Court Quorum'!$C$7:$C$24,"&lt;&gt;"&amp;D318,'Court Quorum'!$D$7:$D$24,"&lt;&gt;"&amp;E318)-IF(F318="Court",1,0)</f>
        <v>3</v>
      </c>
      <c r="I318" s="22" t="n">
        <f aca="false">Inputs!$B$10</f>
        <v>2</v>
      </c>
      <c r="J318" s="22" t="str">
        <f aca="false">IF(AND(G318&gt;=1,H318&gt;=I318),"PASS","FAIL")</f>
        <v>PASS</v>
      </c>
      <c r="K318" s="4"/>
      <c r="L318" s="4"/>
      <c r="M318" s="4"/>
      <c r="N318" s="4"/>
    </row>
    <row r="319" customFormat="false" ht="15" hidden="false" customHeight="false" outlineLevel="0" collapsed="false">
      <c r="A319" s="17" t="s">
        <v>349</v>
      </c>
      <c r="B319" s="17" t="s">
        <v>157</v>
      </c>
      <c r="C319" s="17" t="s">
        <v>141</v>
      </c>
      <c r="D319" s="17" t="s">
        <v>175</v>
      </c>
      <c r="E319" s="17"/>
      <c r="F319" s="17"/>
      <c r="G319" s="22" t="n">
        <f aca="false">COUNTIFS('Role Enclaves'!$D$7:$D$42,B319,'Role Enclaves'!$E$7:$E$42,C319,'Role Enclaves'!$B$7:$B$42,"&lt;&gt;"&amp;D319,'Role Enclaves'!$C$7:$C$42,"&lt;&gt;"&amp;E319)-IF(F319=C319,1,0)</f>
        <v>2</v>
      </c>
      <c r="H319" s="22" t="n">
        <f aca="false">COUNTIFS('Court Quorum'!$B$7:$B$24,B319,'Court Quorum'!$C$7:$C$24,"&lt;&gt;"&amp;D319,'Court Quorum'!$D$7:$D$24,"&lt;&gt;"&amp;E319)-IF(F319="Court",1,0)</f>
        <v>3</v>
      </c>
      <c r="I319" s="22" t="n">
        <f aca="false">Inputs!$B$10</f>
        <v>2</v>
      </c>
      <c r="J319" s="22" t="str">
        <f aca="false">IF(AND(G319&gt;=1,H319&gt;=I319),"PASS","FAIL")</f>
        <v>PASS</v>
      </c>
      <c r="K319" s="4"/>
      <c r="L319" s="4"/>
      <c r="M319" s="4"/>
      <c r="N319" s="4"/>
    </row>
    <row r="320" customFormat="false" ht="15" hidden="false" customHeight="false" outlineLevel="0" collapsed="false">
      <c r="A320" s="17" t="s">
        <v>349</v>
      </c>
      <c r="B320" s="17" t="s">
        <v>157</v>
      </c>
      <c r="C320" s="17" t="s">
        <v>145</v>
      </c>
      <c r="D320" s="17" t="s">
        <v>175</v>
      </c>
      <c r="E320" s="17"/>
      <c r="F320" s="17"/>
      <c r="G320" s="22" t="n">
        <f aca="false">COUNTIFS('Role Enclaves'!$D$7:$D$42,B320,'Role Enclaves'!$E$7:$E$42,C320,'Role Enclaves'!$B$7:$B$42,"&lt;&gt;"&amp;D320,'Role Enclaves'!$C$7:$C$42,"&lt;&gt;"&amp;E320)-IF(F320=C320,1,0)</f>
        <v>2</v>
      </c>
      <c r="H320" s="22" t="n">
        <f aca="false">COUNTIFS('Court Quorum'!$B$7:$B$24,B320,'Court Quorum'!$C$7:$C$24,"&lt;&gt;"&amp;D320,'Court Quorum'!$D$7:$D$24,"&lt;&gt;"&amp;E320)-IF(F320="Court",1,0)</f>
        <v>3</v>
      </c>
      <c r="I320" s="22" t="n">
        <f aca="false">Inputs!$B$10</f>
        <v>2</v>
      </c>
      <c r="J320" s="22" t="str">
        <f aca="false">IF(AND(G320&gt;=1,H320&gt;=I320),"PASS","FAIL")</f>
        <v>PASS</v>
      </c>
      <c r="K320" s="4"/>
      <c r="L320" s="4"/>
      <c r="M320" s="4"/>
      <c r="N320" s="4"/>
    </row>
    <row r="321" customFormat="false" ht="15" hidden="false" customHeight="false" outlineLevel="0" collapsed="false">
      <c r="A321" s="17" t="s">
        <v>349</v>
      </c>
      <c r="B321" s="17" t="s">
        <v>157</v>
      </c>
      <c r="C321" s="17" t="s">
        <v>142</v>
      </c>
      <c r="D321" s="17" t="s">
        <v>175</v>
      </c>
      <c r="E321" s="17"/>
      <c r="F321" s="17"/>
      <c r="G321" s="22" t="n">
        <f aca="false">COUNTIFS('Role Enclaves'!$D$7:$D$42,B321,'Role Enclaves'!$E$7:$E$42,C321,'Role Enclaves'!$B$7:$B$42,"&lt;&gt;"&amp;D321,'Role Enclaves'!$C$7:$C$42,"&lt;&gt;"&amp;E321)-IF(F321=C321,1,0)</f>
        <v>2</v>
      </c>
      <c r="H321" s="22" t="n">
        <f aca="false">COUNTIFS('Court Quorum'!$B$7:$B$24,B321,'Court Quorum'!$C$7:$C$24,"&lt;&gt;"&amp;D321,'Court Quorum'!$D$7:$D$24,"&lt;&gt;"&amp;E321)-IF(F321="Court",1,0)</f>
        <v>3</v>
      </c>
      <c r="I321" s="22" t="n">
        <f aca="false">Inputs!$B$10</f>
        <v>2</v>
      </c>
      <c r="J321" s="22" t="str">
        <f aca="false">IF(AND(G321&gt;=1,H321&gt;=I321),"PASS","FAIL")</f>
        <v>PASS</v>
      </c>
      <c r="K321" s="4"/>
      <c r="L321" s="4"/>
      <c r="M321" s="4"/>
      <c r="N321" s="4"/>
    </row>
    <row r="322" customFormat="false" ht="15" hidden="false" customHeight="false" outlineLevel="0" collapsed="false">
      <c r="A322" s="17" t="s">
        <v>349</v>
      </c>
      <c r="B322" s="17" t="s">
        <v>162</v>
      </c>
      <c r="C322" s="17" t="s">
        <v>141</v>
      </c>
      <c r="D322" s="17" t="s">
        <v>175</v>
      </c>
      <c r="E322" s="17"/>
      <c r="F322" s="17"/>
      <c r="G322" s="22" t="n">
        <f aca="false">COUNTIFS('Role Enclaves'!$D$7:$D$42,B322,'Role Enclaves'!$E$7:$E$42,C322,'Role Enclaves'!$B$7:$B$42,"&lt;&gt;"&amp;D322,'Role Enclaves'!$C$7:$C$42,"&lt;&gt;"&amp;E322)-IF(F322=C322,1,0)</f>
        <v>2</v>
      </c>
      <c r="H322" s="22" t="n">
        <f aca="false">COUNTIFS('Court Quorum'!$B$7:$B$24,B322,'Court Quorum'!$C$7:$C$24,"&lt;&gt;"&amp;D322,'Court Quorum'!$D$7:$D$24,"&lt;&gt;"&amp;E322)-IF(F322="Court",1,0)</f>
        <v>3</v>
      </c>
      <c r="I322" s="22" t="n">
        <f aca="false">Inputs!$B$10</f>
        <v>2</v>
      </c>
      <c r="J322" s="22" t="str">
        <f aca="false">IF(AND(G322&gt;=1,H322&gt;=I322),"PASS","FAIL")</f>
        <v>PASS</v>
      </c>
      <c r="K322" s="4"/>
      <c r="L322" s="4"/>
      <c r="M322" s="4"/>
      <c r="N322" s="4"/>
    </row>
    <row r="323" customFormat="false" ht="15" hidden="false" customHeight="false" outlineLevel="0" collapsed="false">
      <c r="A323" s="17" t="s">
        <v>349</v>
      </c>
      <c r="B323" s="17" t="s">
        <v>162</v>
      </c>
      <c r="C323" s="17" t="s">
        <v>145</v>
      </c>
      <c r="D323" s="17" t="s">
        <v>175</v>
      </c>
      <c r="E323" s="17"/>
      <c r="F323" s="17"/>
      <c r="G323" s="22" t="n">
        <f aca="false">COUNTIFS('Role Enclaves'!$D$7:$D$42,B323,'Role Enclaves'!$E$7:$E$42,C323,'Role Enclaves'!$B$7:$B$42,"&lt;&gt;"&amp;D323,'Role Enclaves'!$C$7:$C$42,"&lt;&gt;"&amp;E323)-IF(F323=C323,1,0)</f>
        <v>2</v>
      </c>
      <c r="H323" s="22" t="n">
        <f aca="false">COUNTIFS('Court Quorum'!$B$7:$B$24,B323,'Court Quorum'!$C$7:$C$24,"&lt;&gt;"&amp;D323,'Court Quorum'!$D$7:$D$24,"&lt;&gt;"&amp;E323)-IF(F323="Court",1,0)</f>
        <v>3</v>
      </c>
      <c r="I323" s="22" t="n">
        <f aca="false">Inputs!$B$10</f>
        <v>2</v>
      </c>
      <c r="J323" s="22" t="str">
        <f aca="false">IF(AND(G323&gt;=1,H323&gt;=I323),"PASS","FAIL")</f>
        <v>PASS</v>
      </c>
      <c r="K323" s="4"/>
      <c r="L323" s="4"/>
      <c r="M323" s="4"/>
      <c r="N323" s="4"/>
    </row>
    <row r="324" customFormat="false" ht="15" hidden="false" customHeight="false" outlineLevel="0" collapsed="false">
      <c r="A324" s="17" t="s">
        <v>349</v>
      </c>
      <c r="B324" s="17" t="s">
        <v>162</v>
      </c>
      <c r="C324" s="17" t="s">
        <v>142</v>
      </c>
      <c r="D324" s="17" t="s">
        <v>175</v>
      </c>
      <c r="E324" s="17"/>
      <c r="F324" s="17"/>
      <c r="G324" s="22" t="n">
        <f aca="false">COUNTIFS('Role Enclaves'!$D$7:$D$42,B324,'Role Enclaves'!$E$7:$E$42,C324,'Role Enclaves'!$B$7:$B$42,"&lt;&gt;"&amp;D324,'Role Enclaves'!$C$7:$C$42,"&lt;&gt;"&amp;E324)-IF(F324=C324,1,0)</f>
        <v>2</v>
      </c>
      <c r="H324" s="22" t="n">
        <f aca="false">COUNTIFS('Court Quorum'!$B$7:$B$24,B324,'Court Quorum'!$C$7:$C$24,"&lt;&gt;"&amp;D324,'Court Quorum'!$D$7:$D$24,"&lt;&gt;"&amp;E324)-IF(F324="Court",1,0)</f>
        <v>3</v>
      </c>
      <c r="I324" s="22" t="n">
        <f aca="false">Inputs!$B$10</f>
        <v>2</v>
      </c>
      <c r="J324" s="22" t="str">
        <f aca="false">IF(AND(G324&gt;=1,H324&gt;=I324),"PASS","FAIL")</f>
        <v>PASS</v>
      </c>
      <c r="K324" s="4"/>
      <c r="L324" s="4"/>
      <c r="M324" s="4"/>
      <c r="N324" s="4"/>
    </row>
    <row r="325" customFormat="false" ht="15" hidden="false" customHeight="false" outlineLevel="0" collapsed="false">
      <c r="A325" s="17" t="s">
        <v>349</v>
      </c>
      <c r="B325" s="17" t="s">
        <v>167</v>
      </c>
      <c r="C325" s="17" t="s">
        <v>141</v>
      </c>
      <c r="D325" s="17" t="s">
        <v>175</v>
      </c>
      <c r="E325" s="17"/>
      <c r="F325" s="17"/>
      <c r="G325" s="22" t="n">
        <f aca="false">COUNTIFS('Role Enclaves'!$D$7:$D$42,B325,'Role Enclaves'!$E$7:$E$42,C325,'Role Enclaves'!$B$7:$B$42,"&lt;&gt;"&amp;D325,'Role Enclaves'!$C$7:$C$42,"&lt;&gt;"&amp;E325)-IF(F325=C325,1,0)</f>
        <v>2</v>
      </c>
      <c r="H325" s="22" t="n">
        <f aca="false">COUNTIFS('Court Quorum'!$B$7:$B$24,B325,'Court Quorum'!$C$7:$C$24,"&lt;&gt;"&amp;D325,'Court Quorum'!$D$7:$D$24,"&lt;&gt;"&amp;E325)-IF(F325="Court",1,0)</f>
        <v>3</v>
      </c>
      <c r="I325" s="22" t="n">
        <f aca="false">Inputs!$B$10</f>
        <v>2</v>
      </c>
      <c r="J325" s="22" t="str">
        <f aca="false">IF(AND(G325&gt;=1,H325&gt;=I325),"PASS","FAIL")</f>
        <v>PASS</v>
      </c>
      <c r="K325" s="4"/>
      <c r="L325" s="4"/>
      <c r="M325" s="4"/>
      <c r="N325" s="4"/>
    </row>
    <row r="326" customFormat="false" ht="15" hidden="false" customHeight="false" outlineLevel="0" collapsed="false">
      <c r="A326" s="17" t="s">
        <v>349</v>
      </c>
      <c r="B326" s="17" t="s">
        <v>167</v>
      </c>
      <c r="C326" s="17" t="s">
        <v>145</v>
      </c>
      <c r="D326" s="17" t="s">
        <v>175</v>
      </c>
      <c r="E326" s="17"/>
      <c r="F326" s="17"/>
      <c r="G326" s="22" t="n">
        <f aca="false">COUNTIFS('Role Enclaves'!$D$7:$D$42,B326,'Role Enclaves'!$E$7:$E$42,C326,'Role Enclaves'!$B$7:$B$42,"&lt;&gt;"&amp;D326,'Role Enclaves'!$C$7:$C$42,"&lt;&gt;"&amp;E326)-IF(F326=C326,1,0)</f>
        <v>2</v>
      </c>
      <c r="H326" s="22" t="n">
        <f aca="false">COUNTIFS('Court Quorum'!$B$7:$B$24,B326,'Court Quorum'!$C$7:$C$24,"&lt;&gt;"&amp;D326,'Court Quorum'!$D$7:$D$24,"&lt;&gt;"&amp;E326)-IF(F326="Court",1,0)</f>
        <v>3</v>
      </c>
      <c r="I326" s="22" t="n">
        <f aca="false">Inputs!$B$10</f>
        <v>2</v>
      </c>
      <c r="J326" s="22" t="str">
        <f aca="false">IF(AND(G326&gt;=1,H326&gt;=I326),"PASS","FAIL")</f>
        <v>PASS</v>
      </c>
      <c r="K326" s="4"/>
      <c r="L326" s="4"/>
      <c r="M326" s="4"/>
      <c r="N326" s="4"/>
    </row>
    <row r="327" customFormat="false" ht="15" hidden="false" customHeight="false" outlineLevel="0" collapsed="false">
      <c r="A327" s="17" t="s">
        <v>349</v>
      </c>
      <c r="B327" s="17" t="s">
        <v>167</v>
      </c>
      <c r="C327" s="17" t="s">
        <v>142</v>
      </c>
      <c r="D327" s="17" t="s">
        <v>175</v>
      </c>
      <c r="E327" s="17"/>
      <c r="F327" s="17"/>
      <c r="G327" s="22" t="n">
        <f aca="false">COUNTIFS('Role Enclaves'!$D$7:$D$42,B327,'Role Enclaves'!$E$7:$E$42,C327,'Role Enclaves'!$B$7:$B$42,"&lt;&gt;"&amp;D327,'Role Enclaves'!$C$7:$C$42,"&lt;&gt;"&amp;E327)-IF(F327=C327,1,0)</f>
        <v>2</v>
      </c>
      <c r="H327" s="22" t="n">
        <f aca="false">COUNTIFS('Court Quorum'!$B$7:$B$24,B327,'Court Quorum'!$C$7:$C$24,"&lt;&gt;"&amp;D327,'Court Quorum'!$D$7:$D$24,"&lt;&gt;"&amp;E327)-IF(F327="Court",1,0)</f>
        <v>3</v>
      </c>
      <c r="I327" s="22" t="n">
        <f aca="false">Inputs!$B$10</f>
        <v>2</v>
      </c>
      <c r="J327" s="22" t="str">
        <f aca="false">IF(AND(G327&gt;=1,H327&gt;=I327),"PASS","FAIL")</f>
        <v>PASS</v>
      </c>
      <c r="K327" s="4"/>
      <c r="L327" s="4"/>
      <c r="M327" s="4"/>
      <c r="N327" s="4"/>
    </row>
    <row r="328" customFormat="false" ht="15" hidden="false" customHeight="false" outlineLevel="0" collapsed="false">
      <c r="A328" s="17" t="s">
        <v>349</v>
      </c>
      <c r="B328" s="17" t="s">
        <v>172</v>
      </c>
      <c r="C328" s="17" t="s">
        <v>141</v>
      </c>
      <c r="D328" s="17" t="s">
        <v>175</v>
      </c>
      <c r="E328" s="17"/>
      <c r="F328" s="17"/>
      <c r="G328" s="22" t="n">
        <f aca="false">COUNTIFS('Role Enclaves'!$D$7:$D$42,B328,'Role Enclaves'!$E$7:$E$42,C328,'Role Enclaves'!$B$7:$B$42,"&lt;&gt;"&amp;D328,'Role Enclaves'!$C$7:$C$42,"&lt;&gt;"&amp;E328)-IF(F328=C328,1,0)</f>
        <v>2</v>
      </c>
      <c r="H328" s="22" t="n">
        <f aca="false">COUNTIFS('Court Quorum'!$B$7:$B$24,B328,'Court Quorum'!$C$7:$C$24,"&lt;&gt;"&amp;D328,'Court Quorum'!$D$7:$D$24,"&lt;&gt;"&amp;E328)-IF(F328="Court",1,0)</f>
        <v>2</v>
      </c>
      <c r="I328" s="22" t="n">
        <f aca="false">Inputs!$B$10</f>
        <v>2</v>
      </c>
      <c r="J328" s="22" t="str">
        <f aca="false">IF(AND(G328&gt;=1,H328&gt;=I328),"PASS","FAIL")</f>
        <v>PASS</v>
      </c>
      <c r="K328" s="4"/>
      <c r="L328" s="4"/>
      <c r="M328" s="4"/>
      <c r="N328" s="4"/>
    </row>
    <row r="329" customFormat="false" ht="15" hidden="false" customHeight="false" outlineLevel="0" collapsed="false">
      <c r="A329" s="17" t="s">
        <v>349</v>
      </c>
      <c r="B329" s="17" t="s">
        <v>172</v>
      </c>
      <c r="C329" s="17" t="s">
        <v>145</v>
      </c>
      <c r="D329" s="17" t="s">
        <v>175</v>
      </c>
      <c r="E329" s="17"/>
      <c r="F329" s="17"/>
      <c r="G329" s="22" t="n">
        <f aca="false">COUNTIFS('Role Enclaves'!$D$7:$D$42,B329,'Role Enclaves'!$E$7:$E$42,C329,'Role Enclaves'!$B$7:$B$42,"&lt;&gt;"&amp;D329,'Role Enclaves'!$C$7:$C$42,"&lt;&gt;"&amp;E329)-IF(F329=C329,1,0)</f>
        <v>1</v>
      </c>
      <c r="H329" s="22" t="n">
        <f aca="false">COUNTIFS('Court Quorum'!$B$7:$B$24,B329,'Court Quorum'!$C$7:$C$24,"&lt;&gt;"&amp;D329,'Court Quorum'!$D$7:$D$24,"&lt;&gt;"&amp;E329)-IF(F329="Court",1,0)</f>
        <v>2</v>
      </c>
      <c r="I329" s="22" t="n">
        <f aca="false">Inputs!$B$10</f>
        <v>2</v>
      </c>
      <c r="J329" s="22" t="str">
        <f aca="false">IF(AND(G329&gt;=1,H329&gt;=I329),"PASS","FAIL")</f>
        <v>PASS</v>
      </c>
      <c r="K329" s="4"/>
      <c r="L329" s="4"/>
      <c r="M329" s="4"/>
      <c r="N329" s="4"/>
    </row>
    <row r="330" customFormat="false" ht="15" hidden="false" customHeight="false" outlineLevel="0" collapsed="false">
      <c r="A330" s="17" t="s">
        <v>349</v>
      </c>
      <c r="B330" s="17" t="s">
        <v>172</v>
      </c>
      <c r="C330" s="17" t="s">
        <v>142</v>
      </c>
      <c r="D330" s="17" t="s">
        <v>175</v>
      </c>
      <c r="E330" s="17"/>
      <c r="F330" s="17"/>
      <c r="G330" s="22" t="n">
        <f aca="false">COUNTIFS('Role Enclaves'!$D$7:$D$42,B330,'Role Enclaves'!$E$7:$E$42,C330,'Role Enclaves'!$B$7:$B$42,"&lt;&gt;"&amp;D330,'Role Enclaves'!$C$7:$C$42,"&lt;&gt;"&amp;E330)-IF(F330=C330,1,0)</f>
        <v>1</v>
      </c>
      <c r="H330" s="22" t="n">
        <f aca="false">COUNTIFS('Court Quorum'!$B$7:$B$24,B330,'Court Quorum'!$C$7:$C$24,"&lt;&gt;"&amp;D330,'Court Quorum'!$D$7:$D$24,"&lt;&gt;"&amp;E330)-IF(F330="Court",1,0)</f>
        <v>2</v>
      </c>
      <c r="I330" s="22" t="n">
        <f aca="false">Inputs!$B$10</f>
        <v>2</v>
      </c>
      <c r="J330" s="22" t="str">
        <f aca="false">IF(AND(G330&gt;=1,H330&gt;=I330),"PASS","FAIL")</f>
        <v>PASS</v>
      </c>
      <c r="K330" s="4"/>
      <c r="L330" s="4"/>
      <c r="M330" s="4"/>
      <c r="N330" s="4"/>
    </row>
    <row r="331" customFormat="false" ht="15" hidden="false" customHeight="false" outlineLevel="0" collapsed="false">
      <c r="A331" s="17" t="s">
        <v>350</v>
      </c>
      <c r="B331" s="17" t="s">
        <v>138</v>
      </c>
      <c r="C331" s="17" t="s">
        <v>141</v>
      </c>
      <c r="D331" s="17"/>
      <c r="E331" s="17" t="s">
        <v>140</v>
      </c>
      <c r="F331" s="17"/>
      <c r="G331" s="22" t="n">
        <f aca="false">COUNTIFS('Role Enclaves'!$D$7:$D$42,B331,'Role Enclaves'!$E$7:$E$42,C331,'Role Enclaves'!$B$7:$B$42,"&lt;&gt;"&amp;D331,'Role Enclaves'!$C$7:$C$42,"&lt;&gt;"&amp;E331)-IF(F331=C331,1,0)</f>
        <v>1</v>
      </c>
      <c r="H331" s="22" t="n">
        <f aca="false">COUNTIFS('Court Quorum'!$B$7:$B$24,B331,'Court Quorum'!$C$7:$C$24,"&lt;&gt;"&amp;D331,'Court Quorum'!$D$7:$D$24,"&lt;&gt;"&amp;E331)-IF(F331="Court",1,0)</f>
        <v>2</v>
      </c>
      <c r="I331" s="22" t="n">
        <f aca="false">Inputs!$B$10</f>
        <v>2</v>
      </c>
      <c r="J331" s="22" t="str">
        <f aca="false">IF(AND(G331&gt;=1,H331&gt;=I331),"PASS","FAIL")</f>
        <v>PASS</v>
      </c>
      <c r="K331" s="4"/>
      <c r="L331" s="4"/>
      <c r="M331" s="4"/>
      <c r="N331" s="4"/>
    </row>
    <row r="332" customFormat="false" ht="15" hidden="false" customHeight="false" outlineLevel="0" collapsed="false">
      <c r="A332" s="17" t="s">
        <v>350</v>
      </c>
      <c r="B332" s="17" t="s">
        <v>138</v>
      </c>
      <c r="C332" s="17" t="s">
        <v>145</v>
      </c>
      <c r="D332" s="17"/>
      <c r="E332" s="17" t="s">
        <v>140</v>
      </c>
      <c r="F332" s="17"/>
      <c r="G332" s="22" t="n">
        <f aca="false">COUNTIFS('Role Enclaves'!$D$7:$D$42,B332,'Role Enclaves'!$E$7:$E$42,C332,'Role Enclaves'!$B$7:$B$42,"&lt;&gt;"&amp;D332,'Role Enclaves'!$C$7:$C$42,"&lt;&gt;"&amp;E332)-IF(F332=C332,1,0)</f>
        <v>2</v>
      </c>
      <c r="H332" s="22" t="n">
        <f aca="false">COUNTIFS('Court Quorum'!$B$7:$B$24,B332,'Court Quorum'!$C$7:$C$24,"&lt;&gt;"&amp;D332,'Court Quorum'!$D$7:$D$24,"&lt;&gt;"&amp;E332)-IF(F332="Court",1,0)</f>
        <v>2</v>
      </c>
      <c r="I332" s="22" t="n">
        <f aca="false">Inputs!$B$10</f>
        <v>2</v>
      </c>
      <c r="J332" s="22" t="str">
        <f aca="false">IF(AND(G332&gt;=1,H332&gt;=I332),"PASS","FAIL")</f>
        <v>PASS</v>
      </c>
      <c r="K332" s="4"/>
      <c r="L332" s="4"/>
      <c r="M332" s="4"/>
      <c r="N332" s="4"/>
    </row>
    <row r="333" customFormat="false" ht="15" hidden="false" customHeight="false" outlineLevel="0" collapsed="false">
      <c r="A333" s="17" t="s">
        <v>350</v>
      </c>
      <c r="B333" s="17" t="s">
        <v>138</v>
      </c>
      <c r="C333" s="17" t="s">
        <v>142</v>
      </c>
      <c r="D333" s="17"/>
      <c r="E333" s="17" t="s">
        <v>140</v>
      </c>
      <c r="F333" s="17"/>
      <c r="G333" s="22" t="n">
        <f aca="false">COUNTIFS('Role Enclaves'!$D$7:$D$42,B333,'Role Enclaves'!$E$7:$E$42,C333,'Role Enclaves'!$B$7:$B$42,"&lt;&gt;"&amp;D333,'Role Enclaves'!$C$7:$C$42,"&lt;&gt;"&amp;E333)-IF(F333=C333,1,0)</f>
        <v>1</v>
      </c>
      <c r="H333" s="22" t="n">
        <f aca="false">COUNTIFS('Court Quorum'!$B$7:$B$24,B333,'Court Quorum'!$C$7:$C$24,"&lt;&gt;"&amp;D333,'Court Quorum'!$D$7:$D$24,"&lt;&gt;"&amp;E333)-IF(F333="Court",1,0)</f>
        <v>2</v>
      </c>
      <c r="I333" s="22" t="n">
        <f aca="false">Inputs!$B$10</f>
        <v>2</v>
      </c>
      <c r="J333" s="22" t="str">
        <f aca="false">IF(AND(G333&gt;=1,H333&gt;=I333),"PASS","FAIL")</f>
        <v>PASS</v>
      </c>
      <c r="K333" s="4"/>
      <c r="L333" s="4"/>
      <c r="M333" s="4"/>
      <c r="N333" s="4"/>
    </row>
    <row r="334" customFormat="false" ht="15" hidden="false" customHeight="false" outlineLevel="0" collapsed="false">
      <c r="A334" s="17" t="s">
        <v>350</v>
      </c>
      <c r="B334" s="17" t="s">
        <v>149</v>
      </c>
      <c r="C334" s="17" t="s">
        <v>141</v>
      </c>
      <c r="D334" s="17"/>
      <c r="E334" s="17" t="s">
        <v>140</v>
      </c>
      <c r="F334" s="17"/>
      <c r="G334" s="22" t="n">
        <f aca="false">COUNTIFS('Role Enclaves'!$D$7:$D$42,B334,'Role Enclaves'!$E$7:$E$42,C334,'Role Enclaves'!$B$7:$B$42,"&lt;&gt;"&amp;D334,'Role Enclaves'!$C$7:$C$42,"&lt;&gt;"&amp;E334)-IF(F334=C334,1,0)</f>
        <v>2</v>
      </c>
      <c r="H334" s="22" t="n">
        <f aca="false">COUNTIFS('Court Quorum'!$B$7:$B$24,B334,'Court Quorum'!$C$7:$C$24,"&lt;&gt;"&amp;D334,'Court Quorum'!$D$7:$D$24,"&lt;&gt;"&amp;E334)-IF(F334="Court",1,0)</f>
        <v>3</v>
      </c>
      <c r="I334" s="22" t="n">
        <f aca="false">Inputs!$B$10</f>
        <v>2</v>
      </c>
      <c r="J334" s="22" t="str">
        <f aca="false">IF(AND(G334&gt;=1,H334&gt;=I334),"PASS","FAIL")</f>
        <v>PASS</v>
      </c>
      <c r="K334" s="4"/>
      <c r="L334" s="4"/>
      <c r="M334" s="4"/>
      <c r="N334" s="4"/>
    </row>
    <row r="335" customFormat="false" ht="15" hidden="false" customHeight="false" outlineLevel="0" collapsed="false">
      <c r="A335" s="17" t="s">
        <v>350</v>
      </c>
      <c r="B335" s="17" t="s">
        <v>149</v>
      </c>
      <c r="C335" s="17" t="s">
        <v>145</v>
      </c>
      <c r="D335" s="17"/>
      <c r="E335" s="17" t="s">
        <v>140</v>
      </c>
      <c r="F335" s="17"/>
      <c r="G335" s="22" t="n">
        <f aca="false">COUNTIFS('Role Enclaves'!$D$7:$D$42,B335,'Role Enclaves'!$E$7:$E$42,C335,'Role Enclaves'!$B$7:$B$42,"&lt;&gt;"&amp;D335,'Role Enclaves'!$C$7:$C$42,"&lt;&gt;"&amp;E335)-IF(F335=C335,1,0)</f>
        <v>2</v>
      </c>
      <c r="H335" s="22" t="n">
        <f aca="false">COUNTIFS('Court Quorum'!$B$7:$B$24,B335,'Court Quorum'!$C$7:$C$24,"&lt;&gt;"&amp;D335,'Court Quorum'!$D$7:$D$24,"&lt;&gt;"&amp;E335)-IF(F335="Court",1,0)</f>
        <v>3</v>
      </c>
      <c r="I335" s="22" t="n">
        <f aca="false">Inputs!$B$10</f>
        <v>2</v>
      </c>
      <c r="J335" s="22" t="str">
        <f aca="false">IF(AND(G335&gt;=1,H335&gt;=I335),"PASS","FAIL")</f>
        <v>PASS</v>
      </c>
      <c r="K335" s="4"/>
      <c r="L335" s="4"/>
      <c r="M335" s="4"/>
      <c r="N335" s="4"/>
    </row>
    <row r="336" customFormat="false" ht="15" hidden="false" customHeight="false" outlineLevel="0" collapsed="false">
      <c r="A336" s="17" t="s">
        <v>350</v>
      </c>
      <c r="B336" s="17" t="s">
        <v>149</v>
      </c>
      <c r="C336" s="17" t="s">
        <v>142</v>
      </c>
      <c r="D336" s="17"/>
      <c r="E336" s="17" t="s">
        <v>140</v>
      </c>
      <c r="F336" s="17"/>
      <c r="G336" s="22" t="n">
        <f aca="false">COUNTIFS('Role Enclaves'!$D$7:$D$42,B336,'Role Enclaves'!$E$7:$E$42,C336,'Role Enclaves'!$B$7:$B$42,"&lt;&gt;"&amp;D336,'Role Enclaves'!$C$7:$C$42,"&lt;&gt;"&amp;E336)-IF(F336=C336,1,0)</f>
        <v>2</v>
      </c>
      <c r="H336" s="22" t="n">
        <f aca="false">COUNTIFS('Court Quorum'!$B$7:$B$24,B336,'Court Quorum'!$C$7:$C$24,"&lt;&gt;"&amp;D336,'Court Quorum'!$D$7:$D$24,"&lt;&gt;"&amp;E336)-IF(F336="Court",1,0)</f>
        <v>3</v>
      </c>
      <c r="I336" s="22" t="n">
        <f aca="false">Inputs!$B$10</f>
        <v>2</v>
      </c>
      <c r="J336" s="22" t="str">
        <f aca="false">IF(AND(G336&gt;=1,H336&gt;=I336),"PASS","FAIL")</f>
        <v>PASS</v>
      </c>
      <c r="K336" s="4"/>
      <c r="L336" s="4"/>
      <c r="M336" s="4"/>
      <c r="N336" s="4"/>
    </row>
    <row r="337" customFormat="false" ht="15" hidden="false" customHeight="false" outlineLevel="0" collapsed="false">
      <c r="A337" s="17" t="s">
        <v>350</v>
      </c>
      <c r="B337" s="17" t="s">
        <v>157</v>
      </c>
      <c r="C337" s="17" t="s">
        <v>141</v>
      </c>
      <c r="D337" s="17"/>
      <c r="E337" s="17" t="s">
        <v>140</v>
      </c>
      <c r="F337" s="17"/>
      <c r="G337" s="22" t="n">
        <f aca="false">COUNTIFS('Role Enclaves'!$D$7:$D$42,B337,'Role Enclaves'!$E$7:$E$42,C337,'Role Enclaves'!$B$7:$B$42,"&lt;&gt;"&amp;D337,'Role Enclaves'!$C$7:$C$42,"&lt;&gt;"&amp;E337)-IF(F337=C337,1,0)</f>
        <v>1</v>
      </c>
      <c r="H337" s="22" t="n">
        <f aca="false">COUNTIFS('Court Quorum'!$B$7:$B$24,B337,'Court Quorum'!$C$7:$C$24,"&lt;&gt;"&amp;D337,'Court Quorum'!$D$7:$D$24,"&lt;&gt;"&amp;E337)-IF(F337="Court",1,0)</f>
        <v>2</v>
      </c>
      <c r="I337" s="22" t="n">
        <f aca="false">Inputs!$B$10</f>
        <v>2</v>
      </c>
      <c r="J337" s="22" t="str">
        <f aca="false">IF(AND(G337&gt;=1,H337&gt;=I337),"PASS","FAIL")</f>
        <v>PASS</v>
      </c>
      <c r="K337" s="4"/>
      <c r="L337" s="4"/>
      <c r="M337" s="4"/>
      <c r="N337" s="4"/>
    </row>
    <row r="338" customFormat="false" ht="15" hidden="false" customHeight="false" outlineLevel="0" collapsed="false">
      <c r="A338" s="17" t="s">
        <v>350</v>
      </c>
      <c r="B338" s="17" t="s">
        <v>157</v>
      </c>
      <c r="C338" s="17" t="s">
        <v>145</v>
      </c>
      <c r="D338" s="17"/>
      <c r="E338" s="17" t="s">
        <v>140</v>
      </c>
      <c r="F338" s="17"/>
      <c r="G338" s="22" t="n">
        <f aca="false">COUNTIFS('Role Enclaves'!$D$7:$D$42,B338,'Role Enclaves'!$E$7:$E$42,C338,'Role Enclaves'!$B$7:$B$42,"&lt;&gt;"&amp;D338,'Role Enclaves'!$C$7:$C$42,"&lt;&gt;"&amp;E338)-IF(F338=C338,1,0)</f>
        <v>2</v>
      </c>
      <c r="H338" s="22" t="n">
        <f aca="false">COUNTIFS('Court Quorum'!$B$7:$B$24,B338,'Court Quorum'!$C$7:$C$24,"&lt;&gt;"&amp;D338,'Court Quorum'!$D$7:$D$24,"&lt;&gt;"&amp;E338)-IF(F338="Court",1,0)</f>
        <v>2</v>
      </c>
      <c r="I338" s="22" t="n">
        <f aca="false">Inputs!$B$10</f>
        <v>2</v>
      </c>
      <c r="J338" s="22" t="str">
        <f aca="false">IF(AND(G338&gt;=1,H338&gt;=I338),"PASS","FAIL")</f>
        <v>PASS</v>
      </c>
      <c r="K338" s="4"/>
      <c r="L338" s="4"/>
      <c r="M338" s="4"/>
      <c r="N338" s="4"/>
    </row>
    <row r="339" customFormat="false" ht="15" hidden="false" customHeight="false" outlineLevel="0" collapsed="false">
      <c r="A339" s="17" t="s">
        <v>350</v>
      </c>
      <c r="B339" s="17" t="s">
        <v>157</v>
      </c>
      <c r="C339" s="17" t="s">
        <v>142</v>
      </c>
      <c r="D339" s="17"/>
      <c r="E339" s="17" t="s">
        <v>140</v>
      </c>
      <c r="F339" s="17"/>
      <c r="G339" s="22" t="n">
        <f aca="false">COUNTIFS('Role Enclaves'!$D$7:$D$42,B339,'Role Enclaves'!$E$7:$E$42,C339,'Role Enclaves'!$B$7:$B$42,"&lt;&gt;"&amp;D339,'Role Enclaves'!$C$7:$C$42,"&lt;&gt;"&amp;E339)-IF(F339=C339,1,0)</f>
        <v>1</v>
      </c>
      <c r="H339" s="22" t="n">
        <f aca="false">COUNTIFS('Court Quorum'!$B$7:$B$24,B339,'Court Quorum'!$C$7:$C$24,"&lt;&gt;"&amp;D339,'Court Quorum'!$D$7:$D$24,"&lt;&gt;"&amp;E339)-IF(F339="Court",1,0)</f>
        <v>2</v>
      </c>
      <c r="I339" s="22" t="n">
        <f aca="false">Inputs!$B$10</f>
        <v>2</v>
      </c>
      <c r="J339" s="22" t="str">
        <f aca="false">IF(AND(G339&gt;=1,H339&gt;=I339),"PASS","FAIL")</f>
        <v>PASS</v>
      </c>
      <c r="K339" s="4"/>
      <c r="L339" s="4"/>
      <c r="M339" s="4"/>
      <c r="N339" s="4"/>
    </row>
    <row r="340" customFormat="false" ht="15" hidden="false" customHeight="false" outlineLevel="0" collapsed="false">
      <c r="A340" s="17" t="s">
        <v>350</v>
      </c>
      <c r="B340" s="17" t="s">
        <v>162</v>
      </c>
      <c r="C340" s="17" t="s">
        <v>141</v>
      </c>
      <c r="D340" s="17"/>
      <c r="E340" s="17" t="s">
        <v>140</v>
      </c>
      <c r="F340" s="17"/>
      <c r="G340" s="22" t="n">
        <f aca="false">COUNTIFS('Role Enclaves'!$D$7:$D$42,B340,'Role Enclaves'!$E$7:$E$42,C340,'Role Enclaves'!$B$7:$B$42,"&lt;&gt;"&amp;D340,'Role Enclaves'!$C$7:$C$42,"&lt;&gt;"&amp;E340)-IF(F340=C340,1,0)</f>
        <v>2</v>
      </c>
      <c r="H340" s="22" t="n">
        <f aca="false">COUNTIFS('Court Quorum'!$B$7:$B$24,B340,'Court Quorum'!$C$7:$C$24,"&lt;&gt;"&amp;D340,'Court Quorum'!$D$7:$D$24,"&lt;&gt;"&amp;E340)-IF(F340="Court",1,0)</f>
        <v>3</v>
      </c>
      <c r="I340" s="22" t="n">
        <f aca="false">Inputs!$B$10</f>
        <v>2</v>
      </c>
      <c r="J340" s="22" t="str">
        <f aca="false">IF(AND(G340&gt;=1,H340&gt;=I340),"PASS","FAIL")</f>
        <v>PASS</v>
      </c>
      <c r="K340" s="4"/>
      <c r="L340" s="4"/>
      <c r="M340" s="4"/>
      <c r="N340" s="4"/>
    </row>
    <row r="341" customFormat="false" ht="15" hidden="false" customHeight="false" outlineLevel="0" collapsed="false">
      <c r="A341" s="17" t="s">
        <v>350</v>
      </c>
      <c r="B341" s="17" t="s">
        <v>162</v>
      </c>
      <c r="C341" s="17" t="s">
        <v>145</v>
      </c>
      <c r="D341" s="17"/>
      <c r="E341" s="17" t="s">
        <v>140</v>
      </c>
      <c r="F341" s="17"/>
      <c r="G341" s="22" t="n">
        <f aca="false">COUNTIFS('Role Enclaves'!$D$7:$D$42,B341,'Role Enclaves'!$E$7:$E$42,C341,'Role Enclaves'!$B$7:$B$42,"&lt;&gt;"&amp;D341,'Role Enclaves'!$C$7:$C$42,"&lt;&gt;"&amp;E341)-IF(F341=C341,1,0)</f>
        <v>2</v>
      </c>
      <c r="H341" s="22" t="n">
        <f aca="false">COUNTIFS('Court Quorum'!$B$7:$B$24,B341,'Court Quorum'!$C$7:$C$24,"&lt;&gt;"&amp;D341,'Court Quorum'!$D$7:$D$24,"&lt;&gt;"&amp;E341)-IF(F341="Court",1,0)</f>
        <v>3</v>
      </c>
      <c r="I341" s="22" t="n">
        <f aca="false">Inputs!$B$10</f>
        <v>2</v>
      </c>
      <c r="J341" s="22" t="str">
        <f aca="false">IF(AND(G341&gt;=1,H341&gt;=I341),"PASS","FAIL")</f>
        <v>PASS</v>
      </c>
      <c r="K341" s="4"/>
      <c r="L341" s="4"/>
      <c r="M341" s="4"/>
      <c r="N341" s="4"/>
    </row>
    <row r="342" customFormat="false" ht="15" hidden="false" customHeight="false" outlineLevel="0" collapsed="false">
      <c r="A342" s="17" t="s">
        <v>350</v>
      </c>
      <c r="B342" s="17" t="s">
        <v>162</v>
      </c>
      <c r="C342" s="17" t="s">
        <v>142</v>
      </c>
      <c r="D342" s="17"/>
      <c r="E342" s="17" t="s">
        <v>140</v>
      </c>
      <c r="F342" s="17"/>
      <c r="G342" s="22" t="n">
        <f aca="false">COUNTIFS('Role Enclaves'!$D$7:$D$42,B342,'Role Enclaves'!$E$7:$E$42,C342,'Role Enclaves'!$B$7:$B$42,"&lt;&gt;"&amp;D342,'Role Enclaves'!$C$7:$C$42,"&lt;&gt;"&amp;E342)-IF(F342=C342,1,0)</f>
        <v>2</v>
      </c>
      <c r="H342" s="22" t="n">
        <f aca="false">COUNTIFS('Court Quorum'!$B$7:$B$24,B342,'Court Quorum'!$C$7:$C$24,"&lt;&gt;"&amp;D342,'Court Quorum'!$D$7:$D$24,"&lt;&gt;"&amp;E342)-IF(F342="Court",1,0)</f>
        <v>3</v>
      </c>
      <c r="I342" s="22" t="n">
        <f aca="false">Inputs!$B$10</f>
        <v>2</v>
      </c>
      <c r="J342" s="22" t="str">
        <f aca="false">IF(AND(G342&gt;=1,H342&gt;=I342),"PASS","FAIL")</f>
        <v>PASS</v>
      </c>
      <c r="K342" s="4"/>
      <c r="L342" s="4"/>
      <c r="M342" s="4"/>
      <c r="N342" s="4"/>
    </row>
    <row r="343" customFormat="false" ht="15" hidden="false" customHeight="false" outlineLevel="0" collapsed="false">
      <c r="A343" s="17" t="s">
        <v>350</v>
      </c>
      <c r="B343" s="17" t="s">
        <v>167</v>
      </c>
      <c r="C343" s="17" t="s">
        <v>141</v>
      </c>
      <c r="D343" s="17"/>
      <c r="E343" s="17" t="s">
        <v>140</v>
      </c>
      <c r="F343" s="17"/>
      <c r="G343" s="22" t="n">
        <f aca="false">COUNTIFS('Role Enclaves'!$D$7:$D$42,B343,'Role Enclaves'!$E$7:$E$42,C343,'Role Enclaves'!$B$7:$B$42,"&lt;&gt;"&amp;D343,'Role Enclaves'!$C$7:$C$42,"&lt;&gt;"&amp;E343)-IF(F343=C343,1,0)</f>
        <v>1</v>
      </c>
      <c r="H343" s="22" t="n">
        <f aca="false">COUNTIFS('Court Quorum'!$B$7:$B$24,B343,'Court Quorum'!$C$7:$C$24,"&lt;&gt;"&amp;D343,'Court Quorum'!$D$7:$D$24,"&lt;&gt;"&amp;E343)-IF(F343="Court",1,0)</f>
        <v>2</v>
      </c>
      <c r="I343" s="22" t="n">
        <f aca="false">Inputs!$B$10</f>
        <v>2</v>
      </c>
      <c r="J343" s="22" t="str">
        <f aca="false">IF(AND(G343&gt;=1,H343&gt;=I343),"PASS","FAIL")</f>
        <v>PASS</v>
      </c>
      <c r="K343" s="4"/>
      <c r="L343" s="4"/>
      <c r="M343" s="4"/>
      <c r="N343" s="4"/>
    </row>
    <row r="344" customFormat="false" ht="15" hidden="false" customHeight="false" outlineLevel="0" collapsed="false">
      <c r="A344" s="17" t="s">
        <v>350</v>
      </c>
      <c r="B344" s="17" t="s">
        <v>167</v>
      </c>
      <c r="C344" s="17" t="s">
        <v>145</v>
      </c>
      <c r="D344" s="17"/>
      <c r="E344" s="17" t="s">
        <v>140</v>
      </c>
      <c r="F344" s="17"/>
      <c r="G344" s="22" t="n">
        <f aca="false">COUNTIFS('Role Enclaves'!$D$7:$D$42,B344,'Role Enclaves'!$E$7:$E$42,C344,'Role Enclaves'!$B$7:$B$42,"&lt;&gt;"&amp;D344,'Role Enclaves'!$C$7:$C$42,"&lt;&gt;"&amp;E344)-IF(F344=C344,1,0)</f>
        <v>2</v>
      </c>
      <c r="H344" s="22" t="n">
        <f aca="false">COUNTIFS('Court Quorum'!$B$7:$B$24,B344,'Court Quorum'!$C$7:$C$24,"&lt;&gt;"&amp;D344,'Court Quorum'!$D$7:$D$24,"&lt;&gt;"&amp;E344)-IF(F344="Court",1,0)</f>
        <v>2</v>
      </c>
      <c r="I344" s="22" t="n">
        <f aca="false">Inputs!$B$10</f>
        <v>2</v>
      </c>
      <c r="J344" s="22" t="str">
        <f aca="false">IF(AND(G344&gt;=1,H344&gt;=I344),"PASS","FAIL")</f>
        <v>PASS</v>
      </c>
      <c r="K344" s="4"/>
      <c r="L344" s="4"/>
      <c r="M344" s="4"/>
      <c r="N344" s="4"/>
    </row>
    <row r="345" customFormat="false" ht="15" hidden="false" customHeight="false" outlineLevel="0" collapsed="false">
      <c r="A345" s="17" t="s">
        <v>350</v>
      </c>
      <c r="B345" s="17" t="s">
        <v>167</v>
      </c>
      <c r="C345" s="17" t="s">
        <v>142</v>
      </c>
      <c r="D345" s="17"/>
      <c r="E345" s="17" t="s">
        <v>140</v>
      </c>
      <c r="F345" s="17"/>
      <c r="G345" s="22" t="n">
        <f aca="false">COUNTIFS('Role Enclaves'!$D$7:$D$42,B345,'Role Enclaves'!$E$7:$E$42,C345,'Role Enclaves'!$B$7:$B$42,"&lt;&gt;"&amp;D345,'Role Enclaves'!$C$7:$C$42,"&lt;&gt;"&amp;E345)-IF(F345=C345,1,0)</f>
        <v>1</v>
      </c>
      <c r="H345" s="22" t="n">
        <f aca="false">COUNTIFS('Court Quorum'!$B$7:$B$24,B345,'Court Quorum'!$C$7:$C$24,"&lt;&gt;"&amp;D345,'Court Quorum'!$D$7:$D$24,"&lt;&gt;"&amp;E345)-IF(F345="Court",1,0)</f>
        <v>2</v>
      </c>
      <c r="I345" s="22" t="n">
        <f aca="false">Inputs!$B$10</f>
        <v>2</v>
      </c>
      <c r="J345" s="22" t="str">
        <f aca="false">IF(AND(G345&gt;=1,H345&gt;=I345),"PASS","FAIL")</f>
        <v>PASS</v>
      </c>
      <c r="K345" s="4"/>
      <c r="L345" s="4"/>
      <c r="M345" s="4"/>
      <c r="N345" s="4"/>
    </row>
    <row r="346" customFormat="false" ht="15" hidden="false" customHeight="false" outlineLevel="0" collapsed="false">
      <c r="A346" s="17" t="s">
        <v>350</v>
      </c>
      <c r="B346" s="17" t="s">
        <v>172</v>
      </c>
      <c r="C346" s="17" t="s">
        <v>141</v>
      </c>
      <c r="D346" s="17"/>
      <c r="E346" s="17" t="s">
        <v>140</v>
      </c>
      <c r="F346" s="17"/>
      <c r="G346" s="22" t="n">
        <f aca="false">COUNTIFS('Role Enclaves'!$D$7:$D$42,B346,'Role Enclaves'!$E$7:$E$42,C346,'Role Enclaves'!$B$7:$B$42,"&lt;&gt;"&amp;D346,'Role Enclaves'!$C$7:$C$42,"&lt;&gt;"&amp;E346)-IF(F346=C346,1,0)</f>
        <v>2</v>
      </c>
      <c r="H346" s="22" t="n">
        <f aca="false">COUNTIFS('Court Quorum'!$B$7:$B$24,B346,'Court Quorum'!$C$7:$C$24,"&lt;&gt;"&amp;D346,'Court Quorum'!$D$7:$D$24,"&lt;&gt;"&amp;E346)-IF(F346="Court",1,0)</f>
        <v>3</v>
      </c>
      <c r="I346" s="22" t="n">
        <f aca="false">Inputs!$B$10</f>
        <v>2</v>
      </c>
      <c r="J346" s="22" t="str">
        <f aca="false">IF(AND(G346&gt;=1,H346&gt;=I346),"PASS","FAIL")</f>
        <v>PASS</v>
      </c>
      <c r="K346" s="4"/>
      <c r="L346" s="4"/>
      <c r="M346" s="4"/>
      <c r="N346" s="4"/>
    </row>
    <row r="347" customFormat="false" ht="15" hidden="false" customHeight="false" outlineLevel="0" collapsed="false">
      <c r="A347" s="17" t="s">
        <v>350</v>
      </c>
      <c r="B347" s="17" t="s">
        <v>172</v>
      </c>
      <c r="C347" s="17" t="s">
        <v>145</v>
      </c>
      <c r="D347" s="17"/>
      <c r="E347" s="17" t="s">
        <v>140</v>
      </c>
      <c r="F347" s="17"/>
      <c r="G347" s="22" t="n">
        <f aca="false">COUNTIFS('Role Enclaves'!$D$7:$D$42,B347,'Role Enclaves'!$E$7:$E$42,C347,'Role Enclaves'!$B$7:$B$42,"&lt;&gt;"&amp;D347,'Role Enclaves'!$C$7:$C$42,"&lt;&gt;"&amp;E347)-IF(F347=C347,1,0)</f>
        <v>2</v>
      </c>
      <c r="H347" s="22" t="n">
        <f aca="false">COUNTIFS('Court Quorum'!$B$7:$B$24,B347,'Court Quorum'!$C$7:$C$24,"&lt;&gt;"&amp;D347,'Court Quorum'!$D$7:$D$24,"&lt;&gt;"&amp;E347)-IF(F347="Court",1,0)</f>
        <v>3</v>
      </c>
      <c r="I347" s="22" t="n">
        <f aca="false">Inputs!$B$10</f>
        <v>2</v>
      </c>
      <c r="J347" s="22" t="str">
        <f aca="false">IF(AND(G347&gt;=1,H347&gt;=I347),"PASS","FAIL")</f>
        <v>PASS</v>
      </c>
      <c r="K347" s="4"/>
      <c r="L347" s="4"/>
      <c r="M347" s="4"/>
      <c r="N347" s="4"/>
    </row>
    <row r="348" customFormat="false" ht="15" hidden="false" customHeight="false" outlineLevel="0" collapsed="false">
      <c r="A348" s="17" t="s">
        <v>350</v>
      </c>
      <c r="B348" s="17" t="s">
        <v>172</v>
      </c>
      <c r="C348" s="17" t="s">
        <v>142</v>
      </c>
      <c r="D348" s="17"/>
      <c r="E348" s="17" t="s">
        <v>140</v>
      </c>
      <c r="F348" s="17"/>
      <c r="G348" s="22" t="n">
        <f aca="false">COUNTIFS('Role Enclaves'!$D$7:$D$42,B348,'Role Enclaves'!$E$7:$E$42,C348,'Role Enclaves'!$B$7:$B$42,"&lt;&gt;"&amp;D348,'Role Enclaves'!$C$7:$C$42,"&lt;&gt;"&amp;E348)-IF(F348=C348,1,0)</f>
        <v>2</v>
      </c>
      <c r="H348" s="22" t="n">
        <f aca="false">COUNTIFS('Court Quorum'!$B$7:$B$24,B348,'Court Quorum'!$C$7:$C$24,"&lt;&gt;"&amp;D348,'Court Quorum'!$D$7:$D$24,"&lt;&gt;"&amp;E348)-IF(F348="Court",1,0)</f>
        <v>3</v>
      </c>
      <c r="I348" s="22" t="n">
        <f aca="false">Inputs!$B$10</f>
        <v>2</v>
      </c>
      <c r="J348" s="22" t="str">
        <f aca="false">IF(AND(G348&gt;=1,H348&gt;=I348),"PASS","FAIL")</f>
        <v>PASS</v>
      </c>
      <c r="K348" s="4"/>
      <c r="L348" s="4"/>
      <c r="M348" s="4"/>
      <c r="N348" s="4"/>
    </row>
    <row r="349" customFormat="false" ht="15" hidden="false" customHeight="false" outlineLevel="0" collapsed="false">
      <c r="A349" s="17" t="s">
        <v>352</v>
      </c>
      <c r="B349" s="17" t="s">
        <v>138</v>
      </c>
      <c r="C349" s="17" t="s">
        <v>141</v>
      </c>
      <c r="D349" s="17"/>
      <c r="E349" s="17" t="s">
        <v>151</v>
      </c>
      <c r="F349" s="17"/>
      <c r="G349" s="22" t="n">
        <f aca="false">COUNTIFS('Role Enclaves'!$D$7:$D$42,B349,'Role Enclaves'!$E$7:$E$42,C349,'Role Enclaves'!$B$7:$B$42,"&lt;&gt;"&amp;D349,'Role Enclaves'!$C$7:$C$42,"&lt;&gt;"&amp;E349)-IF(F349=C349,1,0)</f>
        <v>2</v>
      </c>
      <c r="H349" s="22" t="n">
        <f aca="false">COUNTIFS('Court Quorum'!$B$7:$B$24,B349,'Court Quorum'!$C$7:$C$24,"&lt;&gt;"&amp;D349,'Court Quorum'!$D$7:$D$24,"&lt;&gt;"&amp;E349)-IF(F349="Court",1,0)</f>
        <v>3</v>
      </c>
      <c r="I349" s="22" t="n">
        <f aca="false">Inputs!$B$10</f>
        <v>2</v>
      </c>
      <c r="J349" s="22" t="str">
        <f aca="false">IF(AND(G349&gt;=1,H349&gt;=I349),"PASS","FAIL")</f>
        <v>PASS</v>
      </c>
      <c r="K349" s="4"/>
      <c r="L349" s="4"/>
      <c r="M349" s="4"/>
      <c r="N349" s="4"/>
    </row>
    <row r="350" customFormat="false" ht="15" hidden="false" customHeight="false" outlineLevel="0" collapsed="false">
      <c r="A350" s="17" t="s">
        <v>352</v>
      </c>
      <c r="B350" s="17" t="s">
        <v>138</v>
      </c>
      <c r="C350" s="17" t="s">
        <v>145</v>
      </c>
      <c r="D350" s="17"/>
      <c r="E350" s="17" t="s">
        <v>151</v>
      </c>
      <c r="F350" s="17"/>
      <c r="G350" s="22" t="n">
        <f aca="false">COUNTIFS('Role Enclaves'!$D$7:$D$42,B350,'Role Enclaves'!$E$7:$E$42,C350,'Role Enclaves'!$B$7:$B$42,"&lt;&gt;"&amp;D350,'Role Enclaves'!$C$7:$C$42,"&lt;&gt;"&amp;E350)-IF(F350=C350,1,0)</f>
        <v>2</v>
      </c>
      <c r="H350" s="22" t="n">
        <f aca="false">COUNTIFS('Court Quorum'!$B$7:$B$24,B350,'Court Quorum'!$C$7:$C$24,"&lt;&gt;"&amp;D350,'Court Quorum'!$D$7:$D$24,"&lt;&gt;"&amp;E350)-IF(F350="Court",1,0)</f>
        <v>3</v>
      </c>
      <c r="I350" s="22" t="n">
        <f aca="false">Inputs!$B$10</f>
        <v>2</v>
      </c>
      <c r="J350" s="22" t="str">
        <f aca="false">IF(AND(G350&gt;=1,H350&gt;=I350),"PASS","FAIL")</f>
        <v>PASS</v>
      </c>
      <c r="K350" s="4"/>
      <c r="L350" s="4"/>
      <c r="M350" s="4"/>
      <c r="N350" s="4"/>
    </row>
    <row r="351" customFormat="false" ht="15" hidden="false" customHeight="false" outlineLevel="0" collapsed="false">
      <c r="A351" s="17" t="s">
        <v>352</v>
      </c>
      <c r="B351" s="17" t="s">
        <v>138</v>
      </c>
      <c r="C351" s="17" t="s">
        <v>142</v>
      </c>
      <c r="D351" s="17"/>
      <c r="E351" s="17" t="s">
        <v>151</v>
      </c>
      <c r="F351" s="17"/>
      <c r="G351" s="22" t="n">
        <f aca="false">COUNTIFS('Role Enclaves'!$D$7:$D$42,B351,'Role Enclaves'!$E$7:$E$42,C351,'Role Enclaves'!$B$7:$B$42,"&lt;&gt;"&amp;D351,'Role Enclaves'!$C$7:$C$42,"&lt;&gt;"&amp;E351)-IF(F351=C351,1,0)</f>
        <v>2</v>
      </c>
      <c r="H351" s="22" t="n">
        <f aca="false">COUNTIFS('Court Quorum'!$B$7:$B$24,B351,'Court Quorum'!$C$7:$C$24,"&lt;&gt;"&amp;D351,'Court Quorum'!$D$7:$D$24,"&lt;&gt;"&amp;E351)-IF(F351="Court",1,0)</f>
        <v>3</v>
      </c>
      <c r="I351" s="22" t="n">
        <f aca="false">Inputs!$B$10</f>
        <v>2</v>
      </c>
      <c r="J351" s="22" t="str">
        <f aca="false">IF(AND(G351&gt;=1,H351&gt;=I351),"PASS","FAIL")</f>
        <v>PASS</v>
      </c>
      <c r="K351" s="4"/>
      <c r="L351" s="4"/>
      <c r="M351" s="4"/>
      <c r="N351" s="4"/>
    </row>
    <row r="352" customFormat="false" ht="15" hidden="false" customHeight="false" outlineLevel="0" collapsed="false">
      <c r="A352" s="17" t="s">
        <v>352</v>
      </c>
      <c r="B352" s="17" t="s">
        <v>149</v>
      </c>
      <c r="C352" s="17" t="s">
        <v>141</v>
      </c>
      <c r="D352" s="17"/>
      <c r="E352" s="17" t="s">
        <v>151</v>
      </c>
      <c r="F352" s="17"/>
      <c r="G352" s="22" t="n">
        <f aca="false">COUNTIFS('Role Enclaves'!$D$7:$D$42,B352,'Role Enclaves'!$E$7:$E$42,C352,'Role Enclaves'!$B$7:$B$42,"&lt;&gt;"&amp;D352,'Role Enclaves'!$C$7:$C$42,"&lt;&gt;"&amp;E352)-IF(F352=C352,1,0)</f>
        <v>1</v>
      </c>
      <c r="H352" s="22" t="n">
        <f aca="false">COUNTIFS('Court Quorum'!$B$7:$B$24,B352,'Court Quorum'!$C$7:$C$24,"&lt;&gt;"&amp;D352,'Court Quorum'!$D$7:$D$24,"&lt;&gt;"&amp;E352)-IF(F352="Court",1,0)</f>
        <v>2</v>
      </c>
      <c r="I352" s="22" t="n">
        <f aca="false">Inputs!$B$10</f>
        <v>2</v>
      </c>
      <c r="J352" s="22" t="str">
        <f aca="false">IF(AND(G352&gt;=1,H352&gt;=I352),"PASS","FAIL")</f>
        <v>PASS</v>
      </c>
      <c r="K352" s="4"/>
      <c r="L352" s="4"/>
      <c r="M352" s="4"/>
      <c r="N352" s="4"/>
    </row>
    <row r="353" customFormat="false" ht="15" hidden="false" customHeight="false" outlineLevel="0" collapsed="false">
      <c r="A353" s="17" t="s">
        <v>352</v>
      </c>
      <c r="B353" s="17" t="s">
        <v>149</v>
      </c>
      <c r="C353" s="17" t="s">
        <v>145</v>
      </c>
      <c r="D353" s="17"/>
      <c r="E353" s="17" t="s">
        <v>151</v>
      </c>
      <c r="F353" s="17"/>
      <c r="G353" s="22" t="n">
        <f aca="false">COUNTIFS('Role Enclaves'!$D$7:$D$42,B353,'Role Enclaves'!$E$7:$E$42,C353,'Role Enclaves'!$B$7:$B$42,"&lt;&gt;"&amp;D353,'Role Enclaves'!$C$7:$C$42,"&lt;&gt;"&amp;E353)-IF(F353=C353,1,0)</f>
        <v>2</v>
      </c>
      <c r="H353" s="22" t="n">
        <f aca="false">COUNTIFS('Court Quorum'!$B$7:$B$24,B353,'Court Quorum'!$C$7:$C$24,"&lt;&gt;"&amp;D353,'Court Quorum'!$D$7:$D$24,"&lt;&gt;"&amp;E353)-IF(F353="Court",1,0)</f>
        <v>2</v>
      </c>
      <c r="I353" s="22" t="n">
        <f aca="false">Inputs!$B$10</f>
        <v>2</v>
      </c>
      <c r="J353" s="22" t="str">
        <f aca="false">IF(AND(G353&gt;=1,H353&gt;=I353),"PASS","FAIL")</f>
        <v>PASS</v>
      </c>
      <c r="K353" s="4"/>
      <c r="L353" s="4"/>
      <c r="M353" s="4"/>
      <c r="N353" s="4"/>
    </row>
    <row r="354" customFormat="false" ht="15" hidden="false" customHeight="false" outlineLevel="0" collapsed="false">
      <c r="A354" s="17" t="s">
        <v>352</v>
      </c>
      <c r="B354" s="17" t="s">
        <v>149</v>
      </c>
      <c r="C354" s="17" t="s">
        <v>142</v>
      </c>
      <c r="D354" s="17"/>
      <c r="E354" s="17" t="s">
        <v>151</v>
      </c>
      <c r="F354" s="17"/>
      <c r="G354" s="22" t="n">
        <f aca="false">COUNTIFS('Role Enclaves'!$D$7:$D$42,B354,'Role Enclaves'!$E$7:$E$42,C354,'Role Enclaves'!$B$7:$B$42,"&lt;&gt;"&amp;D354,'Role Enclaves'!$C$7:$C$42,"&lt;&gt;"&amp;E354)-IF(F354=C354,1,0)</f>
        <v>1</v>
      </c>
      <c r="H354" s="22" t="n">
        <f aca="false">COUNTIFS('Court Quorum'!$B$7:$B$24,B354,'Court Quorum'!$C$7:$C$24,"&lt;&gt;"&amp;D354,'Court Quorum'!$D$7:$D$24,"&lt;&gt;"&amp;E354)-IF(F354="Court",1,0)</f>
        <v>2</v>
      </c>
      <c r="I354" s="22" t="n">
        <f aca="false">Inputs!$B$10</f>
        <v>2</v>
      </c>
      <c r="J354" s="22" t="str">
        <f aca="false">IF(AND(G354&gt;=1,H354&gt;=I354),"PASS","FAIL")</f>
        <v>PASS</v>
      </c>
      <c r="K354" s="4"/>
      <c r="L354" s="4"/>
      <c r="M354" s="4"/>
      <c r="N354" s="4"/>
    </row>
    <row r="355" customFormat="false" ht="15" hidden="false" customHeight="false" outlineLevel="0" collapsed="false">
      <c r="A355" s="17" t="s">
        <v>352</v>
      </c>
      <c r="B355" s="17" t="s">
        <v>157</v>
      </c>
      <c r="C355" s="17" t="s">
        <v>141</v>
      </c>
      <c r="D355" s="17"/>
      <c r="E355" s="17" t="s">
        <v>151</v>
      </c>
      <c r="F355" s="17"/>
      <c r="G355" s="22" t="n">
        <f aca="false">COUNTIFS('Role Enclaves'!$D$7:$D$42,B355,'Role Enclaves'!$E$7:$E$42,C355,'Role Enclaves'!$B$7:$B$42,"&lt;&gt;"&amp;D355,'Role Enclaves'!$C$7:$C$42,"&lt;&gt;"&amp;E355)-IF(F355=C355,1,0)</f>
        <v>2</v>
      </c>
      <c r="H355" s="22" t="n">
        <f aca="false">COUNTIFS('Court Quorum'!$B$7:$B$24,B355,'Court Quorum'!$C$7:$C$24,"&lt;&gt;"&amp;D355,'Court Quorum'!$D$7:$D$24,"&lt;&gt;"&amp;E355)-IF(F355="Court",1,0)</f>
        <v>3</v>
      </c>
      <c r="I355" s="22" t="n">
        <f aca="false">Inputs!$B$10</f>
        <v>2</v>
      </c>
      <c r="J355" s="22" t="str">
        <f aca="false">IF(AND(G355&gt;=1,H355&gt;=I355),"PASS","FAIL")</f>
        <v>PASS</v>
      </c>
      <c r="K355" s="4"/>
      <c r="L355" s="4"/>
      <c r="M355" s="4"/>
      <c r="N355" s="4"/>
    </row>
    <row r="356" customFormat="false" ht="15" hidden="false" customHeight="false" outlineLevel="0" collapsed="false">
      <c r="A356" s="17" t="s">
        <v>352</v>
      </c>
      <c r="B356" s="17" t="s">
        <v>157</v>
      </c>
      <c r="C356" s="17" t="s">
        <v>145</v>
      </c>
      <c r="D356" s="17"/>
      <c r="E356" s="17" t="s">
        <v>151</v>
      </c>
      <c r="F356" s="17"/>
      <c r="G356" s="22" t="n">
        <f aca="false">COUNTIFS('Role Enclaves'!$D$7:$D$42,B356,'Role Enclaves'!$E$7:$E$42,C356,'Role Enclaves'!$B$7:$B$42,"&lt;&gt;"&amp;D356,'Role Enclaves'!$C$7:$C$42,"&lt;&gt;"&amp;E356)-IF(F356=C356,1,0)</f>
        <v>2</v>
      </c>
      <c r="H356" s="22" t="n">
        <f aca="false">COUNTIFS('Court Quorum'!$B$7:$B$24,B356,'Court Quorum'!$C$7:$C$24,"&lt;&gt;"&amp;D356,'Court Quorum'!$D$7:$D$24,"&lt;&gt;"&amp;E356)-IF(F356="Court",1,0)</f>
        <v>3</v>
      </c>
      <c r="I356" s="22" t="n">
        <f aca="false">Inputs!$B$10</f>
        <v>2</v>
      </c>
      <c r="J356" s="22" t="str">
        <f aca="false">IF(AND(G356&gt;=1,H356&gt;=I356),"PASS","FAIL")</f>
        <v>PASS</v>
      </c>
      <c r="K356" s="4"/>
      <c r="L356" s="4"/>
      <c r="M356" s="4"/>
      <c r="N356" s="4"/>
    </row>
    <row r="357" customFormat="false" ht="15" hidden="false" customHeight="false" outlineLevel="0" collapsed="false">
      <c r="A357" s="17" t="s">
        <v>352</v>
      </c>
      <c r="B357" s="17" t="s">
        <v>157</v>
      </c>
      <c r="C357" s="17" t="s">
        <v>142</v>
      </c>
      <c r="D357" s="17"/>
      <c r="E357" s="17" t="s">
        <v>151</v>
      </c>
      <c r="F357" s="17"/>
      <c r="G357" s="22" t="n">
        <f aca="false">COUNTIFS('Role Enclaves'!$D$7:$D$42,B357,'Role Enclaves'!$E$7:$E$42,C357,'Role Enclaves'!$B$7:$B$42,"&lt;&gt;"&amp;D357,'Role Enclaves'!$C$7:$C$42,"&lt;&gt;"&amp;E357)-IF(F357=C357,1,0)</f>
        <v>2</v>
      </c>
      <c r="H357" s="22" t="n">
        <f aca="false">COUNTIFS('Court Quorum'!$B$7:$B$24,B357,'Court Quorum'!$C$7:$C$24,"&lt;&gt;"&amp;D357,'Court Quorum'!$D$7:$D$24,"&lt;&gt;"&amp;E357)-IF(F357="Court",1,0)</f>
        <v>3</v>
      </c>
      <c r="I357" s="22" t="n">
        <f aca="false">Inputs!$B$10</f>
        <v>2</v>
      </c>
      <c r="J357" s="22" t="str">
        <f aca="false">IF(AND(G357&gt;=1,H357&gt;=I357),"PASS","FAIL")</f>
        <v>PASS</v>
      </c>
      <c r="K357" s="4"/>
      <c r="L357" s="4"/>
      <c r="M357" s="4"/>
      <c r="N357" s="4"/>
    </row>
    <row r="358" customFormat="false" ht="15" hidden="false" customHeight="false" outlineLevel="0" collapsed="false">
      <c r="A358" s="17" t="s">
        <v>352</v>
      </c>
      <c r="B358" s="17" t="s">
        <v>162</v>
      </c>
      <c r="C358" s="17" t="s">
        <v>141</v>
      </c>
      <c r="D358" s="17"/>
      <c r="E358" s="17" t="s">
        <v>151</v>
      </c>
      <c r="F358" s="17"/>
      <c r="G358" s="22" t="n">
        <f aca="false">COUNTIFS('Role Enclaves'!$D$7:$D$42,B358,'Role Enclaves'!$E$7:$E$42,C358,'Role Enclaves'!$B$7:$B$42,"&lt;&gt;"&amp;D358,'Role Enclaves'!$C$7:$C$42,"&lt;&gt;"&amp;E358)-IF(F358=C358,1,0)</f>
        <v>1</v>
      </c>
      <c r="H358" s="22" t="n">
        <f aca="false">COUNTIFS('Court Quorum'!$B$7:$B$24,B358,'Court Quorum'!$C$7:$C$24,"&lt;&gt;"&amp;D358,'Court Quorum'!$D$7:$D$24,"&lt;&gt;"&amp;E358)-IF(F358="Court",1,0)</f>
        <v>2</v>
      </c>
      <c r="I358" s="22" t="n">
        <f aca="false">Inputs!$B$10</f>
        <v>2</v>
      </c>
      <c r="J358" s="22" t="str">
        <f aca="false">IF(AND(G358&gt;=1,H358&gt;=I358),"PASS","FAIL")</f>
        <v>PASS</v>
      </c>
      <c r="K358" s="4"/>
      <c r="L358" s="4"/>
      <c r="M358" s="4"/>
      <c r="N358" s="4"/>
    </row>
    <row r="359" customFormat="false" ht="15" hidden="false" customHeight="false" outlineLevel="0" collapsed="false">
      <c r="A359" s="17" t="s">
        <v>352</v>
      </c>
      <c r="B359" s="17" t="s">
        <v>162</v>
      </c>
      <c r="C359" s="17" t="s">
        <v>145</v>
      </c>
      <c r="D359" s="17"/>
      <c r="E359" s="17" t="s">
        <v>151</v>
      </c>
      <c r="F359" s="17"/>
      <c r="G359" s="22" t="n">
        <f aca="false">COUNTIFS('Role Enclaves'!$D$7:$D$42,B359,'Role Enclaves'!$E$7:$E$42,C359,'Role Enclaves'!$B$7:$B$42,"&lt;&gt;"&amp;D359,'Role Enclaves'!$C$7:$C$42,"&lt;&gt;"&amp;E359)-IF(F359=C359,1,0)</f>
        <v>2</v>
      </c>
      <c r="H359" s="22" t="n">
        <f aca="false">COUNTIFS('Court Quorum'!$B$7:$B$24,B359,'Court Quorum'!$C$7:$C$24,"&lt;&gt;"&amp;D359,'Court Quorum'!$D$7:$D$24,"&lt;&gt;"&amp;E359)-IF(F359="Court",1,0)</f>
        <v>2</v>
      </c>
      <c r="I359" s="22" t="n">
        <f aca="false">Inputs!$B$10</f>
        <v>2</v>
      </c>
      <c r="J359" s="22" t="str">
        <f aca="false">IF(AND(G359&gt;=1,H359&gt;=I359),"PASS","FAIL")</f>
        <v>PASS</v>
      </c>
      <c r="K359" s="4"/>
      <c r="L359" s="4"/>
      <c r="M359" s="4"/>
      <c r="N359" s="4"/>
    </row>
    <row r="360" customFormat="false" ht="15" hidden="false" customHeight="false" outlineLevel="0" collapsed="false">
      <c r="A360" s="17" t="s">
        <v>352</v>
      </c>
      <c r="B360" s="17" t="s">
        <v>162</v>
      </c>
      <c r="C360" s="17" t="s">
        <v>142</v>
      </c>
      <c r="D360" s="17"/>
      <c r="E360" s="17" t="s">
        <v>151</v>
      </c>
      <c r="F360" s="17"/>
      <c r="G360" s="22" t="n">
        <f aca="false">COUNTIFS('Role Enclaves'!$D$7:$D$42,B360,'Role Enclaves'!$E$7:$E$42,C360,'Role Enclaves'!$B$7:$B$42,"&lt;&gt;"&amp;D360,'Role Enclaves'!$C$7:$C$42,"&lt;&gt;"&amp;E360)-IF(F360=C360,1,0)</f>
        <v>1</v>
      </c>
      <c r="H360" s="22" t="n">
        <f aca="false">COUNTIFS('Court Quorum'!$B$7:$B$24,B360,'Court Quorum'!$C$7:$C$24,"&lt;&gt;"&amp;D360,'Court Quorum'!$D$7:$D$24,"&lt;&gt;"&amp;E360)-IF(F360="Court",1,0)</f>
        <v>2</v>
      </c>
      <c r="I360" s="22" t="n">
        <f aca="false">Inputs!$B$10</f>
        <v>2</v>
      </c>
      <c r="J360" s="22" t="str">
        <f aca="false">IF(AND(G360&gt;=1,H360&gt;=I360),"PASS","FAIL")</f>
        <v>PASS</v>
      </c>
      <c r="K360" s="4"/>
      <c r="L360" s="4"/>
      <c r="M360" s="4"/>
      <c r="N360" s="4"/>
    </row>
    <row r="361" customFormat="false" ht="15" hidden="false" customHeight="false" outlineLevel="0" collapsed="false">
      <c r="A361" s="17" t="s">
        <v>352</v>
      </c>
      <c r="B361" s="17" t="s">
        <v>167</v>
      </c>
      <c r="C361" s="17" t="s">
        <v>141</v>
      </c>
      <c r="D361" s="17"/>
      <c r="E361" s="17" t="s">
        <v>151</v>
      </c>
      <c r="F361" s="17"/>
      <c r="G361" s="22" t="n">
        <f aca="false">COUNTIFS('Role Enclaves'!$D$7:$D$42,B361,'Role Enclaves'!$E$7:$E$42,C361,'Role Enclaves'!$B$7:$B$42,"&lt;&gt;"&amp;D361,'Role Enclaves'!$C$7:$C$42,"&lt;&gt;"&amp;E361)-IF(F361=C361,1,0)</f>
        <v>2</v>
      </c>
      <c r="H361" s="22" t="n">
        <f aca="false">COUNTIFS('Court Quorum'!$B$7:$B$24,B361,'Court Quorum'!$C$7:$C$24,"&lt;&gt;"&amp;D361,'Court Quorum'!$D$7:$D$24,"&lt;&gt;"&amp;E361)-IF(F361="Court",1,0)</f>
        <v>3</v>
      </c>
      <c r="I361" s="22" t="n">
        <f aca="false">Inputs!$B$10</f>
        <v>2</v>
      </c>
      <c r="J361" s="22" t="str">
        <f aca="false">IF(AND(G361&gt;=1,H361&gt;=I361),"PASS","FAIL")</f>
        <v>PASS</v>
      </c>
      <c r="K361" s="4"/>
      <c r="L361" s="4"/>
      <c r="M361" s="4"/>
      <c r="N361" s="4"/>
    </row>
    <row r="362" customFormat="false" ht="15" hidden="false" customHeight="false" outlineLevel="0" collapsed="false">
      <c r="A362" s="17" t="s">
        <v>352</v>
      </c>
      <c r="B362" s="17" t="s">
        <v>167</v>
      </c>
      <c r="C362" s="17" t="s">
        <v>145</v>
      </c>
      <c r="D362" s="17"/>
      <c r="E362" s="17" t="s">
        <v>151</v>
      </c>
      <c r="F362" s="17"/>
      <c r="G362" s="22" t="n">
        <f aca="false">COUNTIFS('Role Enclaves'!$D$7:$D$42,B362,'Role Enclaves'!$E$7:$E$42,C362,'Role Enclaves'!$B$7:$B$42,"&lt;&gt;"&amp;D362,'Role Enclaves'!$C$7:$C$42,"&lt;&gt;"&amp;E362)-IF(F362=C362,1,0)</f>
        <v>2</v>
      </c>
      <c r="H362" s="22" t="n">
        <f aca="false">COUNTIFS('Court Quorum'!$B$7:$B$24,B362,'Court Quorum'!$C$7:$C$24,"&lt;&gt;"&amp;D362,'Court Quorum'!$D$7:$D$24,"&lt;&gt;"&amp;E362)-IF(F362="Court",1,0)</f>
        <v>3</v>
      </c>
      <c r="I362" s="22" t="n">
        <f aca="false">Inputs!$B$10</f>
        <v>2</v>
      </c>
      <c r="J362" s="22" t="str">
        <f aca="false">IF(AND(G362&gt;=1,H362&gt;=I362),"PASS","FAIL")</f>
        <v>PASS</v>
      </c>
      <c r="K362" s="4"/>
      <c r="L362" s="4"/>
      <c r="M362" s="4"/>
      <c r="N362" s="4"/>
    </row>
    <row r="363" customFormat="false" ht="15" hidden="false" customHeight="false" outlineLevel="0" collapsed="false">
      <c r="A363" s="17" t="s">
        <v>352</v>
      </c>
      <c r="B363" s="17" t="s">
        <v>167</v>
      </c>
      <c r="C363" s="17" t="s">
        <v>142</v>
      </c>
      <c r="D363" s="17"/>
      <c r="E363" s="17" t="s">
        <v>151</v>
      </c>
      <c r="F363" s="17"/>
      <c r="G363" s="22" t="n">
        <f aca="false">COUNTIFS('Role Enclaves'!$D$7:$D$42,B363,'Role Enclaves'!$E$7:$E$42,C363,'Role Enclaves'!$B$7:$B$42,"&lt;&gt;"&amp;D363,'Role Enclaves'!$C$7:$C$42,"&lt;&gt;"&amp;E363)-IF(F363=C363,1,0)</f>
        <v>2</v>
      </c>
      <c r="H363" s="22" t="n">
        <f aca="false">COUNTIFS('Court Quorum'!$B$7:$B$24,B363,'Court Quorum'!$C$7:$C$24,"&lt;&gt;"&amp;D363,'Court Quorum'!$D$7:$D$24,"&lt;&gt;"&amp;E363)-IF(F363="Court",1,0)</f>
        <v>3</v>
      </c>
      <c r="I363" s="22" t="n">
        <f aca="false">Inputs!$B$10</f>
        <v>2</v>
      </c>
      <c r="J363" s="22" t="str">
        <f aca="false">IF(AND(G363&gt;=1,H363&gt;=I363),"PASS","FAIL")</f>
        <v>PASS</v>
      </c>
      <c r="K363" s="4"/>
      <c r="L363" s="4"/>
      <c r="M363" s="4"/>
      <c r="N363" s="4"/>
    </row>
    <row r="364" customFormat="false" ht="15" hidden="false" customHeight="false" outlineLevel="0" collapsed="false">
      <c r="A364" s="17" t="s">
        <v>352</v>
      </c>
      <c r="B364" s="17" t="s">
        <v>172</v>
      </c>
      <c r="C364" s="17" t="s">
        <v>141</v>
      </c>
      <c r="D364" s="17"/>
      <c r="E364" s="17" t="s">
        <v>151</v>
      </c>
      <c r="F364" s="17"/>
      <c r="G364" s="22" t="n">
        <f aca="false">COUNTIFS('Role Enclaves'!$D$7:$D$42,B364,'Role Enclaves'!$E$7:$E$42,C364,'Role Enclaves'!$B$7:$B$42,"&lt;&gt;"&amp;D364,'Role Enclaves'!$C$7:$C$42,"&lt;&gt;"&amp;E364)-IF(F364=C364,1,0)</f>
        <v>1</v>
      </c>
      <c r="H364" s="22" t="n">
        <f aca="false">COUNTIFS('Court Quorum'!$B$7:$B$24,B364,'Court Quorum'!$C$7:$C$24,"&lt;&gt;"&amp;D364,'Court Quorum'!$D$7:$D$24,"&lt;&gt;"&amp;E364)-IF(F364="Court",1,0)</f>
        <v>2</v>
      </c>
      <c r="I364" s="22" t="n">
        <f aca="false">Inputs!$B$10</f>
        <v>2</v>
      </c>
      <c r="J364" s="22" t="str">
        <f aca="false">IF(AND(G364&gt;=1,H364&gt;=I364),"PASS","FAIL")</f>
        <v>PASS</v>
      </c>
      <c r="K364" s="4"/>
      <c r="L364" s="4"/>
      <c r="M364" s="4"/>
      <c r="N364" s="4"/>
    </row>
    <row r="365" customFormat="false" ht="15" hidden="false" customHeight="false" outlineLevel="0" collapsed="false">
      <c r="A365" s="17" t="s">
        <v>352</v>
      </c>
      <c r="B365" s="17" t="s">
        <v>172</v>
      </c>
      <c r="C365" s="17" t="s">
        <v>145</v>
      </c>
      <c r="D365" s="17"/>
      <c r="E365" s="17" t="s">
        <v>151</v>
      </c>
      <c r="F365" s="17"/>
      <c r="G365" s="22" t="n">
        <f aca="false">COUNTIFS('Role Enclaves'!$D$7:$D$42,B365,'Role Enclaves'!$E$7:$E$42,C365,'Role Enclaves'!$B$7:$B$42,"&lt;&gt;"&amp;D365,'Role Enclaves'!$C$7:$C$42,"&lt;&gt;"&amp;E365)-IF(F365=C365,1,0)</f>
        <v>2</v>
      </c>
      <c r="H365" s="22" t="n">
        <f aca="false">COUNTIFS('Court Quorum'!$B$7:$B$24,B365,'Court Quorum'!$C$7:$C$24,"&lt;&gt;"&amp;D365,'Court Quorum'!$D$7:$D$24,"&lt;&gt;"&amp;E365)-IF(F365="Court",1,0)</f>
        <v>2</v>
      </c>
      <c r="I365" s="22" t="n">
        <f aca="false">Inputs!$B$10</f>
        <v>2</v>
      </c>
      <c r="J365" s="22" t="str">
        <f aca="false">IF(AND(G365&gt;=1,H365&gt;=I365),"PASS","FAIL")</f>
        <v>PASS</v>
      </c>
      <c r="K365" s="4"/>
      <c r="L365" s="4"/>
      <c r="M365" s="4"/>
      <c r="N365" s="4"/>
    </row>
    <row r="366" customFormat="false" ht="15" hidden="false" customHeight="false" outlineLevel="0" collapsed="false">
      <c r="A366" s="17" t="s">
        <v>352</v>
      </c>
      <c r="B366" s="17" t="s">
        <v>172</v>
      </c>
      <c r="C366" s="17" t="s">
        <v>142</v>
      </c>
      <c r="D366" s="17"/>
      <c r="E366" s="17" t="s">
        <v>151</v>
      </c>
      <c r="F366" s="17"/>
      <c r="G366" s="22" t="n">
        <f aca="false">COUNTIFS('Role Enclaves'!$D$7:$D$42,B366,'Role Enclaves'!$E$7:$E$42,C366,'Role Enclaves'!$B$7:$B$42,"&lt;&gt;"&amp;D366,'Role Enclaves'!$C$7:$C$42,"&lt;&gt;"&amp;E366)-IF(F366=C366,1,0)</f>
        <v>1</v>
      </c>
      <c r="H366" s="22" t="n">
        <f aca="false">COUNTIFS('Court Quorum'!$B$7:$B$24,B366,'Court Quorum'!$C$7:$C$24,"&lt;&gt;"&amp;D366,'Court Quorum'!$D$7:$D$24,"&lt;&gt;"&amp;E366)-IF(F366="Court",1,0)</f>
        <v>2</v>
      </c>
      <c r="I366" s="22" t="n">
        <f aca="false">Inputs!$B$10</f>
        <v>2</v>
      </c>
      <c r="J366" s="22" t="str">
        <f aca="false">IF(AND(G366&gt;=1,H366&gt;=I366),"PASS","FAIL")</f>
        <v>PASS</v>
      </c>
      <c r="K366" s="4"/>
      <c r="L366" s="4"/>
      <c r="M366" s="4"/>
      <c r="N366" s="4"/>
    </row>
    <row r="367" customFormat="false" ht="15" hidden="false" customHeight="false" outlineLevel="0" collapsed="false">
      <c r="A367" s="17" t="s">
        <v>353</v>
      </c>
      <c r="B367" s="17" t="s">
        <v>138</v>
      </c>
      <c r="C367" s="17" t="s">
        <v>141</v>
      </c>
      <c r="D367" s="17"/>
      <c r="E367" s="17" t="s">
        <v>144</v>
      </c>
      <c r="F367" s="17"/>
      <c r="G367" s="22" t="n">
        <f aca="false">COUNTIFS('Role Enclaves'!$D$7:$D$42,B367,'Role Enclaves'!$E$7:$E$42,C367,'Role Enclaves'!$B$7:$B$42,"&lt;&gt;"&amp;D367,'Role Enclaves'!$C$7:$C$42,"&lt;&gt;"&amp;E367)-IF(F367=C367,1,0)</f>
        <v>1</v>
      </c>
      <c r="H367" s="22" t="n">
        <f aca="false">COUNTIFS('Court Quorum'!$B$7:$B$24,B367,'Court Quorum'!$C$7:$C$24,"&lt;&gt;"&amp;D367,'Court Quorum'!$D$7:$D$24,"&lt;&gt;"&amp;E367)-IF(F367="Court",1,0)</f>
        <v>2</v>
      </c>
      <c r="I367" s="22" t="n">
        <f aca="false">Inputs!$B$10</f>
        <v>2</v>
      </c>
      <c r="J367" s="22" t="str">
        <f aca="false">IF(AND(G367&gt;=1,H367&gt;=I367),"PASS","FAIL")</f>
        <v>PASS</v>
      </c>
      <c r="K367" s="4"/>
      <c r="L367" s="4"/>
      <c r="M367" s="4"/>
      <c r="N367" s="4"/>
    </row>
    <row r="368" customFormat="false" ht="15" hidden="false" customHeight="false" outlineLevel="0" collapsed="false">
      <c r="A368" s="17" t="s">
        <v>353</v>
      </c>
      <c r="B368" s="17" t="s">
        <v>138</v>
      </c>
      <c r="C368" s="17" t="s">
        <v>145</v>
      </c>
      <c r="D368" s="17"/>
      <c r="E368" s="17" t="s">
        <v>144</v>
      </c>
      <c r="F368" s="17"/>
      <c r="G368" s="22" t="n">
        <f aca="false">COUNTIFS('Role Enclaves'!$D$7:$D$42,B368,'Role Enclaves'!$E$7:$E$42,C368,'Role Enclaves'!$B$7:$B$42,"&lt;&gt;"&amp;D368,'Role Enclaves'!$C$7:$C$42,"&lt;&gt;"&amp;E368)-IF(F368=C368,1,0)</f>
        <v>1</v>
      </c>
      <c r="H368" s="22" t="n">
        <f aca="false">COUNTIFS('Court Quorum'!$B$7:$B$24,B368,'Court Quorum'!$C$7:$C$24,"&lt;&gt;"&amp;D368,'Court Quorum'!$D$7:$D$24,"&lt;&gt;"&amp;E368)-IF(F368="Court",1,0)</f>
        <v>2</v>
      </c>
      <c r="I368" s="22" t="n">
        <f aca="false">Inputs!$B$10</f>
        <v>2</v>
      </c>
      <c r="J368" s="22" t="str">
        <f aca="false">IF(AND(G368&gt;=1,H368&gt;=I368),"PASS","FAIL")</f>
        <v>PASS</v>
      </c>
      <c r="K368" s="4"/>
      <c r="L368" s="4"/>
      <c r="M368" s="4"/>
      <c r="N368" s="4"/>
    </row>
    <row r="369" customFormat="false" ht="15" hidden="false" customHeight="false" outlineLevel="0" collapsed="false">
      <c r="A369" s="17" t="s">
        <v>353</v>
      </c>
      <c r="B369" s="17" t="s">
        <v>138</v>
      </c>
      <c r="C369" s="17" t="s">
        <v>142</v>
      </c>
      <c r="D369" s="17"/>
      <c r="E369" s="17" t="s">
        <v>144</v>
      </c>
      <c r="F369" s="17"/>
      <c r="G369" s="22" t="n">
        <f aca="false">COUNTIFS('Role Enclaves'!$D$7:$D$42,B369,'Role Enclaves'!$E$7:$E$42,C369,'Role Enclaves'!$B$7:$B$42,"&lt;&gt;"&amp;D369,'Role Enclaves'!$C$7:$C$42,"&lt;&gt;"&amp;E369)-IF(F369=C369,1,0)</f>
        <v>2</v>
      </c>
      <c r="H369" s="22" t="n">
        <f aca="false">COUNTIFS('Court Quorum'!$B$7:$B$24,B369,'Court Quorum'!$C$7:$C$24,"&lt;&gt;"&amp;D369,'Court Quorum'!$D$7:$D$24,"&lt;&gt;"&amp;E369)-IF(F369="Court",1,0)</f>
        <v>2</v>
      </c>
      <c r="I369" s="22" t="n">
        <f aca="false">Inputs!$B$10</f>
        <v>2</v>
      </c>
      <c r="J369" s="22" t="str">
        <f aca="false">IF(AND(G369&gt;=1,H369&gt;=I369),"PASS","FAIL")</f>
        <v>PASS</v>
      </c>
      <c r="K369" s="4"/>
      <c r="L369" s="4"/>
      <c r="M369" s="4"/>
      <c r="N369" s="4"/>
    </row>
    <row r="370" customFormat="false" ht="15" hidden="false" customHeight="false" outlineLevel="0" collapsed="false">
      <c r="A370" s="17" t="s">
        <v>353</v>
      </c>
      <c r="B370" s="17" t="s">
        <v>149</v>
      </c>
      <c r="C370" s="17" t="s">
        <v>141</v>
      </c>
      <c r="D370" s="17"/>
      <c r="E370" s="17" t="s">
        <v>144</v>
      </c>
      <c r="F370" s="17"/>
      <c r="G370" s="22" t="n">
        <f aca="false">COUNTIFS('Role Enclaves'!$D$7:$D$42,B370,'Role Enclaves'!$E$7:$E$42,C370,'Role Enclaves'!$B$7:$B$42,"&lt;&gt;"&amp;D370,'Role Enclaves'!$C$7:$C$42,"&lt;&gt;"&amp;E370)-IF(F370=C370,1,0)</f>
        <v>2</v>
      </c>
      <c r="H370" s="22" t="n">
        <f aca="false">COUNTIFS('Court Quorum'!$B$7:$B$24,B370,'Court Quorum'!$C$7:$C$24,"&lt;&gt;"&amp;D370,'Court Quorum'!$D$7:$D$24,"&lt;&gt;"&amp;E370)-IF(F370="Court",1,0)</f>
        <v>3</v>
      </c>
      <c r="I370" s="22" t="n">
        <f aca="false">Inputs!$B$10</f>
        <v>2</v>
      </c>
      <c r="J370" s="22" t="str">
        <f aca="false">IF(AND(G370&gt;=1,H370&gt;=I370),"PASS","FAIL")</f>
        <v>PASS</v>
      </c>
      <c r="K370" s="4"/>
      <c r="L370" s="4"/>
      <c r="M370" s="4"/>
      <c r="N370" s="4"/>
    </row>
    <row r="371" customFormat="false" ht="15" hidden="false" customHeight="false" outlineLevel="0" collapsed="false">
      <c r="A371" s="17" t="s">
        <v>353</v>
      </c>
      <c r="B371" s="17" t="s">
        <v>149</v>
      </c>
      <c r="C371" s="17" t="s">
        <v>145</v>
      </c>
      <c r="D371" s="17"/>
      <c r="E371" s="17" t="s">
        <v>144</v>
      </c>
      <c r="F371" s="17"/>
      <c r="G371" s="22" t="n">
        <f aca="false">COUNTIFS('Role Enclaves'!$D$7:$D$42,B371,'Role Enclaves'!$E$7:$E$42,C371,'Role Enclaves'!$B$7:$B$42,"&lt;&gt;"&amp;D371,'Role Enclaves'!$C$7:$C$42,"&lt;&gt;"&amp;E371)-IF(F371=C371,1,0)</f>
        <v>2</v>
      </c>
      <c r="H371" s="22" t="n">
        <f aca="false">COUNTIFS('Court Quorum'!$B$7:$B$24,B371,'Court Quorum'!$C$7:$C$24,"&lt;&gt;"&amp;D371,'Court Quorum'!$D$7:$D$24,"&lt;&gt;"&amp;E371)-IF(F371="Court",1,0)</f>
        <v>3</v>
      </c>
      <c r="I371" s="22" t="n">
        <f aca="false">Inputs!$B$10</f>
        <v>2</v>
      </c>
      <c r="J371" s="22" t="str">
        <f aca="false">IF(AND(G371&gt;=1,H371&gt;=I371),"PASS","FAIL")</f>
        <v>PASS</v>
      </c>
      <c r="K371" s="4"/>
      <c r="L371" s="4"/>
      <c r="M371" s="4"/>
      <c r="N371" s="4"/>
    </row>
    <row r="372" customFormat="false" ht="15" hidden="false" customHeight="false" outlineLevel="0" collapsed="false">
      <c r="A372" s="17" t="s">
        <v>353</v>
      </c>
      <c r="B372" s="17" t="s">
        <v>149</v>
      </c>
      <c r="C372" s="17" t="s">
        <v>142</v>
      </c>
      <c r="D372" s="17"/>
      <c r="E372" s="17" t="s">
        <v>144</v>
      </c>
      <c r="F372" s="17"/>
      <c r="G372" s="22" t="n">
        <f aca="false">COUNTIFS('Role Enclaves'!$D$7:$D$42,B372,'Role Enclaves'!$E$7:$E$42,C372,'Role Enclaves'!$B$7:$B$42,"&lt;&gt;"&amp;D372,'Role Enclaves'!$C$7:$C$42,"&lt;&gt;"&amp;E372)-IF(F372=C372,1,0)</f>
        <v>2</v>
      </c>
      <c r="H372" s="22" t="n">
        <f aca="false">COUNTIFS('Court Quorum'!$B$7:$B$24,B372,'Court Quorum'!$C$7:$C$24,"&lt;&gt;"&amp;D372,'Court Quorum'!$D$7:$D$24,"&lt;&gt;"&amp;E372)-IF(F372="Court",1,0)</f>
        <v>3</v>
      </c>
      <c r="I372" s="22" t="n">
        <f aca="false">Inputs!$B$10</f>
        <v>2</v>
      </c>
      <c r="J372" s="22" t="str">
        <f aca="false">IF(AND(G372&gt;=1,H372&gt;=I372),"PASS","FAIL")</f>
        <v>PASS</v>
      </c>
      <c r="K372" s="4"/>
      <c r="L372" s="4"/>
      <c r="M372" s="4"/>
      <c r="N372" s="4"/>
    </row>
    <row r="373" customFormat="false" ht="15" hidden="false" customHeight="false" outlineLevel="0" collapsed="false">
      <c r="A373" s="17" t="s">
        <v>353</v>
      </c>
      <c r="B373" s="17" t="s">
        <v>157</v>
      </c>
      <c r="C373" s="17" t="s">
        <v>141</v>
      </c>
      <c r="D373" s="17"/>
      <c r="E373" s="17" t="s">
        <v>144</v>
      </c>
      <c r="F373" s="17"/>
      <c r="G373" s="22" t="n">
        <f aca="false">COUNTIFS('Role Enclaves'!$D$7:$D$42,B373,'Role Enclaves'!$E$7:$E$42,C373,'Role Enclaves'!$B$7:$B$42,"&lt;&gt;"&amp;D373,'Role Enclaves'!$C$7:$C$42,"&lt;&gt;"&amp;E373)-IF(F373=C373,1,0)</f>
        <v>2</v>
      </c>
      <c r="H373" s="22" t="n">
        <f aca="false">COUNTIFS('Court Quorum'!$B$7:$B$24,B373,'Court Quorum'!$C$7:$C$24,"&lt;&gt;"&amp;D373,'Court Quorum'!$D$7:$D$24,"&lt;&gt;"&amp;E373)-IF(F373="Court",1,0)</f>
        <v>3</v>
      </c>
      <c r="I373" s="22" t="n">
        <f aca="false">Inputs!$B$10</f>
        <v>2</v>
      </c>
      <c r="J373" s="22" t="str">
        <f aca="false">IF(AND(G373&gt;=1,H373&gt;=I373),"PASS","FAIL")</f>
        <v>PASS</v>
      </c>
      <c r="K373" s="4"/>
      <c r="L373" s="4"/>
      <c r="M373" s="4"/>
      <c r="N373" s="4"/>
    </row>
    <row r="374" customFormat="false" ht="15" hidden="false" customHeight="false" outlineLevel="0" collapsed="false">
      <c r="A374" s="17" t="s">
        <v>353</v>
      </c>
      <c r="B374" s="17" t="s">
        <v>157</v>
      </c>
      <c r="C374" s="17" t="s">
        <v>145</v>
      </c>
      <c r="D374" s="17"/>
      <c r="E374" s="17" t="s">
        <v>144</v>
      </c>
      <c r="F374" s="17"/>
      <c r="G374" s="22" t="n">
        <f aca="false">COUNTIFS('Role Enclaves'!$D$7:$D$42,B374,'Role Enclaves'!$E$7:$E$42,C374,'Role Enclaves'!$B$7:$B$42,"&lt;&gt;"&amp;D374,'Role Enclaves'!$C$7:$C$42,"&lt;&gt;"&amp;E374)-IF(F374=C374,1,0)</f>
        <v>2</v>
      </c>
      <c r="H374" s="22" t="n">
        <f aca="false">COUNTIFS('Court Quorum'!$B$7:$B$24,B374,'Court Quorum'!$C$7:$C$24,"&lt;&gt;"&amp;D374,'Court Quorum'!$D$7:$D$24,"&lt;&gt;"&amp;E374)-IF(F374="Court",1,0)</f>
        <v>3</v>
      </c>
      <c r="I374" s="22" t="n">
        <f aca="false">Inputs!$B$10</f>
        <v>2</v>
      </c>
      <c r="J374" s="22" t="str">
        <f aca="false">IF(AND(G374&gt;=1,H374&gt;=I374),"PASS","FAIL")</f>
        <v>PASS</v>
      </c>
      <c r="K374" s="4"/>
      <c r="L374" s="4"/>
      <c r="M374" s="4"/>
      <c r="N374" s="4"/>
    </row>
    <row r="375" customFormat="false" ht="15" hidden="false" customHeight="false" outlineLevel="0" collapsed="false">
      <c r="A375" s="17" t="s">
        <v>353</v>
      </c>
      <c r="B375" s="17" t="s">
        <v>157</v>
      </c>
      <c r="C375" s="17" t="s">
        <v>142</v>
      </c>
      <c r="D375" s="17"/>
      <c r="E375" s="17" t="s">
        <v>144</v>
      </c>
      <c r="F375" s="17"/>
      <c r="G375" s="22" t="n">
        <f aca="false">COUNTIFS('Role Enclaves'!$D$7:$D$42,B375,'Role Enclaves'!$E$7:$E$42,C375,'Role Enclaves'!$B$7:$B$42,"&lt;&gt;"&amp;D375,'Role Enclaves'!$C$7:$C$42,"&lt;&gt;"&amp;E375)-IF(F375=C375,1,0)</f>
        <v>2</v>
      </c>
      <c r="H375" s="22" t="n">
        <f aca="false">COUNTIFS('Court Quorum'!$B$7:$B$24,B375,'Court Quorum'!$C$7:$C$24,"&lt;&gt;"&amp;D375,'Court Quorum'!$D$7:$D$24,"&lt;&gt;"&amp;E375)-IF(F375="Court",1,0)</f>
        <v>3</v>
      </c>
      <c r="I375" s="22" t="n">
        <f aca="false">Inputs!$B$10</f>
        <v>2</v>
      </c>
      <c r="J375" s="22" t="str">
        <f aca="false">IF(AND(G375&gt;=1,H375&gt;=I375),"PASS","FAIL")</f>
        <v>PASS</v>
      </c>
      <c r="K375" s="4"/>
      <c r="L375" s="4"/>
      <c r="M375" s="4"/>
      <c r="N375" s="4"/>
    </row>
    <row r="376" customFormat="false" ht="15" hidden="false" customHeight="false" outlineLevel="0" collapsed="false">
      <c r="A376" s="17" t="s">
        <v>353</v>
      </c>
      <c r="B376" s="17" t="s">
        <v>162</v>
      </c>
      <c r="C376" s="17" t="s">
        <v>141</v>
      </c>
      <c r="D376" s="17"/>
      <c r="E376" s="17" t="s">
        <v>144</v>
      </c>
      <c r="F376" s="17"/>
      <c r="G376" s="22" t="n">
        <f aca="false">COUNTIFS('Role Enclaves'!$D$7:$D$42,B376,'Role Enclaves'!$E$7:$E$42,C376,'Role Enclaves'!$B$7:$B$42,"&lt;&gt;"&amp;D376,'Role Enclaves'!$C$7:$C$42,"&lt;&gt;"&amp;E376)-IF(F376=C376,1,0)</f>
        <v>1</v>
      </c>
      <c r="H376" s="22" t="n">
        <f aca="false">COUNTIFS('Court Quorum'!$B$7:$B$24,B376,'Court Quorum'!$C$7:$C$24,"&lt;&gt;"&amp;D376,'Court Quorum'!$D$7:$D$24,"&lt;&gt;"&amp;E376)-IF(F376="Court",1,0)</f>
        <v>2</v>
      </c>
      <c r="I376" s="22" t="n">
        <f aca="false">Inputs!$B$10</f>
        <v>2</v>
      </c>
      <c r="J376" s="22" t="str">
        <f aca="false">IF(AND(G376&gt;=1,H376&gt;=I376),"PASS","FAIL")</f>
        <v>PASS</v>
      </c>
      <c r="K376" s="4"/>
      <c r="L376" s="4"/>
      <c r="M376" s="4"/>
      <c r="N376" s="4"/>
    </row>
    <row r="377" customFormat="false" ht="15" hidden="false" customHeight="false" outlineLevel="0" collapsed="false">
      <c r="A377" s="17" t="s">
        <v>353</v>
      </c>
      <c r="B377" s="17" t="s">
        <v>162</v>
      </c>
      <c r="C377" s="17" t="s">
        <v>145</v>
      </c>
      <c r="D377" s="17"/>
      <c r="E377" s="17" t="s">
        <v>144</v>
      </c>
      <c r="F377" s="17"/>
      <c r="G377" s="22" t="n">
        <f aca="false">COUNTIFS('Role Enclaves'!$D$7:$D$42,B377,'Role Enclaves'!$E$7:$E$42,C377,'Role Enclaves'!$B$7:$B$42,"&lt;&gt;"&amp;D377,'Role Enclaves'!$C$7:$C$42,"&lt;&gt;"&amp;E377)-IF(F377=C377,1,0)</f>
        <v>1</v>
      </c>
      <c r="H377" s="22" t="n">
        <f aca="false">COUNTIFS('Court Quorum'!$B$7:$B$24,B377,'Court Quorum'!$C$7:$C$24,"&lt;&gt;"&amp;D377,'Court Quorum'!$D$7:$D$24,"&lt;&gt;"&amp;E377)-IF(F377="Court",1,0)</f>
        <v>2</v>
      </c>
      <c r="I377" s="22" t="n">
        <f aca="false">Inputs!$B$10</f>
        <v>2</v>
      </c>
      <c r="J377" s="22" t="str">
        <f aca="false">IF(AND(G377&gt;=1,H377&gt;=I377),"PASS","FAIL")</f>
        <v>PASS</v>
      </c>
      <c r="K377" s="4"/>
      <c r="L377" s="4"/>
      <c r="M377" s="4"/>
      <c r="N377" s="4"/>
    </row>
    <row r="378" customFormat="false" ht="15" hidden="false" customHeight="false" outlineLevel="0" collapsed="false">
      <c r="A378" s="17" t="s">
        <v>353</v>
      </c>
      <c r="B378" s="17" t="s">
        <v>162</v>
      </c>
      <c r="C378" s="17" t="s">
        <v>142</v>
      </c>
      <c r="D378" s="17"/>
      <c r="E378" s="17" t="s">
        <v>144</v>
      </c>
      <c r="F378" s="17"/>
      <c r="G378" s="22" t="n">
        <f aca="false">COUNTIFS('Role Enclaves'!$D$7:$D$42,B378,'Role Enclaves'!$E$7:$E$42,C378,'Role Enclaves'!$B$7:$B$42,"&lt;&gt;"&amp;D378,'Role Enclaves'!$C$7:$C$42,"&lt;&gt;"&amp;E378)-IF(F378=C378,1,0)</f>
        <v>2</v>
      </c>
      <c r="H378" s="22" t="n">
        <f aca="false">COUNTIFS('Court Quorum'!$B$7:$B$24,B378,'Court Quorum'!$C$7:$C$24,"&lt;&gt;"&amp;D378,'Court Quorum'!$D$7:$D$24,"&lt;&gt;"&amp;E378)-IF(F378="Court",1,0)</f>
        <v>2</v>
      </c>
      <c r="I378" s="22" t="n">
        <f aca="false">Inputs!$B$10</f>
        <v>2</v>
      </c>
      <c r="J378" s="22" t="str">
        <f aca="false">IF(AND(G378&gt;=1,H378&gt;=I378),"PASS","FAIL")</f>
        <v>PASS</v>
      </c>
      <c r="K378" s="4"/>
      <c r="L378" s="4"/>
      <c r="M378" s="4"/>
      <c r="N378" s="4"/>
    </row>
    <row r="379" customFormat="false" ht="15" hidden="false" customHeight="false" outlineLevel="0" collapsed="false">
      <c r="A379" s="17" t="s">
        <v>353</v>
      </c>
      <c r="B379" s="17" t="s">
        <v>167</v>
      </c>
      <c r="C379" s="17" t="s">
        <v>141</v>
      </c>
      <c r="D379" s="17"/>
      <c r="E379" s="17" t="s">
        <v>144</v>
      </c>
      <c r="F379" s="17"/>
      <c r="G379" s="22" t="n">
        <f aca="false">COUNTIFS('Role Enclaves'!$D$7:$D$42,B379,'Role Enclaves'!$E$7:$E$42,C379,'Role Enclaves'!$B$7:$B$42,"&lt;&gt;"&amp;D379,'Role Enclaves'!$C$7:$C$42,"&lt;&gt;"&amp;E379)-IF(F379=C379,1,0)</f>
        <v>2</v>
      </c>
      <c r="H379" s="22" t="n">
        <f aca="false">COUNTIFS('Court Quorum'!$B$7:$B$24,B379,'Court Quorum'!$C$7:$C$24,"&lt;&gt;"&amp;D379,'Court Quorum'!$D$7:$D$24,"&lt;&gt;"&amp;E379)-IF(F379="Court",1,0)</f>
        <v>3</v>
      </c>
      <c r="I379" s="22" t="n">
        <f aca="false">Inputs!$B$10</f>
        <v>2</v>
      </c>
      <c r="J379" s="22" t="str">
        <f aca="false">IF(AND(G379&gt;=1,H379&gt;=I379),"PASS","FAIL")</f>
        <v>PASS</v>
      </c>
      <c r="K379" s="4"/>
      <c r="L379" s="4"/>
      <c r="M379" s="4"/>
      <c r="N379" s="4"/>
    </row>
    <row r="380" customFormat="false" ht="15" hidden="false" customHeight="false" outlineLevel="0" collapsed="false">
      <c r="A380" s="17" t="s">
        <v>353</v>
      </c>
      <c r="B380" s="17" t="s">
        <v>167</v>
      </c>
      <c r="C380" s="17" t="s">
        <v>145</v>
      </c>
      <c r="D380" s="17"/>
      <c r="E380" s="17" t="s">
        <v>144</v>
      </c>
      <c r="F380" s="17"/>
      <c r="G380" s="22" t="n">
        <f aca="false">COUNTIFS('Role Enclaves'!$D$7:$D$42,B380,'Role Enclaves'!$E$7:$E$42,C380,'Role Enclaves'!$B$7:$B$42,"&lt;&gt;"&amp;D380,'Role Enclaves'!$C$7:$C$42,"&lt;&gt;"&amp;E380)-IF(F380=C380,1,0)</f>
        <v>2</v>
      </c>
      <c r="H380" s="22" t="n">
        <f aca="false">COUNTIFS('Court Quorum'!$B$7:$B$24,B380,'Court Quorum'!$C$7:$C$24,"&lt;&gt;"&amp;D380,'Court Quorum'!$D$7:$D$24,"&lt;&gt;"&amp;E380)-IF(F380="Court",1,0)</f>
        <v>3</v>
      </c>
      <c r="I380" s="22" t="n">
        <f aca="false">Inputs!$B$10</f>
        <v>2</v>
      </c>
      <c r="J380" s="22" t="str">
        <f aca="false">IF(AND(G380&gt;=1,H380&gt;=I380),"PASS","FAIL")</f>
        <v>PASS</v>
      </c>
      <c r="K380" s="4"/>
      <c r="L380" s="4"/>
      <c r="M380" s="4"/>
      <c r="N380" s="4"/>
    </row>
    <row r="381" customFormat="false" ht="15" hidden="false" customHeight="false" outlineLevel="0" collapsed="false">
      <c r="A381" s="17" t="s">
        <v>353</v>
      </c>
      <c r="B381" s="17" t="s">
        <v>167</v>
      </c>
      <c r="C381" s="17" t="s">
        <v>142</v>
      </c>
      <c r="D381" s="17"/>
      <c r="E381" s="17" t="s">
        <v>144</v>
      </c>
      <c r="F381" s="17"/>
      <c r="G381" s="22" t="n">
        <f aca="false">COUNTIFS('Role Enclaves'!$D$7:$D$42,B381,'Role Enclaves'!$E$7:$E$42,C381,'Role Enclaves'!$B$7:$B$42,"&lt;&gt;"&amp;D381,'Role Enclaves'!$C$7:$C$42,"&lt;&gt;"&amp;E381)-IF(F381=C381,1,0)</f>
        <v>2</v>
      </c>
      <c r="H381" s="22" t="n">
        <f aca="false">COUNTIFS('Court Quorum'!$B$7:$B$24,B381,'Court Quorum'!$C$7:$C$24,"&lt;&gt;"&amp;D381,'Court Quorum'!$D$7:$D$24,"&lt;&gt;"&amp;E381)-IF(F381="Court",1,0)</f>
        <v>3</v>
      </c>
      <c r="I381" s="22" t="n">
        <f aca="false">Inputs!$B$10</f>
        <v>2</v>
      </c>
      <c r="J381" s="22" t="str">
        <f aca="false">IF(AND(G381&gt;=1,H381&gt;=I381),"PASS","FAIL")</f>
        <v>PASS</v>
      </c>
      <c r="K381" s="4"/>
      <c r="L381" s="4"/>
      <c r="M381" s="4"/>
      <c r="N381" s="4"/>
    </row>
    <row r="382" customFormat="false" ht="15" hidden="false" customHeight="false" outlineLevel="0" collapsed="false">
      <c r="A382" s="17" t="s">
        <v>353</v>
      </c>
      <c r="B382" s="17" t="s">
        <v>172</v>
      </c>
      <c r="C382" s="17" t="s">
        <v>141</v>
      </c>
      <c r="D382" s="17"/>
      <c r="E382" s="17" t="s">
        <v>144</v>
      </c>
      <c r="F382" s="17"/>
      <c r="G382" s="22" t="n">
        <f aca="false">COUNTIFS('Role Enclaves'!$D$7:$D$42,B382,'Role Enclaves'!$E$7:$E$42,C382,'Role Enclaves'!$B$7:$B$42,"&lt;&gt;"&amp;D382,'Role Enclaves'!$C$7:$C$42,"&lt;&gt;"&amp;E382)-IF(F382=C382,1,0)</f>
        <v>1</v>
      </c>
      <c r="H382" s="22" t="n">
        <f aca="false">COUNTIFS('Court Quorum'!$B$7:$B$24,B382,'Court Quorum'!$C$7:$C$24,"&lt;&gt;"&amp;D382,'Court Quorum'!$D$7:$D$24,"&lt;&gt;"&amp;E382)-IF(F382="Court",1,0)</f>
        <v>2</v>
      </c>
      <c r="I382" s="22" t="n">
        <f aca="false">Inputs!$B$10</f>
        <v>2</v>
      </c>
      <c r="J382" s="22" t="str">
        <f aca="false">IF(AND(G382&gt;=1,H382&gt;=I382),"PASS","FAIL")</f>
        <v>PASS</v>
      </c>
      <c r="K382" s="4"/>
      <c r="L382" s="4"/>
      <c r="M382" s="4"/>
      <c r="N382" s="4"/>
    </row>
    <row r="383" customFormat="false" ht="15" hidden="false" customHeight="false" outlineLevel="0" collapsed="false">
      <c r="A383" s="17" t="s">
        <v>353</v>
      </c>
      <c r="B383" s="17" t="s">
        <v>172</v>
      </c>
      <c r="C383" s="17" t="s">
        <v>145</v>
      </c>
      <c r="D383" s="17"/>
      <c r="E383" s="17" t="s">
        <v>144</v>
      </c>
      <c r="F383" s="17"/>
      <c r="G383" s="22" t="n">
        <f aca="false">COUNTIFS('Role Enclaves'!$D$7:$D$42,B383,'Role Enclaves'!$E$7:$E$42,C383,'Role Enclaves'!$B$7:$B$42,"&lt;&gt;"&amp;D383,'Role Enclaves'!$C$7:$C$42,"&lt;&gt;"&amp;E383)-IF(F383=C383,1,0)</f>
        <v>1</v>
      </c>
      <c r="H383" s="22" t="n">
        <f aca="false">COUNTIFS('Court Quorum'!$B$7:$B$24,B383,'Court Quorum'!$C$7:$C$24,"&lt;&gt;"&amp;D383,'Court Quorum'!$D$7:$D$24,"&lt;&gt;"&amp;E383)-IF(F383="Court",1,0)</f>
        <v>2</v>
      </c>
      <c r="I383" s="22" t="n">
        <f aca="false">Inputs!$B$10</f>
        <v>2</v>
      </c>
      <c r="J383" s="22" t="str">
        <f aca="false">IF(AND(G383&gt;=1,H383&gt;=I383),"PASS","FAIL")</f>
        <v>PASS</v>
      </c>
      <c r="K383" s="4"/>
      <c r="L383" s="4"/>
      <c r="M383" s="4"/>
      <c r="N383" s="4"/>
    </row>
    <row r="384" customFormat="false" ht="15" hidden="false" customHeight="false" outlineLevel="0" collapsed="false">
      <c r="A384" s="17" t="s">
        <v>353</v>
      </c>
      <c r="B384" s="17" t="s">
        <v>172</v>
      </c>
      <c r="C384" s="17" t="s">
        <v>142</v>
      </c>
      <c r="D384" s="17"/>
      <c r="E384" s="17" t="s">
        <v>144</v>
      </c>
      <c r="F384" s="17"/>
      <c r="G384" s="22" t="n">
        <f aca="false">COUNTIFS('Role Enclaves'!$D$7:$D$42,B384,'Role Enclaves'!$E$7:$E$42,C384,'Role Enclaves'!$B$7:$B$42,"&lt;&gt;"&amp;D384,'Role Enclaves'!$C$7:$C$42,"&lt;&gt;"&amp;E384)-IF(F384=C384,1,0)</f>
        <v>2</v>
      </c>
      <c r="H384" s="22" t="n">
        <f aca="false">COUNTIFS('Court Quorum'!$B$7:$B$24,B384,'Court Quorum'!$C$7:$C$24,"&lt;&gt;"&amp;D384,'Court Quorum'!$D$7:$D$24,"&lt;&gt;"&amp;E384)-IF(F384="Court",1,0)</f>
        <v>2</v>
      </c>
      <c r="I384" s="22" t="n">
        <f aca="false">Inputs!$B$10</f>
        <v>2</v>
      </c>
      <c r="J384" s="22" t="str">
        <f aca="false">IF(AND(G384&gt;=1,H384&gt;=I384),"PASS","FAIL")</f>
        <v>PASS</v>
      </c>
      <c r="K384" s="4"/>
      <c r="L384" s="4"/>
      <c r="M384" s="4"/>
      <c r="N384" s="4"/>
    </row>
    <row r="385" customFormat="false" ht="15" hidden="false" customHeight="false" outlineLevel="0" collapsed="false">
      <c r="A385" s="17" t="s">
        <v>354</v>
      </c>
      <c r="B385" s="17" t="s">
        <v>138</v>
      </c>
      <c r="C385" s="17" t="s">
        <v>141</v>
      </c>
      <c r="D385" s="17"/>
      <c r="E385" s="17" t="s">
        <v>153</v>
      </c>
      <c r="F385" s="17"/>
      <c r="G385" s="22" t="n">
        <f aca="false">COUNTIFS('Role Enclaves'!$D$7:$D$42,B385,'Role Enclaves'!$E$7:$E$42,C385,'Role Enclaves'!$B$7:$B$42,"&lt;&gt;"&amp;D385,'Role Enclaves'!$C$7:$C$42,"&lt;&gt;"&amp;E385)-IF(F385=C385,1,0)</f>
        <v>2</v>
      </c>
      <c r="H385" s="22" t="n">
        <f aca="false">COUNTIFS('Court Quorum'!$B$7:$B$24,B385,'Court Quorum'!$C$7:$C$24,"&lt;&gt;"&amp;D385,'Court Quorum'!$D$7:$D$24,"&lt;&gt;"&amp;E385)-IF(F385="Court",1,0)</f>
        <v>3</v>
      </c>
      <c r="I385" s="22" t="n">
        <f aca="false">Inputs!$B$10</f>
        <v>2</v>
      </c>
      <c r="J385" s="22" t="str">
        <f aca="false">IF(AND(G385&gt;=1,H385&gt;=I385),"PASS","FAIL")</f>
        <v>PASS</v>
      </c>
      <c r="K385" s="4"/>
      <c r="L385" s="4"/>
      <c r="M385" s="4"/>
      <c r="N385" s="4"/>
    </row>
    <row r="386" customFormat="false" ht="15" hidden="false" customHeight="false" outlineLevel="0" collapsed="false">
      <c r="A386" s="17" t="s">
        <v>354</v>
      </c>
      <c r="B386" s="17" t="s">
        <v>138</v>
      </c>
      <c r="C386" s="17" t="s">
        <v>145</v>
      </c>
      <c r="D386" s="17"/>
      <c r="E386" s="17" t="s">
        <v>153</v>
      </c>
      <c r="F386" s="17"/>
      <c r="G386" s="22" t="n">
        <f aca="false">COUNTIFS('Role Enclaves'!$D$7:$D$42,B386,'Role Enclaves'!$E$7:$E$42,C386,'Role Enclaves'!$B$7:$B$42,"&lt;&gt;"&amp;D386,'Role Enclaves'!$C$7:$C$42,"&lt;&gt;"&amp;E386)-IF(F386=C386,1,0)</f>
        <v>2</v>
      </c>
      <c r="H386" s="22" t="n">
        <f aca="false">COUNTIFS('Court Quorum'!$B$7:$B$24,B386,'Court Quorum'!$C$7:$C$24,"&lt;&gt;"&amp;D386,'Court Quorum'!$D$7:$D$24,"&lt;&gt;"&amp;E386)-IF(F386="Court",1,0)</f>
        <v>3</v>
      </c>
      <c r="I386" s="22" t="n">
        <f aca="false">Inputs!$B$10</f>
        <v>2</v>
      </c>
      <c r="J386" s="22" t="str">
        <f aca="false">IF(AND(G386&gt;=1,H386&gt;=I386),"PASS","FAIL")</f>
        <v>PASS</v>
      </c>
      <c r="K386" s="4"/>
      <c r="L386" s="4"/>
      <c r="M386" s="4"/>
      <c r="N386" s="4"/>
    </row>
    <row r="387" customFormat="false" ht="15" hidden="false" customHeight="false" outlineLevel="0" collapsed="false">
      <c r="A387" s="17" t="s">
        <v>354</v>
      </c>
      <c r="B387" s="17" t="s">
        <v>138</v>
      </c>
      <c r="C387" s="17" t="s">
        <v>142</v>
      </c>
      <c r="D387" s="17"/>
      <c r="E387" s="17" t="s">
        <v>153</v>
      </c>
      <c r="F387" s="17"/>
      <c r="G387" s="22" t="n">
        <f aca="false">COUNTIFS('Role Enclaves'!$D$7:$D$42,B387,'Role Enclaves'!$E$7:$E$42,C387,'Role Enclaves'!$B$7:$B$42,"&lt;&gt;"&amp;D387,'Role Enclaves'!$C$7:$C$42,"&lt;&gt;"&amp;E387)-IF(F387=C387,1,0)</f>
        <v>2</v>
      </c>
      <c r="H387" s="22" t="n">
        <f aca="false">COUNTIFS('Court Quorum'!$B$7:$B$24,B387,'Court Quorum'!$C$7:$C$24,"&lt;&gt;"&amp;D387,'Court Quorum'!$D$7:$D$24,"&lt;&gt;"&amp;E387)-IF(F387="Court",1,0)</f>
        <v>3</v>
      </c>
      <c r="I387" s="22" t="n">
        <f aca="false">Inputs!$B$10</f>
        <v>2</v>
      </c>
      <c r="J387" s="22" t="str">
        <f aca="false">IF(AND(G387&gt;=1,H387&gt;=I387),"PASS","FAIL")</f>
        <v>PASS</v>
      </c>
      <c r="K387" s="4"/>
      <c r="L387" s="4"/>
      <c r="M387" s="4"/>
      <c r="N387" s="4"/>
    </row>
    <row r="388" customFormat="false" ht="15" hidden="false" customHeight="false" outlineLevel="0" collapsed="false">
      <c r="A388" s="17" t="s">
        <v>354</v>
      </c>
      <c r="B388" s="17" t="s">
        <v>149</v>
      </c>
      <c r="C388" s="17" t="s">
        <v>141</v>
      </c>
      <c r="D388" s="17"/>
      <c r="E388" s="17" t="s">
        <v>153</v>
      </c>
      <c r="F388" s="17"/>
      <c r="G388" s="22" t="n">
        <f aca="false">COUNTIFS('Role Enclaves'!$D$7:$D$42,B388,'Role Enclaves'!$E$7:$E$42,C388,'Role Enclaves'!$B$7:$B$42,"&lt;&gt;"&amp;D388,'Role Enclaves'!$C$7:$C$42,"&lt;&gt;"&amp;E388)-IF(F388=C388,1,0)</f>
        <v>1</v>
      </c>
      <c r="H388" s="22" t="n">
        <f aca="false">COUNTIFS('Court Quorum'!$B$7:$B$24,B388,'Court Quorum'!$C$7:$C$24,"&lt;&gt;"&amp;D388,'Court Quorum'!$D$7:$D$24,"&lt;&gt;"&amp;E388)-IF(F388="Court",1,0)</f>
        <v>2</v>
      </c>
      <c r="I388" s="22" t="n">
        <f aca="false">Inputs!$B$10</f>
        <v>2</v>
      </c>
      <c r="J388" s="22" t="str">
        <f aca="false">IF(AND(G388&gt;=1,H388&gt;=I388),"PASS","FAIL")</f>
        <v>PASS</v>
      </c>
      <c r="K388" s="4"/>
      <c r="L388" s="4"/>
      <c r="M388" s="4"/>
      <c r="N388" s="4"/>
    </row>
    <row r="389" customFormat="false" ht="15" hidden="false" customHeight="false" outlineLevel="0" collapsed="false">
      <c r="A389" s="17" t="s">
        <v>354</v>
      </c>
      <c r="B389" s="17" t="s">
        <v>149</v>
      </c>
      <c r="C389" s="17" t="s">
        <v>145</v>
      </c>
      <c r="D389" s="17"/>
      <c r="E389" s="17" t="s">
        <v>153</v>
      </c>
      <c r="F389" s="17"/>
      <c r="G389" s="22" t="n">
        <f aca="false">COUNTIFS('Role Enclaves'!$D$7:$D$42,B389,'Role Enclaves'!$E$7:$E$42,C389,'Role Enclaves'!$B$7:$B$42,"&lt;&gt;"&amp;D389,'Role Enclaves'!$C$7:$C$42,"&lt;&gt;"&amp;E389)-IF(F389=C389,1,0)</f>
        <v>1</v>
      </c>
      <c r="H389" s="22" t="n">
        <f aca="false">COUNTIFS('Court Quorum'!$B$7:$B$24,B389,'Court Quorum'!$C$7:$C$24,"&lt;&gt;"&amp;D389,'Court Quorum'!$D$7:$D$24,"&lt;&gt;"&amp;E389)-IF(F389="Court",1,0)</f>
        <v>2</v>
      </c>
      <c r="I389" s="22" t="n">
        <f aca="false">Inputs!$B$10</f>
        <v>2</v>
      </c>
      <c r="J389" s="22" t="str">
        <f aca="false">IF(AND(G389&gt;=1,H389&gt;=I389),"PASS","FAIL")</f>
        <v>PASS</v>
      </c>
      <c r="K389" s="4"/>
      <c r="L389" s="4"/>
      <c r="M389" s="4"/>
      <c r="N389" s="4"/>
    </row>
    <row r="390" customFormat="false" ht="15" hidden="false" customHeight="false" outlineLevel="0" collapsed="false">
      <c r="A390" s="17" t="s">
        <v>354</v>
      </c>
      <c r="B390" s="17" t="s">
        <v>149</v>
      </c>
      <c r="C390" s="17" t="s">
        <v>142</v>
      </c>
      <c r="D390" s="17"/>
      <c r="E390" s="17" t="s">
        <v>153</v>
      </c>
      <c r="F390" s="17"/>
      <c r="G390" s="22" t="n">
        <f aca="false">COUNTIFS('Role Enclaves'!$D$7:$D$42,B390,'Role Enclaves'!$E$7:$E$42,C390,'Role Enclaves'!$B$7:$B$42,"&lt;&gt;"&amp;D390,'Role Enclaves'!$C$7:$C$42,"&lt;&gt;"&amp;E390)-IF(F390=C390,1,0)</f>
        <v>2</v>
      </c>
      <c r="H390" s="22" t="n">
        <f aca="false">COUNTIFS('Court Quorum'!$B$7:$B$24,B390,'Court Quorum'!$C$7:$C$24,"&lt;&gt;"&amp;D390,'Court Quorum'!$D$7:$D$24,"&lt;&gt;"&amp;E390)-IF(F390="Court",1,0)</f>
        <v>2</v>
      </c>
      <c r="I390" s="22" t="n">
        <f aca="false">Inputs!$B$10</f>
        <v>2</v>
      </c>
      <c r="J390" s="22" t="str">
        <f aca="false">IF(AND(G390&gt;=1,H390&gt;=I390),"PASS","FAIL")</f>
        <v>PASS</v>
      </c>
      <c r="K390" s="4"/>
      <c r="L390" s="4"/>
      <c r="M390" s="4"/>
      <c r="N390" s="4"/>
    </row>
    <row r="391" customFormat="false" ht="15" hidden="false" customHeight="false" outlineLevel="0" collapsed="false">
      <c r="A391" s="17" t="s">
        <v>354</v>
      </c>
      <c r="B391" s="17" t="s">
        <v>157</v>
      </c>
      <c r="C391" s="17" t="s">
        <v>141</v>
      </c>
      <c r="D391" s="17"/>
      <c r="E391" s="17" t="s">
        <v>153</v>
      </c>
      <c r="F391" s="17"/>
      <c r="G391" s="22" t="n">
        <f aca="false">COUNTIFS('Role Enclaves'!$D$7:$D$42,B391,'Role Enclaves'!$E$7:$E$42,C391,'Role Enclaves'!$B$7:$B$42,"&lt;&gt;"&amp;D391,'Role Enclaves'!$C$7:$C$42,"&lt;&gt;"&amp;E391)-IF(F391=C391,1,0)</f>
        <v>1</v>
      </c>
      <c r="H391" s="22" t="n">
        <f aca="false">COUNTIFS('Court Quorum'!$B$7:$B$24,B391,'Court Quorum'!$C$7:$C$24,"&lt;&gt;"&amp;D391,'Court Quorum'!$D$7:$D$24,"&lt;&gt;"&amp;E391)-IF(F391="Court",1,0)</f>
        <v>2</v>
      </c>
      <c r="I391" s="22" t="n">
        <f aca="false">Inputs!$B$10</f>
        <v>2</v>
      </c>
      <c r="J391" s="22" t="str">
        <f aca="false">IF(AND(G391&gt;=1,H391&gt;=I391),"PASS","FAIL")</f>
        <v>PASS</v>
      </c>
      <c r="K391" s="4"/>
      <c r="L391" s="4"/>
      <c r="M391" s="4"/>
      <c r="N391" s="4"/>
    </row>
    <row r="392" customFormat="false" ht="15" hidden="false" customHeight="false" outlineLevel="0" collapsed="false">
      <c r="A392" s="17" t="s">
        <v>354</v>
      </c>
      <c r="B392" s="17" t="s">
        <v>157</v>
      </c>
      <c r="C392" s="17" t="s">
        <v>145</v>
      </c>
      <c r="D392" s="17"/>
      <c r="E392" s="17" t="s">
        <v>153</v>
      </c>
      <c r="F392" s="17"/>
      <c r="G392" s="22" t="n">
        <f aca="false">COUNTIFS('Role Enclaves'!$D$7:$D$42,B392,'Role Enclaves'!$E$7:$E$42,C392,'Role Enclaves'!$B$7:$B$42,"&lt;&gt;"&amp;D392,'Role Enclaves'!$C$7:$C$42,"&lt;&gt;"&amp;E392)-IF(F392=C392,1,0)</f>
        <v>1</v>
      </c>
      <c r="H392" s="22" t="n">
        <f aca="false">COUNTIFS('Court Quorum'!$B$7:$B$24,B392,'Court Quorum'!$C$7:$C$24,"&lt;&gt;"&amp;D392,'Court Quorum'!$D$7:$D$24,"&lt;&gt;"&amp;E392)-IF(F392="Court",1,0)</f>
        <v>2</v>
      </c>
      <c r="I392" s="22" t="n">
        <f aca="false">Inputs!$B$10</f>
        <v>2</v>
      </c>
      <c r="J392" s="22" t="str">
        <f aca="false">IF(AND(G392&gt;=1,H392&gt;=I392),"PASS","FAIL")</f>
        <v>PASS</v>
      </c>
      <c r="K392" s="4"/>
      <c r="L392" s="4"/>
      <c r="M392" s="4"/>
      <c r="N392" s="4"/>
    </row>
    <row r="393" customFormat="false" ht="15" hidden="false" customHeight="false" outlineLevel="0" collapsed="false">
      <c r="A393" s="17" t="s">
        <v>354</v>
      </c>
      <c r="B393" s="17" t="s">
        <v>157</v>
      </c>
      <c r="C393" s="17" t="s">
        <v>142</v>
      </c>
      <c r="D393" s="17"/>
      <c r="E393" s="17" t="s">
        <v>153</v>
      </c>
      <c r="F393" s="17"/>
      <c r="G393" s="22" t="n">
        <f aca="false">COUNTIFS('Role Enclaves'!$D$7:$D$42,B393,'Role Enclaves'!$E$7:$E$42,C393,'Role Enclaves'!$B$7:$B$42,"&lt;&gt;"&amp;D393,'Role Enclaves'!$C$7:$C$42,"&lt;&gt;"&amp;E393)-IF(F393=C393,1,0)</f>
        <v>2</v>
      </c>
      <c r="H393" s="22" t="n">
        <f aca="false">COUNTIFS('Court Quorum'!$B$7:$B$24,B393,'Court Quorum'!$C$7:$C$24,"&lt;&gt;"&amp;D393,'Court Quorum'!$D$7:$D$24,"&lt;&gt;"&amp;E393)-IF(F393="Court",1,0)</f>
        <v>2</v>
      </c>
      <c r="I393" s="22" t="n">
        <f aca="false">Inputs!$B$10</f>
        <v>2</v>
      </c>
      <c r="J393" s="22" t="str">
        <f aca="false">IF(AND(G393&gt;=1,H393&gt;=I393),"PASS","FAIL")</f>
        <v>PASS</v>
      </c>
      <c r="K393" s="4"/>
      <c r="L393" s="4"/>
      <c r="M393" s="4"/>
      <c r="N393" s="4"/>
    </row>
    <row r="394" customFormat="false" ht="15" hidden="false" customHeight="false" outlineLevel="0" collapsed="false">
      <c r="A394" s="17" t="s">
        <v>354</v>
      </c>
      <c r="B394" s="17" t="s">
        <v>162</v>
      </c>
      <c r="C394" s="17" t="s">
        <v>141</v>
      </c>
      <c r="D394" s="17"/>
      <c r="E394" s="17" t="s">
        <v>153</v>
      </c>
      <c r="F394" s="17"/>
      <c r="G394" s="22" t="n">
        <f aca="false">COUNTIFS('Role Enclaves'!$D$7:$D$42,B394,'Role Enclaves'!$E$7:$E$42,C394,'Role Enclaves'!$B$7:$B$42,"&lt;&gt;"&amp;D394,'Role Enclaves'!$C$7:$C$42,"&lt;&gt;"&amp;E394)-IF(F394=C394,1,0)</f>
        <v>2</v>
      </c>
      <c r="H394" s="22" t="n">
        <f aca="false">COUNTIFS('Court Quorum'!$B$7:$B$24,B394,'Court Quorum'!$C$7:$C$24,"&lt;&gt;"&amp;D394,'Court Quorum'!$D$7:$D$24,"&lt;&gt;"&amp;E394)-IF(F394="Court",1,0)</f>
        <v>3</v>
      </c>
      <c r="I394" s="22" t="n">
        <f aca="false">Inputs!$B$10</f>
        <v>2</v>
      </c>
      <c r="J394" s="22" t="str">
        <f aca="false">IF(AND(G394&gt;=1,H394&gt;=I394),"PASS","FAIL")</f>
        <v>PASS</v>
      </c>
      <c r="K394" s="4"/>
      <c r="L394" s="4"/>
      <c r="M394" s="4"/>
      <c r="N394" s="4"/>
    </row>
    <row r="395" customFormat="false" ht="15" hidden="false" customHeight="false" outlineLevel="0" collapsed="false">
      <c r="A395" s="17" t="s">
        <v>354</v>
      </c>
      <c r="B395" s="17" t="s">
        <v>162</v>
      </c>
      <c r="C395" s="17" t="s">
        <v>145</v>
      </c>
      <c r="D395" s="17"/>
      <c r="E395" s="17" t="s">
        <v>153</v>
      </c>
      <c r="F395" s="17"/>
      <c r="G395" s="22" t="n">
        <f aca="false">COUNTIFS('Role Enclaves'!$D$7:$D$42,B395,'Role Enclaves'!$E$7:$E$42,C395,'Role Enclaves'!$B$7:$B$42,"&lt;&gt;"&amp;D395,'Role Enclaves'!$C$7:$C$42,"&lt;&gt;"&amp;E395)-IF(F395=C395,1,0)</f>
        <v>2</v>
      </c>
      <c r="H395" s="22" t="n">
        <f aca="false">COUNTIFS('Court Quorum'!$B$7:$B$24,B395,'Court Quorum'!$C$7:$C$24,"&lt;&gt;"&amp;D395,'Court Quorum'!$D$7:$D$24,"&lt;&gt;"&amp;E395)-IF(F395="Court",1,0)</f>
        <v>3</v>
      </c>
      <c r="I395" s="22" t="n">
        <f aca="false">Inputs!$B$10</f>
        <v>2</v>
      </c>
      <c r="J395" s="22" t="str">
        <f aca="false">IF(AND(G395&gt;=1,H395&gt;=I395),"PASS","FAIL")</f>
        <v>PASS</v>
      </c>
      <c r="K395" s="4"/>
      <c r="L395" s="4"/>
      <c r="M395" s="4"/>
      <c r="N395" s="4"/>
    </row>
    <row r="396" customFormat="false" ht="15" hidden="false" customHeight="false" outlineLevel="0" collapsed="false">
      <c r="A396" s="17" t="s">
        <v>354</v>
      </c>
      <c r="B396" s="17" t="s">
        <v>162</v>
      </c>
      <c r="C396" s="17" t="s">
        <v>142</v>
      </c>
      <c r="D396" s="17"/>
      <c r="E396" s="17" t="s">
        <v>153</v>
      </c>
      <c r="F396" s="17"/>
      <c r="G396" s="22" t="n">
        <f aca="false">COUNTIFS('Role Enclaves'!$D$7:$D$42,B396,'Role Enclaves'!$E$7:$E$42,C396,'Role Enclaves'!$B$7:$B$42,"&lt;&gt;"&amp;D396,'Role Enclaves'!$C$7:$C$42,"&lt;&gt;"&amp;E396)-IF(F396=C396,1,0)</f>
        <v>2</v>
      </c>
      <c r="H396" s="22" t="n">
        <f aca="false">COUNTIFS('Court Quorum'!$B$7:$B$24,B396,'Court Quorum'!$C$7:$C$24,"&lt;&gt;"&amp;D396,'Court Quorum'!$D$7:$D$24,"&lt;&gt;"&amp;E396)-IF(F396="Court",1,0)</f>
        <v>3</v>
      </c>
      <c r="I396" s="22" t="n">
        <f aca="false">Inputs!$B$10</f>
        <v>2</v>
      </c>
      <c r="J396" s="22" t="str">
        <f aca="false">IF(AND(G396&gt;=1,H396&gt;=I396),"PASS","FAIL")</f>
        <v>PASS</v>
      </c>
      <c r="K396" s="4"/>
      <c r="L396" s="4"/>
      <c r="M396" s="4"/>
      <c r="N396" s="4"/>
    </row>
    <row r="397" customFormat="false" ht="15" hidden="false" customHeight="false" outlineLevel="0" collapsed="false">
      <c r="A397" s="17" t="s">
        <v>354</v>
      </c>
      <c r="B397" s="17" t="s">
        <v>167</v>
      </c>
      <c r="C397" s="17" t="s">
        <v>141</v>
      </c>
      <c r="D397" s="17"/>
      <c r="E397" s="17" t="s">
        <v>153</v>
      </c>
      <c r="F397" s="17"/>
      <c r="G397" s="22" t="n">
        <f aca="false">COUNTIFS('Role Enclaves'!$D$7:$D$42,B397,'Role Enclaves'!$E$7:$E$42,C397,'Role Enclaves'!$B$7:$B$42,"&lt;&gt;"&amp;D397,'Role Enclaves'!$C$7:$C$42,"&lt;&gt;"&amp;E397)-IF(F397=C397,1,0)</f>
        <v>1</v>
      </c>
      <c r="H397" s="22" t="n">
        <f aca="false">COUNTIFS('Court Quorum'!$B$7:$B$24,B397,'Court Quorum'!$C$7:$C$24,"&lt;&gt;"&amp;D397,'Court Quorum'!$D$7:$D$24,"&lt;&gt;"&amp;E397)-IF(F397="Court",1,0)</f>
        <v>2</v>
      </c>
      <c r="I397" s="22" t="n">
        <f aca="false">Inputs!$B$10</f>
        <v>2</v>
      </c>
      <c r="J397" s="22" t="str">
        <f aca="false">IF(AND(G397&gt;=1,H397&gt;=I397),"PASS","FAIL")</f>
        <v>PASS</v>
      </c>
      <c r="K397" s="4"/>
      <c r="L397" s="4"/>
      <c r="M397" s="4"/>
      <c r="N397" s="4"/>
    </row>
    <row r="398" customFormat="false" ht="15" hidden="false" customHeight="false" outlineLevel="0" collapsed="false">
      <c r="A398" s="17" t="s">
        <v>354</v>
      </c>
      <c r="B398" s="17" t="s">
        <v>167</v>
      </c>
      <c r="C398" s="17" t="s">
        <v>145</v>
      </c>
      <c r="D398" s="17"/>
      <c r="E398" s="17" t="s">
        <v>153</v>
      </c>
      <c r="F398" s="17"/>
      <c r="G398" s="22" t="n">
        <f aca="false">COUNTIFS('Role Enclaves'!$D$7:$D$42,B398,'Role Enclaves'!$E$7:$E$42,C398,'Role Enclaves'!$B$7:$B$42,"&lt;&gt;"&amp;D398,'Role Enclaves'!$C$7:$C$42,"&lt;&gt;"&amp;E398)-IF(F398=C398,1,0)</f>
        <v>1</v>
      </c>
      <c r="H398" s="22" t="n">
        <f aca="false">COUNTIFS('Court Quorum'!$B$7:$B$24,B398,'Court Quorum'!$C$7:$C$24,"&lt;&gt;"&amp;D398,'Court Quorum'!$D$7:$D$24,"&lt;&gt;"&amp;E398)-IF(F398="Court",1,0)</f>
        <v>2</v>
      </c>
      <c r="I398" s="22" t="n">
        <f aca="false">Inputs!$B$10</f>
        <v>2</v>
      </c>
      <c r="J398" s="22" t="str">
        <f aca="false">IF(AND(G398&gt;=1,H398&gt;=I398),"PASS","FAIL")</f>
        <v>PASS</v>
      </c>
      <c r="K398" s="4"/>
      <c r="L398" s="4"/>
      <c r="M398" s="4"/>
      <c r="N398" s="4"/>
    </row>
    <row r="399" customFormat="false" ht="15" hidden="false" customHeight="false" outlineLevel="0" collapsed="false">
      <c r="A399" s="17" t="s">
        <v>354</v>
      </c>
      <c r="B399" s="17" t="s">
        <v>167</v>
      </c>
      <c r="C399" s="17" t="s">
        <v>142</v>
      </c>
      <c r="D399" s="17"/>
      <c r="E399" s="17" t="s">
        <v>153</v>
      </c>
      <c r="F399" s="17"/>
      <c r="G399" s="22" t="n">
        <f aca="false">COUNTIFS('Role Enclaves'!$D$7:$D$42,B399,'Role Enclaves'!$E$7:$E$42,C399,'Role Enclaves'!$B$7:$B$42,"&lt;&gt;"&amp;D399,'Role Enclaves'!$C$7:$C$42,"&lt;&gt;"&amp;E399)-IF(F399=C399,1,0)</f>
        <v>2</v>
      </c>
      <c r="H399" s="22" t="n">
        <f aca="false">COUNTIFS('Court Quorum'!$B$7:$B$24,B399,'Court Quorum'!$C$7:$C$24,"&lt;&gt;"&amp;D399,'Court Quorum'!$D$7:$D$24,"&lt;&gt;"&amp;E399)-IF(F399="Court",1,0)</f>
        <v>2</v>
      </c>
      <c r="I399" s="22" t="n">
        <f aca="false">Inputs!$B$10</f>
        <v>2</v>
      </c>
      <c r="J399" s="22" t="str">
        <f aca="false">IF(AND(G399&gt;=1,H399&gt;=I399),"PASS","FAIL")</f>
        <v>PASS</v>
      </c>
      <c r="K399" s="4"/>
      <c r="L399" s="4"/>
      <c r="M399" s="4"/>
      <c r="N399" s="4"/>
    </row>
    <row r="400" customFormat="false" ht="15" hidden="false" customHeight="false" outlineLevel="0" collapsed="false">
      <c r="A400" s="17" t="s">
        <v>354</v>
      </c>
      <c r="B400" s="17" t="s">
        <v>172</v>
      </c>
      <c r="C400" s="17" t="s">
        <v>141</v>
      </c>
      <c r="D400" s="17"/>
      <c r="E400" s="17" t="s">
        <v>153</v>
      </c>
      <c r="F400" s="17"/>
      <c r="G400" s="22" t="n">
        <f aca="false">COUNTIFS('Role Enclaves'!$D$7:$D$42,B400,'Role Enclaves'!$E$7:$E$42,C400,'Role Enclaves'!$B$7:$B$42,"&lt;&gt;"&amp;D400,'Role Enclaves'!$C$7:$C$42,"&lt;&gt;"&amp;E400)-IF(F400=C400,1,0)</f>
        <v>2</v>
      </c>
      <c r="H400" s="22" t="n">
        <f aca="false">COUNTIFS('Court Quorum'!$B$7:$B$24,B400,'Court Quorum'!$C$7:$C$24,"&lt;&gt;"&amp;D400,'Court Quorum'!$D$7:$D$24,"&lt;&gt;"&amp;E400)-IF(F400="Court",1,0)</f>
        <v>3</v>
      </c>
      <c r="I400" s="22" t="n">
        <f aca="false">Inputs!$B$10</f>
        <v>2</v>
      </c>
      <c r="J400" s="22" t="str">
        <f aca="false">IF(AND(G400&gt;=1,H400&gt;=I400),"PASS","FAIL")</f>
        <v>PASS</v>
      </c>
      <c r="K400" s="4"/>
      <c r="L400" s="4"/>
      <c r="M400" s="4"/>
      <c r="N400" s="4"/>
    </row>
    <row r="401" customFormat="false" ht="15" hidden="false" customHeight="false" outlineLevel="0" collapsed="false">
      <c r="A401" s="17" t="s">
        <v>354</v>
      </c>
      <c r="B401" s="17" t="s">
        <v>172</v>
      </c>
      <c r="C401" s="17" t="s">
        <v>145</v>
      </c>
      <c r="D401" s="17"/>
      <c r="E401" s="17" t="s">
        <v>153</v>
      </c>
      <c r="F401" s="17"/>
      <c r="G401" s="22" t="n">
        <f aca="false">COUNTIFS('Role Enclaves'!$D$7:$D$42,B401,'Role Enclaves'!$E$7:$E$42,C401,'Role Enclaves'!$B$7:$B$42,"&lt;&gt;"&amp;D401,'Role Enclaves'!$C$7:$C$42,"&lt;&gt;"&amp;E401)-IF(F401=C401,1,0)</f>
        <v>2</v>
      </c>
      <c r="H401" s="22" t="n">
        <f aca="false">COUNTIFS('Court Quorum'!$B$7:$B$24,B401,'Court Quorum'!$C$7:$C$24,"&lt;&gt;"&amp;D401,'Court Quorum'!$D$7:$D$24,"&lt;&gt;"&amp;E401)-IF(F401="Court",1,0)</f>
        <v>3</v>
      </c>
      <c r="I401" s="22" t="n">
        <f aca="false">Inputs!$B$10</f>
        <v>2</v>
      </c>
      <c r="J401" s="22" t="str">
        <f aca="false">IF(AND(G401&gt;=1,H401&gt;=I401),"PASS","FAIL")</f>
        <v>PASS</v>
      </c>
      <c r="K401" s="4"/>
      <c r="L401" s="4"/>
      <c r="M401" s="4"/>
      <c r="N401" s="4"/>
    </row>
    <row r="402" customFormat="false" ht="15" hidden="false" customHeight="false" outlineLevel="0" collapsed="false">
      <c r="A402" s="17" t="s">
        <v>354</v>
      </c>
      <c r="B402" s="17" t="s">
        <v>172</v>
      </c>
      <c r="C402" s="17" t="s">
        <v>142</v>
      </c>
      <c r="D402" s="17"/>
      <c r="E402" s="17" t="s">
        <v>153</v>
      </c>
      <c r="F402" s="17"/>
      <c r="G402" s="22" t="n">
        <f aca="false">COUNTIFS('Role Enclaves'!$D$7:$D$42,B402,'Role Enclaves'!$E$7:$E$42,C402,'Role Enclaves'!$B$7:$B$42,"&lt;&gt;"&amp;D402,'Role Enclaves'!$C$7:$C$42,"&lt;&gt;"&amp;E402)-IF(F402=C402,1,0)</f>
        <v>2</v>
      </c>
      <c r="H402" s="22" t="n">
        <f aca="false">COUNTIFS('Court Quorum'!$B$7:$B$24,B402,'Court Quorum'!$C$7:$C$24,"&lt;&gt;"&amp;D402,'Court Quorum'!$D$7:$D$24,"&lt;&gt;"&amp;E402)-IF(F402="Court",1,0)</f>
        <v>3</v>
      </c>
      <c r="I402" s="22" t="n">
        <f aca="false">Inputs!$B$10</f>
        <v>2</v>
      </c>
      <c r="J402" s="22" t="str">
        <f aca="false">IF(AND(G402&gt;=1,H402&gt;=I402),"PASS","FAIL")</f>
        <v>PASS</v>
      </c>
      <c r="K402" s="4"/>
      <c r="L402" s="4"/>
      <c r="M402" s="4"/>
      <c r="N402" s="4"/>
    </row>
    <row r="403" customFormat="false" ht="15" hidden="false" customHeight="false" outlineLevel="0" collapsed="false">
      <c r="A403" s="17" t="s">
        <v>355</v>
      </c>
      <c r="B403" s="17" t="s">
        <v>138</v>
      </c>
      <c r="C403" s="17" t="s">
        <v>141</v>
      </c>
      <c r="D403" s="17"/>
      <c r="E403" s="17" t="s">
        <v>147</v>
      </c>
      <c r="F403" s="17"/>
      <c r="G403" s="22" t="n">
        <f aca="false">COUNTIFS('Role Enclaves'!$D$7:$D$42,B403,'Role Enclaves'!$E$7:$E$42,C403,'Role Enclaves'!$B$7:$B$42,"&lt;&gt;"&amp;D403,'Role Enclaves'!$C$7:$C$42,"&lt;&gt;"&amp;E403)-IF(F403=C403,1,0)</f>
        <v>2</v>
      </c>
      <c r="H403" s="22" t="n">
        <f aca="false">COUNTIFS('Court Quorum'!$B$7:$B$24,B403,'Court Quorum'!$C$7:$C$24,"&lt;&gt;"&amp;D403,'Court Quorum'!$D$7:$D$24,"&lt;&gt;"&amp;E403)-IF(F403="Court",1,0)</f>
        <v>2</v>
      </c>
      <c r="I403" s="22" t="n">
        <f aca="false">Inputs!$B$10</f>
        <v>2</v>
      </c>
      <c r="J403" s="22" t="str">
        <f aca="false">IF(AND(G403&gt;=1,H403&gt;=I403),"PASS","FAIL")</f>
        <v>PASS</v>
      </c>
      <c r="K403" s="4"/>
      <c r="L403" s="4"/>
      <c r="M403" s="4"/>
      <c r="N403" s="4"/>
    </row>
    <row r="404" customFormat="false" ht="15" hidden="false" customHeight="false" outlineLevel="0" collapsed="false">
      <c r="A404" s="17" t="s">
        <v>355</v>
      </c>
      <c r="B404" s="17" t="s">
        <v>138</v>
      </c>
      <c r="C404" s="17" t="s">
        <v>145</v>
      </c>
      <c r="D404" s="17"/>
      <c r="E404" s="17" t="s">
        <v>147</v>
      </c>
      <c r="F404" s="17"/>
      <c r="G404" s="22" t="n">
        <f aca="false">COUNTIFS('Role Enclaves'!$D$7:$D$42,B404,'Role Enclaves'!$E$7:$E$42,C404,'Role Enclaves'!$B$7:$B$42,"&lt;&gt;"&amp;D404,'Role Enclaves'!$C$7:$C$42,"&lt;&gt;"&amp;E404)-IF(F404=C404,1,0)</f>
        <v>1</v>
      </c>
      <c r="H404" s="22" t="n">
        <f aca="false">COUNTIFS('Court Quorum'!$B$7:$B$24,B404,'Court Quorum'!$C$7:$C$24,"&lt;&gt;"&amp;D404,'Court Quorum'!$D$7:$D$24,"&lt;&gt;"&amp;E404)-IF(F404="Court",1,0)</f>
        <v>2</v>
      </c>
      <c r="I404" s="22" t="n">
        <f aca="false">Inputs!$B$10</f>
        <v>2</v>
      </c>
      <c r="J404" s="22" t="str">
        <f aca="false">IF(AND(G404&gt;=1,H404&gt;=I404),"PASS","FAIL")</f>
        <v>PASS</v>
      </c>
      <c r="K404" s="4"/>
      <c r="L404" s="4"/>
      <c r="M404" s="4"/>
      <c r="N404" s="4"/>
    </row>
    <row r="405" customFormat="false" ht="15" hidden="false" customHeight="false" outlineLevel="0" collapsed="false">
      <c r="A405" s="17" t="s">
        <v>355</v>
      </c>
      <c r="B405" s="17" t="s">
        <v>138</v>
      </c>
      <c r="C405" s="17" t="s">
        <v>142</v>
      </c>
      <c r="D405" s="17"/>
      <c r="E405" s="17" t="s">
        <v>147</v>
      </c>
      <c r="F405" s="17"/>
      <c r="G405" s="22" t="n">
        <f aca="false">COUNTIFS('Role Enclaves'!$D$7:$D$42,B405,'Role Enclaves'!$E$7:$E$42,C405,'Role Enclaves'!$B$7:$B$42,"&lt;&gt;"&amp;D405,'Role Enclaves'!$C$7:$C$42,"&lt;&gt;"&amp;E405)-IF(F405=C405,1,0)</f>
        <v>1</v>
      </c>
      <c r="H405" s="22" t="n">
        <f aca="false">COUNTIFS('Court Quorum'!$B$7:$B$24,B405,'Court Quorum'!$C$7:$C$24,"&lt;&gt;"&amp;D405,'Court Quorum'!$D$7:$D$24,"&lt;&gt;"&amp;E405)-IF(F405="Court",1,0)</f>
        <v>2</v>
      </c>
      <c r="I405" s="22" t="n">
        <f aca="false">Inputs!$B$10</f>
        <v>2</v>
      </c>
      <c r="J405" s="22" t="str">
        <f aca="false">IF(AND(G405&gt;=1,H405&gt;=I405),"PASS","FAIL")</f>
        <v>PASS</v>
      </c>
      <c r="K405" s="4"/>
      <c r="L405" s="4"/>
      <c r="M405" s="4"/>
      <c r="N405" s="4"/>
    </row>
    <row r="406" customFormat="false" ht="15" hidden="false" customHeight="false" outlineLevel="0" collapsed="false">
      <c r="A406" s="17" t="s">
        <v>355</v>
      </c>
      <c r="B406" s="17" t="s">
        <v>149</v>
      </c>
      <c r="C406" s="17" t="s">
        <v>141</v>
      </c>
      <c r="D406" s="17"/>
      <c r="E406" s="17" t="s">
        <v>147</v>
      </c>
      <c r="F406" s="17"/>
      <c r="G406" s="22" t="n">
        <f aca="false">COUNTIFS('Role Enclaves'!$D$7:$D$42,B406,'Role Enclaves'!$E$7:$E$42,C406,'Role Enclaves'!$B$7:$B$42,"&lt;&gt;"&amp;D406,'Role Enclaves'!$C$7:$C$42,"&lt;&gt;"&amp;E406)-IF(F406=C406,1,0)</f>
        <v>2</v>
      </c>
      <c r="H406" s="22" t="n">
        <f aca="false">COUNTIFS('Court Quorum'!$B$7:$B$24,B406,'Court Quorum'!$C$7:$C$24,"&lt;&gt;"&amp;D406,'Court Quorum'!$D$7:$D$24,"&lt;&gt;"&amp;E406)-IF(F406="Court",1,0)</f>
        <v>3</v>
      </c>
      <c r="I406" s="22" t="n">
        <f aca="false">Inputs!$B$10</f>
        <v>2</v>
      </c>
      <c r="J406" s="22" t="str">
        <f aca="false">IF(AND(G406&gt;=1,H406&gt;=I406),"PASS","FAIL")</f>
        <v>PASS</v>
      </c>
      <c r="K406" s="4"/>
      <c r="L406" s="4"/>
      <c r="M406" s="4"/>
      <c r="N406" s="4"/>
    </row>
    <row r="407" customFormat="false" ht="15" hidden="false" customHeight="false" outlineLevel="0" collapsed="false">
      <c r="A407" s="17" t="s">
        <v>355</v>
      </c>
      <c r="B407" s="17" t="s">
        <v>149</v>
      </c>
      <c r="C407" s="17" t="s">
        <v>145</v>
      </c>
      <c r="D407" s="17"/>
      <c r="E407" s="17" t="s">
        <v>147</v>
      </c>
      <c r="F407" s="17"/>
      <c r="G407" s="22" t="n">
        <f aca="false">COUNTIFS('Role Enclaves'!$D$7:$D$42,B407,'Role Enclaves'!$E$7:$E$42,C407,'Role Enclaves'!$B$7:$B$42,"&lt;&gt;"&amp;D407,'Role Enclaves'!$C$7:$C$42,"&lt;&gt;"&amp;E407)-IF(F407=C407,1,0)</f>
        <v>2</v>
      </c>
      <c r="H407" s="22" t="n">
        <f aca="false">COUNTIFS('Court Quorum'!$B$7:$B$24,B407,'Court Quorum'!$C$7:$C$24,"&lt;&gt;"&amp;D407,'Court Quorum'!$D$7:$D$24,"&lt;&gt;"&amp;E407)-IF(F407="Court",1,0)</f>
        <v>3</v>
      </c>
      <c r="I407" s="22" t="n">
        <f aca="false">Inputs!$B$10</f>
        <v>2</v>
      </c>
      <c r="J407" s="22" t="str">
        <f aca="false">IF(AND(G407&gt;=1,H407&gt;=I407),"PASS","FAIL")</f>
        <v>PASS</v>
      </c>
      <c r="K407" s="4"/>
      <c r="L407" s="4"/>
      <c r="M407" s="4"/>
      <c r="N407" s="4"/>
    </row>
    <row r="408" customFormat="false" ht="15" hidden="false" customHeight="false" outlineLevel="0" collapsed="false">
      <c r="A408" s="17" t="s">
        <v>355</v>
      </c>
      <c r="B408" s="17" t="s">
        <v>149</v>
      </c>
      <c r="C408" s="17" t="s">
        <v>142</v>
      </c>
      <c r="D408" s="17"/>
      <c r="E408" s="17" t="s">
        <v>147</v>
      </c>
      <c r="F408" s="17"/>
      <c r="G408" s="22" t="n">
        <f aca="false">COUNTIFS('Role Enclaves'!$D$7:$D$42,B408,'Role Enclaves'!$E$7:$E$42,C408,'Role Enclaves'!$B$7:$B$42,"&lt;&gt;"&amp;D408,'Role Enclaves'!$C$7:$C$42,"&lt;&gt;"&amp;E408)-IF(F408=C408,1,0)</f>
        <v>2</v>
      </c>
      <c r="H408" s="22" t="n">
        <f aca="false">COUNTIFS('Court Quorum'!$B$7:$B$24,B408,'Court Quorum'!$C$7:$C$24,"&lt;&gt;"&amp;D408,'Court Quorum'!$D$7:$D$24,"&lt;&gt;"&amp;E408)-IF(F408="Court",1,0)</f>
        <v>3</v>
      </c>
      <c r="I408" s="22" t="n">
        <f aca="false">Inputs!$B$10</f>
        <v>2</v>
      </c>
      <c r="J408" s="22" t="str">
        <f aca="false">IF(AND(G408&gt;=1,H408&gt;=I408),"PASS","FAIL")</f>
        <v>PASS</v>
      </c>
      <c r="K408" s="4"/>
      <c r="L408" s="4"/>
      <c r="M408" s="4"/>
      <c r="N408" s="4"/>
    </row>
    <row r="409" customFormat="false" ht="15" hidden="false" customHeight="false" outlineLevel="0" collapsed="false">
      <c r="A409" s="17" t="s">
        <v>355</v>
      </c>
      <c r="B409" s="17" t="s">
        <v>157</v>
      </c>
      <c r="C409" s="17" t="s">
        <v>141</v>
      </c>
      <c r="D409" s="17"/>
      <c r="E409" s="17" t="s">
        <v>147</v>
      </c>
      <c r="F409" s="17"/>
      <c r="G409" s="22" t="n">
        <f aca="false">COUNTIFS('Role Enclaves'!$D$7:$D$42,B409,'Role Enclaves'!$E$7:$E$42,C409,'Role Enclaves'!$B$7:$B$42,"&lt;&gt;"&amp;D409,'Role Enclaves'!$C$7:$C$42,"&lt;&gt;"&amp;E409)-IF(F409=C409,1,0)</f>
        <v>2</v>
      </c>
      <c r="H409" s="22" t="n">
        <f aca="false">COUNTIFS('Court Quorum'!$B$7:$B$24,B409,'Court Quorum'!$C$7:$C$24,"&lt;&gt;"&amp;D409,'Court Quorum'!$D$7:$D$24,"&lt;&gt;"&amp;E409)-IF(F409="Court",1,0)</f>
        <v>2</v>
      </c>
      <c r="I409" s="22" t="n">
        <f aca="false">Inputs!$B$10</f>
        <v>2</v>
      </c>
      <c r="J409" s="22" t="str">
        <f aca="false">IF(AND(G409&gt;=1,H409&gt;=I409),"PASS","FAIL")</f>
        <v>PASS</v>
      </c>
      <c r="K409" s="4"/>
      <c r="L409" s="4"/>
      <c r="M409" s="4"/>
      <c r="N409" s="4"/>
    </row>
    <row r="410" customFormat="false" ht="15" hidden="false" customHeight="false" outlineLevel="0" collapsed="false">
      <c r="A410" s="17" t="s">
        <v>355</v>
      </c>
      <c r="B410" s="17" t="s">
        <v>157</v>
      </c>
      <c r="C410" s="17" t="s">
        <v>145</v>
      </c>
      <c r="D410" s="17"/>
      <c r="E410" s="17" t="s">
        <v>147</v>
      </c>
      <c r="F410" s="17"/>
      <c r="G410" s="22" t="n">
        <f aca="false">COUNTIFS('Role Enclaves'!$D$7:$D$42,B410,'Role Enclaves'!$E$7:$E$42,C410,'Role Enclaves'!$B$7:$B$42,"&lt;&gt;"&amp;D410,'Role Enclaves'!$C$7:$C$42,"&lt;&gt;"&amp;E410)-IF(F410=C410,1,0)</f>
        <v>1</v>
      </c>
      <c r="H410" s="22" t="n">
        <f aca="false">COUNTIFS('Court Quorum'!$B$7:$B$24,B410,'Court Quorum'!$C$7:$C$24,"&lt;&gt;"&amp;D410,'Court Quorum'!$D$7:$D$24,"&lt;&gt;"&amp;E410)-IF(F410="Court",1,0)</f>
        <v>2</v>
      </c>
      <c r="I410" s="22" t="n">
        <f aca="false">Inputs!$B$10</f>
        <v>2</v>
      </c>
      <c r="J410" s="22" t="str">
        <f aca="false">IF(AND(G410&gt;=1,H410&gt;=I410),"PASS","FAIL")</f>
        <v>PASS</v>
      </c>
      <c r="K410" s="4"/>
      <c r="L410" s="4"/>
      <c r="M410" s="4"/>
      <c r="N410" s="4"/>
    </row>
    <row r="411" customFormat="false" ht="15" hidden="false" customHeight="false" outlineLevel="0" collapsed="false">
      <c r="A411" s="17" t="s">
        <v>355</v>
      </c>
      <c r="B411" s="17" t="s">
        <v>157</v>
      </c>
      <c r="C411" s="17" t="s">
        <v>142</v>
      </c>
      <c r="D411" s="17"/>
      <c r="E411" s="17" t="s">
        <v>147</v>
      </c>
      <c r="F411" s="17"/>
      <c r="G411" s="22" t="n">
        <f aca="false">COUNTIFS('Role Enclaves'!$D$7:$D$42,B411,'Role Enclaves'!$E$7:$E$42,C411,'Role Enclaves'!$B$7:$B$42,"&lt;&gt;"&amp;D411,'Role Enclaves'!$C$7:$C$42,"&lt;&gt;"&amp;E411)-IF(F411=C411,1,0)</f>
        <v>1</v>
      </c>
      <c r="H411" s="22" t="n">
        <f aca="false">COUNTIFS('Court Quorum'!$B$7:$B$24,B411,'Court Quorum'!$C$7:$C$24,"&lt;&gt;"&amp;D411,'Court Quorum'!$D$7:$D$24,"&lt;&gt;"&amp;E411)-IF(F411="Court",1,0)</f>
        <v>2</v>
      </c>
      <c r="I411" s="22" t="n">
        <f aca="false">Inputs!$B$10</f>
        <v>2</v>
      </c>
      <c r="J411" s="22" t="str">
        <f aca="false">IF(AND(G411&gt;=1,H411&gt;=I411),"PASS","FAIL")</f>
        <v>PASS</v>
      </c>
      <c r="K411" s="4"/>
      <c r="L411" s="4"/>
      <c r="M411" s="4"/>
      <c r="N411" s="4"/>
    </row>
    <row r="412" customFormat="false" ht="15" hidden="false" customHeight="false" outlineLevel="0" collapsed="false">
      <c r="A412" s="17" t="s">
        <v>355</v>
      </c>
      <c r="B412" s="17" t="s">
        <v>162</v>
      </c>
      <c r="C412" s="17" t="s">
        <v>141</v>
      </c>
      <c r="D412" s="17"/>
      <c r="E412" s="17" t="s">
        <v>147</v>
      </c>
      <c r="F412" s="17"/>
      <c r="G412" s="22" t="n">
        <f aca="false">COUNTIFS('Role Enclaves'!$D$7:$D$42,B412,'Role Enclaves'!$E$7:$E$42,C412,'Role Enclaves'!$B$7:$B$42,"&lt;&gt;"&amp;D412,'Role Enclaves'!$C$7:$C$42,"&lt;&gt;"&amp;E412)-IF(F412=C412,1,0)</f>
        <v>2</v>
      </c>
      <c r="H412" s="22" t="n">
        <f aca="false">COUNTIFS('Court Quorum'!$B$7:$B$24,B412,'Court Quorum'!$C$7:$C$24,"&lt;&gt;"&amp;D412,'Court Quorum'!$D$7:$D$24,"&lt;&gt;"&amp;E412)-IF(F412="Court",1,0)</f>
        <v>3</v>
      </c>
      <c r="I412" s="22" t="n">
        <f aca="false">Inputs!$B$10</f>
        <v>2</v>
      </c>
      <c r="J412" s="22" t="str">
        <f aca="false">IF(AND(G412&gt;=1,H412&gt;=I412),"PASS","FAIL")</f>
        <v>PASS</v>
      </c>
      <c r="K412" s="4"/>
      <c r="L412" s="4"/>
      <c r="M412" s="4"/>
      <c r="N412" s="4"/>
    </row>
    <row r="413" customFormat="false" ht="15" hidden="false" customHeight="false" outlineLevel="0" collapsed="false">
      <c r="A413" s="17" t="s">
        <v>355</v>
      </c>
      <c r="B413" s="17" t="s">
        <v>162</v>
      </c>
      <c r="C413" s="17" t="s">
        <v>145</v>
      </c>
      <c r="D413" s="17"/>
      <c r="E413" s="17" t="s">
        <v>147</v>
      </c>
      <c r="F413" s="17"/>
      <c r="G413" s="22" t="n">
        <f aca="false">COUNTIFS('Role Enclaves'!$D$7:$D$42,B413,'Role Enclaves'!$E$7:$E$42,C413,'Role Enclaves'!$B$7:$B$42,"&lt;&gt;"&amp;D413,'Role Enclaves'!$C$7:$C$42,"&lt;&gt;"&amp;E413)-IF(F413=C413,1,0)</f>
        <v>2</v>
      </c>
      <c r="H413" s="22" t="n">
        <f aca="false">COUNTIFS('Court Quorum'!$B$7:$B$24,B413,'Court Quorum'!$C$7:$C$24,"&lt;&gt;"&amp;D413,'Court Quorum'!$D$7:$D$24,"&lt;&gt;"&amp;E413)-IF(F413="Court",1,0)</f>
        <v>3</v>
      </c>
      <c r="I413" s="22" t="n">
        <f aca="false">Inputs!$B$10</f>
        <v>2</v>
      </c>
      <c r="J413" s="22" t="str">
        <f aca="false">IF(AND(G413&gt;=1,H413&gt;=I413),"PASS","FAIL")</f>
        <v>PASS</v>
      </c>
      <c r="K413" s="4"/>
      <c r="L413" s="4"/>
      <c r="M413" s="4"/>
      <c r="N413" s="4"/>
    </row>
    <row r="414" customFormat="false" ht="15" hidden="false" customHeight="false" outlineLevel="0" collapsed="false">
      <c r="A414" s="17" t="s">
        <v>355</v>
      </c>
      <c r="B414" s="17" t="s">
        <v>162</v>
      </c>
      <c r="C414" s="17" t="s">
        <v>142</v>
      </c>
      <c r="D414" s="17"/>
      <c r="E414" s="17" t="s">
        <v>147</v>
      </c>
      <c r="F414" s="17"/>
      <c r="G414" s="22" t="n">
        <f aca="false">COUNTIFS('Role Enclaves'!$D$7:$D$42,B414,'Role Enclaves'!$E$7:$E$42,C414,'Role Enclaves'!$B$7:$B$42,"&lt;&gt;"&amp;D414,'Role Enclaves'!$C$7:$C$42,"&lt;&gt;"&amp;E414)-IF(F414=C414,1,0)</f>
        <v>2</v>
      </c>
      <c r="H414" s="22" t="n">
        <f aca="false">COUNTIFS('Court Quorum'!$B$7:$B$24,B414,'Court Quorum'!$C$7:$C$24,"&lt;&gt;"&amp;D414,'Court Quorum'!$D$7:$D$24,"&lt;&gt;"&amp;E414)-IF(F414="Court",1,0)</f>
        <v>3</v>
      </c>
      <c r="I414" s="22" t="n">
        <f aca="false">Inputs!$B$10</f>
        <v>2</v>
      </c>
      <c r="J414" s="22" t="str">
        <f aca="false">IF(AND(G414&gt;=1,H414&gt;=I414),"PASS","FAIL")</f>
        <v>PASS</v>
      </c>
      <c r="K414" s="4"/>
      <c r="L414" s="4"/>
      <c r="M414" s="4"/>
      <c r="N414" s="4"/>
    </row>
    <row r="415" customFormat="false" ht="15" hidden="false" customHeight="false" outlineLevel="0" collapsed="false">
      <c r="A415" s="17" t="s">
        <v>355</v>
      </c>
      <c r="B415" s="17" t="s">
        <v>167</v>
      </c>
      <c r="C415" s="17" t="s">
        <v>141</v>
      </c>
      <c r="D415" s="17"/>
      <c r="E415" s="17" t="s">
        <v>147</v>
      </c>
      <c r="F415" s="17"/>
      <c r="G415" s="22" t="n">
        <f aca="false">COUNTIFS('Role Enclaves'!$D$7:$D$42,B415,'Role Enclaves'!$E$7:$E$42,C415,'Role Enclaves'!$B$7:$B$42,"&lt;&gt;"&amp;D415,'Role Enclaves'!$C$7:$C$42,"&lt;&gt;"&amp;E415)-IF(F415=C415,1,0)</f>
        <v>2</v>
      </c>
      <c r="H415" s="22" t="n">
        <f aca="false">COUNTIFS('Court Quorum'!$B$7:$B$24,B415,'Court Quorum'!$C$7:$C$24,"&lt;&gt;"&amp;D415,'Court Quorum'!$D$7:$D$24,"&lt;&gt;"&amp;E415)-IF(F415="Court",1,0)</f>
        <v>3</v>
      </c>
      <c r="I415" s="22" t="n">
        <f aca="false">Inputs!$B$10</f>
        <v>2</v>
      </c>
      <c r="J415" s="22" t="str">
        <f aca="false">IF(AND(G415&gt;=1,H415&gt;=I415),"PASS","FAIL")</f>
        <v>PASS</v>
      </c>
      <c r="K415" s="4"/>
      <c r="L415" s="4"/>
      <c r="M415" s="4"/>
      <c r="N415" s="4"/>
    </row>
    <row r="416" customFormat="false" ht="15" hidden="false" customHeight="false" outlineLevel="0" collapsed="false">
      <c r="A416" s="17" t="s">
        <v>355</v>
      </c>
      <c r="B416" s="17" t="s">
        <v>167</v>
      </c>
      <c r="C416" s="17" t="s">
        <v>145</v>
      </c>
      <c r="D416" s="17"/>
      <c r="E416" s="17" t="s">
        <v>147</v>
      </c>
      <c r="F416" s="17"/>
      <c r="G416" s="22" t="n">
        <f aca="false">COUNTIFS('Role Enclaves'!$D$7:$D$42,B416,'Role Enclaves'!$E$7:$E$42,C416,'Role Enclaves'!$B$7:$B$42,"&lt;&gt;"&amp;D416,'Role Enclaves'!$C$7:$C$42,"&lt;&gt;"&amp;E416)-IF(F416=C416,1,0)</f>
        <v>2</v>
      </c>
      <c r="H416" s="22" t="n">
        <f aca="false">COUNTIFS('Court Quorum'!$B$7:$B$24,B416,'Court Quorum'!$C$7:$C$24,"&lt;&gt;"&amp;D416,'Court Quorum'!$D$7:$D$24,"&lt;&gt;"&amp;E416)-IF(F416="Court",1,0)</f>
        <v>3</v>
      </c>
      <c r="I416" s="22" t="n">
        <f aca="false">Inputs!$B$10</f>
        <v>2</v>
      </c>
      <c r="J416" s="22" t="str">
        <f aca="false">IF(AND(G416&gt;=1,H416&gt;=I416),"PASS","FAIL")</f>
        <v>PASS</v>
      </c>
      <c r="K416" s="4"/>
      <c r="L416" s="4"/>
      <c r="M416" s="4"/>
      <c r="N416" s="4"/>
    </row>
    <row r="417" customFormat="false" ht="15" hidden="false" customHeight="false" outlineLevel="0" collapsed="false">
      <c r="A417" s="17" t="s">
        <v>355</v>
      </c>
      <c r="B417" s="17" t="s">
        <v>167</v>
      </c>
      <c r="C417" s="17" t="s">
        <v>142</v>
      </c>
      <c r="D417" s="17"/>
      <c r="E417" s="17" t="s">
        <v>147</v>
      </c>
      <c r="F417" s="17"/>
      <c r="G417" s="22" t="n">
        <f aca="false">COUNTIFS('Role Enclaves'!$D$7:$D$42,B417,'Role Enclaves'!$E$7:$E$42,C417,'Role Enclaves'!$B$7:$B$42,"&lt;&gt;"&amp;D417,'Role Enclaves'!$C$7:$C$42,"&lt;&gt;"&amp;E417)-IF(F417=C417,1,0)</f>
        <v>2</v>
      </c>
      <c r="H417" s="22" t="n">
        <f aca="false">COUNTIFS('Court Quorum'!$B$7:$B$24,B417,'Court Quorum'!$C$7:$C$24,"&lt;&gt;"&amp;D417,'Court Quorum'!$D$7:$D$24,"&lt;&gt;"&amp;E417)-IF(F417="Court",1,0)</f>
        <v>3</v>
      </c>
      <c r="I417" s="22" t="n">
        <f aca="false">Inputs!$B$10</f>
        <v>2</v>
      </c>
      <c r="J417" s="22" t="str">
        <f aca="false">IF(AND(G417&gt;=1,H417&gt;=I417),"PASS","FAIL")</f>
        <v>PASS</v>
      </c>
      <c r="K417" s="4"/>
      <c r="L417" s="4"/>
      <c r="M417" s="4"/>
      <c r="N417" s="4"/>
    </row>
    <row r="418" customFormat="false" ht="15" hidden="false" customHeight="false" outlineLevel="0" collapsed="false">
      <c r="A418" s="17" t="s">
        <v>355</v>
      </c>
      <c r="B418" s="17" t="s">
        <v>172</v>
      </c>
      <c r="C418" s="17" t="s">
        <v>141</v>
      </c>
      <c r="D418" s="17"/>
      <c r="E418" s="17" t="s">
        <v>147</v>
      </c>
      <c r="F418" s="17"/>
      <c r="G418" s="22" t="n">
        <f aca="false">COUNTIFS('Role Enclaves'!$D$7:$D$42,B418,'Role Enclaves'!$E$7:$E$42,C418,'Role Enclaves'!$B$7:$B$42,"&lt;&gt;"&amp;D418,'Role Enclaves'!$C$7:$C$42,"&lt;&gt;"&amp;E418)-IF(F418=C418,1,0)</f>
        <v>2</v>
      </c>
      <c r="H418" s="22" t="n">
        <f aca="false">COUNTIFS('Court Quorum'!$B$7:$B$24,B418,'Court Quorum'!$C$7:$C$24,"&lt;&gt;"&amp;D418,'Court Quorum'!$D$7:$D$24,"&lt;&gt;"&amp;E418)-IF(F418="Court",1,0)</f>
        <v>2</v>
      </c>
      <c r="I418" s="22" t="n">
        <f aca="false">Inputs!$B$10</f>
        <v>2</v>
      </c>
      <c r="J418" s="22" t="str">
        <f aca="false">IF(AND(G418&gt;=1,H418&gt;=I418),"PASS","FAIL")</f>
        <v>PASS</v>
      </c>
      <c r="K418" s="4"/>
      <c r="L418" s="4"/>
      <c r="M418" s="4"/>
      <c r="N418" s="4"/>
    </row>
    <row r="419" customFormat="false" ht="15" hidden="false" customHeight="false" outlineLevel="0" collapsed="false">
      <c r="A419" s="17" t="s">
        <v>355</v>
      </c>
      <c r="B419" s="17" t="s">
        <v>172</v>
      </c>
      <c r="C419" s="17" t="s">
        <v>145</v>
      </c>
      <c r="D419" s="17"/>
      <c r="E419" s="17" t="s">
        <v>147</v>
      </c>
      <c r="F419" s="17"/>
      <c r="G419" s="22" t="n">
        <f aca="false">COUNTIFS('Role Enclaves'!$D$7:$D$42,B419,'Role Enclaves'!$E$7:$E$42,C419,'Role Enclaves'!$B$7:$B$42,"&lt;&gt;"&amp;D419,'Role Enclaves'!$C$7:$C$42,"&lt;&gt;"&amp;E419)-IF(F419=C419,1,0)</f>
        <v>1</v>
      </c>
      <c r="H419" s="22" t="n">
        <f aca="false">COUNTIFS('Court Quorum'!$B$7:$B$24,B419,'Court Quorum'!$C$7:$C$24,"&lt;&gt;"&amp;D419,'Court Quorum'!$D$7:$D$24,"&lt;&gt;"&amp;E419)-IF(F419="Court",1,0)</f>
        <v>2</v>
      </c>
      <c r="I419" s="22" t="n">
        <f aca="false">Inputs!$B$10</f>
        <v>2</v>
      </c>
      <c r="J419" s="22" t="str">
        <f aca="false">IF(AND(G419&gt;=1,H419&gt;=I419),"PASS","FAIL")</f>
        <v>PASS</v>
      </c>
      <c r="K419" s="4"/>
      <c r="L419" s="4"/>
      <c r="M419" s="4"/>
      <c r="N419" s="4"/>
    </row>
    <row r="420" customFormat="false" ht="15" hidden="false" customHeight="false" outlineLevel="0" collapsed="false">
      <c r="A420" s="17" t="s">
        <v>355</v>
      </c>
      <c r="B420" s="17" t="s">
        <v>172</v>
      </c>
      <c r="C420" s="17" t="s">
        <v>142</v>
      </c>
      <c r="D420" s="17"/>
      <c r="E420" s="17" t="s">
        <v>147</v>
      </c>
      <c r="F420" s="17"/>
      <c r="G420" s="22" t="n">
        <f aca="false">COUNTIFS('Role Enclaves'!$D$7:$D$42,B420,'Role Enclaves'!$E$7:$E$42,C420,'Role Enclaves'!$B$7:$B$42,"&lt;&gt;"&amp;D420,'Role Enclaves'!$C$7:$C$42,"&lt;&gt;"&amp;E420)-IF(F420=C420,1,0)</f>
        <v>1</v>
      </c>
      <c r="H420" s="22" t="n">
        <f aca="false">COUNTIFS('Court Quorum'!$B$7:$B$24,B420,'Court Quorum'!$C$7:$C$24,"&lt;&gt;"&amp;D420,'Court Quorum'!$D$7:$D$24,"&lt;&gt;"&amp;E420)-IF(F420="Court",1,0)</f>
        <v>2</v>
      </c>
      <c r="I420" s="22" t="n">
        <f aca="false">Inputs!$B$10</f>
        <v>2</v>
      </c>
      <c r="J420" s="22" t="str">
        <f aca="false">IF(AND(G420&gt;=1,H420&gt;=I420),"PASS","FAIL")</f>
        <v>PASS</v>
      </c>
      <c r="K420" s="4"/>
      <c r="L420" s="4"/>
      <c r="M420" s="4"/>
      <c r="N420" s="4"/>
    </row>
    <row r="421" customFormat="false" ht="15" hidden="false" customHeight="false" outlineLevel="0" collapsed="false">
      <c r="A421" s="17" t="s">
        <v>356</v>
      </c>
      <c r="B421" s="17" t="s">
        <v>138</v>
      </c>
      <c r="C421" s="17" t="s">
        <v>141</v>
      </c>
      <c r="D421" s="17"/>
      <c r="E421" s="17" t="s">
        <v>155</v>
      </c>
      <c r="F421" s="17"/>
      <c r="G421" s="22" t="n">
        <f aca="false">COUNTIFS('Role Enclaves'!$D$7:$D$42,B421,'Role Enclaves'!$E$7:$E$42,C421,'Role Enclaves'!$B$7:$B$42,"&lt;&gt;"&amp;D421,'Role Enclaves'!$C$7:$C$42,"&lt;&gt;"&amp;E421)-IF(F421=C421,1,0)</f>
        <v>2</v>
      </c>
      <c r="H421" s="22" t="n">
        <f aca="false">COUNTIFS('Court Quorum'!$B$7:$B$24,B421,'Court Quorum'!$C$7:$C$24,"&lt;&gt;"&amp;D421,'Court Quorum'!$D$7:$D$24,"&lt;&gt;"&amp;E421)-IF(F421="Court",1,0)</f>
        <v>3</v>
      </c>
      <c r="I421" s="22" t="n">
        <f aca="false">Inputs!$B$10</f>
        <v>2</v>
      </c>
      <c r="J421" s="22" t="str">
        <f aca="false">IF(AND(G421&gt;=1,H421&gt;=I421),"PASS","FAIL")</f>
        <v>PASS</v>
      </c>
      <c r="K421" s="4"/>
      <c r="L421" s="4"/>
      <c r="M421" s="4"/>
      <c r="N421" s="4"/>
    </row>
    <row r="422" customFormat="false" ht="15" hidden="false" customHeight="false" outlineLevel="0" collapsed="false">
      <c r="A422" s="17" t="s">
        <v>356</v>
      </c>
      <c r="B422" s="17" t="s">
        <v>138</v>
      </c>
      <c r="C422" s="17" t="s">
        <v>145</v>
      </c>
      <c r="D422" s="17"/>
      <c r="E422" s="17" t="s">
        <v>155</v>
      </c>
      <c r="F422" s="17"/>
      <c r="G422" s="22" t="n">
        <f aca="false">COUNTIFS('Role Enclaves'!$D$7:$D$42,B422,'Role Enclaves'!$E$7:$E$42,C422,'Role Enclaves'!$B$7:$B$42,"&lt;&gt;"&amp;D422,'Role Enclaves'!$C$7:$C$42,"&lt;&gt;"&amp;E422)-IF(F422=C422,1,0)</f>
        <v>2</v>
      </c>
      <c r="H422" s="22" t="n">
        <f aca="false">COUNTIFS('Court Quorum'!$B$7:$B$24,B422,'Court Quorum'!$C$7:$C$24,"&lt;&gt;"&amp;D422,'Court Quorum'!$D$7:$D$24,"&lt;&gt;"&amp;E422)-IF(F422="Court",1,0)</f>
        <v>3</v>
      </c>
      <c r="I422" s="22" t="n">
        <f aca="false">Inputs!$B$10</f>
        <v>2</v>
      </c>
      <c r="J422" s="22" t="str">
        <f aca="false">IF(AND(G422&gt;=1,H422&gt;=I422),"PASS","FAIL")</f>
        <v>PASS</v>
      </c>
      <c r="K422" s="4"/>
      <c r="L422" s="4"/>
      <c r="M422" s="4"/>
      <c r="N422" s="4"/>
    </row>
    <row r="423" customFormat="false" ht="15" hidden="false" customHeight="false" outlineLevel="0" collapsed="false">
      <c r="A423" s="17" t="s">
        <v>356</v>
      </c>
      <c r="B423" s="17" t="s">
        <v>138</v>
      </c>
      <c r="C423" s="17" t="s">
        <v>142</v>
      </c>
      <c r="D423" s="17"/>
      <c r="E423" s="17" t="s">
        <v>155</v>
      </c>
      <c r="F423" s="17"/>
      <c r="G423" s="22" t="n">
        <f aca="false">COUNTIFS('Role Enclaves'!$D$7:$D$42,B423,'Role Enclaves'!$E$7:$E$42,C423,'Role Enclaves'!$B$7:$B$42,"&lt;&gt;"&amp;D423,'Role Enclaves'!$C$7:$C$42,"&lt;&gt;"&amp;E423)-IF(F423=C423,1,0)</f>
        <v>2</v>
      </c>
      <c r="H423" s="22" t="n">
        <f aca="false">COUNTIFS('Court Quorum'!$B$7:$B$24,B423,'Court Quorum'!$C$7:$C$24,"&lt;&gt;"&amp;D423,'Court Quorum'!$D$7:$D$24,"&lt;&gt;"&amp;E423)-IF(F423="Court",1,0)</f>
        <v>3</v>
      </c>
      <c r="I423" s="22" t="n">
        <f aca="false">Inputs!$B$10</f>
        <v>2</v>
      </c>
      <c r="J423" s="22" t="str">
        <f aca="false">IF(AND(G423&gt;=1,H423&gt;=I423),"PASS","FAIL")</f>
        <v>PASS</v>
      </c>
      <c r="K423" s="4"/>
      <c r="L423" s="4"/>
      <c r="M423" s="4"/>
      <c r="N423" s="4"/>
    </row>
    <row r="424" customFormat="false" ht="15" hidden="false" customHeight="false" outlineLevel="0" collapsed="false">
      <c r="A424" s="17" t="s">
        <v>356</v>
      </c>
      <c r="B424" s="17" t="s">
        <v>149</v>
      </c>
      <c r="C424" s="17" t="s">
        <v>141</v>
      </c>
      <c r="D424" s="17"/>
      <c r="E424" s="17" t="s">
        <v>155</v>
      </c>
      <c r="F424" s="17"/>
      <c r="G424" s="22" t="n">
        <f aca="false">COUNTIFS('Role Enclaves'!$D$7:$D$42,B424,'Role Enclaves'!$E$7:$E$42,C424,'Role Enclaves'!$B$7:$B$42,"&lt;&gt;"&amp;D424,'Role Enclaves'!$C$7:$C$42,"&lt;&gt;"&amp;E424)-IF(F424=C424,1,0)</f>
        <v>2</v>
      </c>
      <c r="H424" s="22" t="n">
        <f aca="false">COUNTIFS('Court Quorum'!$B$7:$B$24,B424,'Court Quorum'!$C$7:$C$24,"&lt;&gt;"&amp;D424,'Court Quorum'!$D$7:$D$24,"&lt;&gt;"&amp;E424)-IF(F424="Court",1,0)</f>
        <v>2</v>
      </c>
      <c r="I424" s="22" t="n">
        <f aca="false">Inputs!$B$10</f>
        <v>2</v>
      </c>
      <c r="J424" s="22" t="str">
        <f aca="false">IF(AND(G424&gt;=1,H424&gt;=I424),"PASS","FAIL")</f>
        <v>PASS</v>
      </c>
      <c r="K424" s="4"/>
      <c r="L424" s="4"/>
      <c r="M424" s="4"/>
      <c r="N424" s="4"/>
    </row>
    <row r="425" customFormat="false" ht="15" hidden="false" customHeight="false" outlineLevel="0" collapsed="false">
      <c r="A425" s="17" t="s">
        <v>356</v>
      </c>
      <c r="B425" s="17" t="s">
        <v>149</v>
      </c>
      <c r="C425" s="17" t="s">
        <v>145</v>
      </c>
      <c r="D425" s="17"/>
      <c r="E425" s="17" t="s">
        <v>155</v>
      </c>
      <c r="F425" s="17"/>
      <c r="G425" s="22" t="n">
        <f aca="false">COUNTIFS('Role Enclaves'!$D$7:$D$42,B425,'Role Enclaves'!$E$7:$E$42,C425,'Role Enclaves'!$B$7:$B$42,"&lt;&gt;"&amp;D425,'Role Enclaves'!$C$7:$C$42,"&lt;&gt;"&amp;E425)-IF(F425=C425,1,0)</f>
        <v>1</v>
      </c>
      <c r="H425" s="22" t="n">
        <f aca="false">COUNTIFS('Court Quorum'!$B$7:$B$24,B425,'Court Quorum'!$C$7:$C$24,"&lt;&gt;"&amp;D425,'Court Quorum'!$D$7:$D$24,"&lt;&gt;"&amp;E425)-IF(F425="Court",1,0)</f>
        <v>2</v>
      </c>
      <c r="I425" s="22" t="n">
        <f aca="false">Inputs!$B$10</f>
        <v>2</v>
      </c>
      <c r="J425" s="22" t="str">
        <f aca="false">IF(AND(G425&gt;=1,H425&gt;=I425),"PASS","FAIL")</f>
        <v>PASS</v>
      </c>
      <c r="K425" s="4"/>
      <c r="L425" s="4"/>
      <c r="M425" s="4"/>
      <c r="N425" s="4"/>
    </row>
    <row r="426" customFormat="false" ht="15" hidden="false" customHeight="false" outlineLevel="0" collapsed="false">
      <c r="A426" s="17" t="s">
        <v>356</v>
      </c>
      <c r="B426" s="17" t="s">
        <v>149</v>
      </c>
      <c r="C426" s="17" t="s">
        <v>142</v>
      </c>
      <c r="D426" s="17"/>
      <c r="E426" s="17" t="s">
        <v>155</v>
      </c>
      <c r="F426" s="17"/>
      <c r="G426" s="22" t="n">
        <f aca="false">COUNTIFS('Role Enclaves'!$D$7:$D$42,B426,'Role Enclaves'!$E$7:$E$42,C426,'Role Enclaves'!$B$7:$B$42,"&lt;&gt;"&amp;D426,'Role Enclaves'!$C$7:$C$42,"&lt;&gt;"&amp;E426)-IF(F426=C426,1,0)</f>
        <v>1</v>
      </c>
      <c r="H426" s="22" t="n">
        <f aca="false">COUNTIFS('Court Quorum'!$B$7:$B$24,B426,'Court Quorum'!$C$7:$C$24,"&lt;&gt;"&amp;D426,'Court Quorum'!$D$7:$D$24,"&lt;&gt;"&amp;E426)-IF(F426="Court",1,0)</f>
        <v>2</v>
      </c>
      <c r="I426" s="22" t="n">
        <f aca="false">Inputs!$B$10</f>
        <v>2</v>
      </c>
      <c r="J426" s="22" t="str">
        <f aca="false">IF(AND(G426&gt;=1,H426&gt;=I426),"PASS","FAIL")</f>
        <v>PASS</v>
      </c>
      <c r="K426" s="4"/>
      <c r="L426" s="4"/>
      <c r="M426" s="4"/>
      <c r="N426" s="4"/>
    </row>
    <row r="427" customFormat="false" ht="15" hidden="false" customHeight="false" outlineLevel="0" collapsed="false">
      <c r="A427" s="17" t="s">
        <v>356</v>
      </c>
      <c r="B427" s="17" t="s">
        <v>157</v>
      </c>
      <c r="C427" s="17" t="s">
        <v>141</v>
      </c>
      <c r="D427" s="17"/>
      <c r="E427" s="17" t="s">
        <v>155</v>
      </c>
      <c r="F427" s="17"/>
      <c r="G427" s="22" t="n">
        <f aca="false">COUNTIFS('Role Enclaves'!$D$7:$D$42,B427,'Role Enclaves'!$E$7:$E$42,C427,'Role Enclaves'!$B$7:$B$42,"&lt;&gt;"&amp;D427,'Role Enclaves'!$C$7:$C$42,"&lt;&gt;"&amp;E427)-IF(F427=C427,1,0)</f>
        <v>2</v>
      </c>
      <c r="H427" s="22" t="n">
        <f aca="false">COUNTIFS('Court Quorum'!$B$7:$B$24,B427,'Court Quorum'!$C$7:$C$24,"&lt;&gt;"&amp;D427,'Court Quorum'!$D$7:$D$24,"&lt;&gt;"&amp;E427)-IF(F427="Court",1,0)</f>
        <v>3</v>
      </c>
      <c r="I427" s="22" t="n">
        <f aca="false">Inputs!$B$10</f>
        <v>2</v>
      </c>
      <c r="J427" s="22" t="str">
        <f aca="false">IF(AND(G427&gt;=1,H427&gt;=I427),"PASS","FAIL")</f>
        <v>PASS</v>
      </c>
      <c r="K427" s="4"/>
      <c r="L427" s="4"/>
      <c r="M427" s="4"/>
      <c r="N427" s="4"/>
    </row>
    <row r="428" customFormat="false" ht="15" hidden="false" customHeight="false" outlineLevel="0" collapsed="false">
      <c r="A428" s="17" t="s">
        <v>356</v>
      </c>
      <c r="B428" s="17" t="s">
        <v>157</v>
      </c>
      <c r="C428" s="17" t="s">
        <v>145</v>
      </c>
      <c r="D428" s="17"/>
      <c r="E428" s="17" t="s">
        <v>155</v>
      </c>
      <c r="F428" s="17"/>
      <c r="G428" s="22" t="n">
        <f aca="false">COUNTIFS('Role Enclaves'!$D$7:$D$42,B428,'Role Enclaves'!$E$7:$E$42,C428,'Role Enclaves'!$B$7:$B$42,"&lt;&gt;"&amp;D428,'Role Enclaves'!$C$7:$C$42,"&lt;&gt;"&amp;E428)-IF(F428=C428,1,0)</f>
        <v>2</v>
      </c>
      <c r="H428" s="22" t="n">
        <f aca="false">COUNTIFS('Court Quorum'!$B$7:$B$24,B428,'Court Quorum'!$C$7:$C$24,"&lt;&gt;"&amp;D428,'Court Quorum'!$D$7:$D$24,"&lt;&gt;"&amp;E428)-IF(F428="Court",1,0)</f>
        <v>3</v>
      </c>
      <c r="I428" s="22" t="n">
        <f aca="false">Inputs!$B$10</f>
        <v>2</v>
      </c>
      <c r="J428" s="22" t="str">
        <f aca="false">IF(AND(G428&gt;=1,H428&gt;=I428),"PASS","FAIL")</f>
        <v>PASS</v>
      </c>
      <c r="K428" s="4"/>
      <c r="L428" s="4"/>
      <c r="M428" s="4"/>
      <c r="N428" s="4"/>
    </row>
    <row r="429" customFormat="false" ht="15" hidden="false" customHeight="false" outlineLevel="0" collapsed="false">
      <c r="A429" s="17" t="s">
        <v>356</v>
      </c>
      <c r="B429" s="17" t="s">
        <v>157</v>
      </c>
      <c r="C429" s="17" t="s">
        <v>142</v>
      </c>
      <c r="D429" s="17"/>
      <c r="E429" s="17" t="s">
        <v>155</v>
      </c>
      <c r="F429" s="17"/>
      <c r="G429" s="22" t="n">
        <f aca="false">COUNTIFS('Role Enclaves'!$D$7:$D$42,B429,'Role Enclaves'!$E$7:$E$42,C429,'Role Enclaves'!$B$7:$B$42,"&lt;&gt;"&amp;D429,'Role Enclaves'!$C$7:$C$42,"&lt;&gt;"&amp;E429)-IF(F429=C429,1,0)</f>
        <v>2</v>
      </c>
      <c r="H429" s="22" t="n">
        <f aca="false">COUNTIFS('Court Quorum'!$B$7:$B$24,B429,'Court Quorum'!$C$7:$C$24,"&lt;&gt;"&amp;D429,'Court Quorum'!$D$7:$D$24,"&lt;&gt;"&amp;E429)-IF(F429="Court",1,0)</f>
        <v>3</v>
      </c>
      <c r="I429" s="22" t="n">
        <f aca="false">Inputs!$B$10</f>
        <v>2</v>
      </c>
      <c r="J429" s="22" t="str">
        <f aca="false">IF(AND(G429&gt;=1,H429&gt;=I429),"PASS","FAIL")</f>
        <v>PASS</v>
      </c>
      <c r="K429" s="4"/>
      <c r="L429" s="4"/>
      <c r="M429" s="4"/>
      <c r="N429" s="4"/>
    </row>
    <row r="430" customFormat="false" ht="15" hidden="false" customHeight="false" outlineLevel="0" collapsed="false">
      <c r="A430" s="17" t="s">
        <v>356</v>
      </c>
      <c r="B430" s="17" t="s">
        <v>162</v>
      </c>
      <c r="C430" s="17" t="s">
        <v>141</v>
      </c>
      <c r="D430" s="17"/>
      <c r="E430" s="17" t="s">
        <v>155</v>
      </c>
      <c r="F430" s="17"/>
      <c r="G430" s="22" t="n">
        <f aca="false">COUNTIFS('Role Enclaves'!$D$7:$D$42,B430,'Role Enclaves'!$E$7:$E$42,C430,'Role Enclaves'!$B$7:$B$42,"&lt;&gt;"&amp;D430,'Role Enclaves'!$C$7:$C$42,"&lt;&gt;"&amp;E430)-IF(F430=C430,1,0)</f>
        <v>2</v>
      </c>
      <c r="H430" s="22" t="n">
        <f aca="false">COUNTIFS('Court Quorum'!$B$7:$B$24,B430,'Court Quorum'!$C$7:$C$24,"&lt;&gt;"&amp;D430,'Court Quorum'!$D$7:$D$24,"&lt;&gt;"&amp;E430)-IF(F430="Court",1,0)</f>
        <v>2</v>
      </c>
      <c r="I430" s="22" t="n">
        <f aca="false">Inputs!$B$10</f>
        <v>2</v>
      </c>
      <c r="J430" s="22" t="str">
        <f aca="false">IF(AND(G430&gt;=1,H430&gt;=I430),"PASS","FAIL")</f>
        <v>PASS</v>
      </c>
      <c r="K430" s="4"/>
      <c r="L430" s="4"/>
      <c r="M430" s="4"/>
      <c r="N430" s="4"/>
    </row>
    <row r="431" customFormat="false" ht="15" hidden="false" customHeight="false" outlineLevel="0" collapsed="false">
      <c r="A431" s="17" t="s">
        <v>356</v>
      </c>
      <c r="B431" s="17" t="s">
        <v>162</v>
      </c>
      <c r="C431" s="17" t="s">
        <v>145</v>
      </c>
      <c r="D431" s="17"/>
      <c r="E431" s="17" t="s">
        <v>155</v>
      </c>
      <c r="F431" s="17"/>
      <c r="G431" s="22" t="n">
        <f aca="false">COUNTIFS('Role Enclaves'!$D$7:$D$42,B431,'Role Enclaves'!$E$7:$E$42,C431,'Role Enclaves'!$B$7:$B$42,"&lt;&gt;"&amp;D431,'Role Enclaves'!$C$7:$C$42,"&lt;&gt;"&amp;E431)-IF(F431=C431,1,0)</f>
        <v>1</v>
      </c>
      <c r="H431" s="22" t="n">
        <f aca="false">COUNTIFS('Court Quorum'!$B$7:$B$24,B431,'Court Quorum'!$C$7:$C$24,"&lt;&gt;"&amp;D431,'Court Quorum'!$D$7:$D$24,"&lt;&gt;"&amp;E431)-IF(F431="Court",1,0)</f>
        <v>2</v>
      </c>
      <c r="I431" s="22" t="n">
        <f aca="false">Inputs!$B$10</f>
        <v>2</v>
      </c>
      <c r="J431" s="22" t="str">
        <f aca="false">IF(AND(G431&gt;=1,H431&gt;=I431),"PASS","FAIL")</f>
        <v>PASS</v>
      </c>
      <c r="K431" s="4"/>
      <c r="L431" s="4"/>
      <c r="M431" s="4"/>
      <c r="N431" s="4"/>
    </row>
    <row r="432" customFormat="false" ht="15" hidden="false" customHeight="false" outlineLevel="0" collapsed="false">
      <c r="A432" s="17" t="s">
        <v>356</v>
      </c>
      <c r="B432" s="17" t="s">
        <v>162</v>
      </c>
      <c r="C432" s="17" t="s">
        <v>142</v>
      </c>
      <c r="D432" s="17"/>
      <c r="E432" s="17" t="s">
        <v>155</v>
      </c>
      <c r="F432" s="17"/>
      <c r="G432" s="22" t="n">
        <f aca="false">COUNTIFS('Role Enclaves'!$D$7:$D$42,B432,'Role Enclaves'!$E$7:$E$42,C432,'Role Enclaves'!$B$7:$B$42,"&lt;&gt;"&amp;D432,'Role Enclaves'!$C$7:$C$42,"&lt;&gt;"&amp;E432)-IF(F432=C432,1,0)</f>
        <v>1</v>
      </c>
      <c r="H432" s="22" t="n">
        <f aca="false">COUNTIFS('Court Quorum'!$B$7:$B$24,B432,'Court Quorum'!$C$7:$C$24,"&lt;&gt;"&amp;D432,'Court Quorum'!$D$7:$D$24,"&lt;&gt;"&amp;E432)-IF(F432="Court",1,0)</f>
        <v>2</v>
      </c>
      <c r="I432" s="22" t="n">
        <f aca="false">Inputs!$B$10</f>
        <v>2</v>
      </c>
      <c r="J432" s="22" t="str">
        <f aca="false">IF(AND(G432&gt;=1,H432&gt;=I432),"PASS","FAIL")</f>
        <v>PASS</v>
      </c>
      <c r="K432" s="4"/>
      <c r="L432" s="4"/>
      <c r="M432" s="4"/>
      <c r="N432" s="4"/>
    </row>
    <row r="433" customFormat="false" ht="15" hidden="false" customHeight="false" outlineLevel="0" collapsed="false">
      <c r="A433" s="17" t="s">
        <v>356</v>
      </c>
      <c r="B433" s="17" t="s">
        <v>167</v>
      </c>
      <c r="C433" s="17" t="s">
        <v>141</v>
      </c>
      <c r="D433" s="17"/>
      <c r="E433" s="17" t="s">
        <v>155</v>
      </c>
      <c r="F433" s="17"/>
      <c r="G433" s="22" t="n">
        <f aca="false">COUNTIFS('Role Enclaves'!$D$7:$D$42,B433,'Role Enclaves'!$E$7:$E$42,C433,'Role Enclaves'!$B$7:$B$42,"&lt;&gt;"&amp;D433,'Role Enclaves'!$C$7:$C$42,"&lt;&gt;"&amp;E433)-IF(F433=C433,1,0)</f>
        <v>2</v>
      </c>
      <c r="H433" s="22" t="n">
        <f aca="false">COUNTIFS('Court Quorum'!$B$7:$B$24,B433,'Court Quorum'!$C$7:$C$24,"&lt;&gt;"&amp;D433,'Court Quorum'!$D$7:$D$24,"&lt;&gt;"&amp;E433)-IF(F433="Court",1,0)</f>
        <v>2</v>
      </c>
      <c r="I433" s="22" t="n">
        <f aca="false">Inputs!$B$10</f>
        <v>2</v>
      </c>
      <c r="J433" s="22" t="str">
        <f aca="false">IF(AND(G433&gt;=1,H433&gt;=I433),"PASS","FAIL")</f>
        <v>PASS</v>
      </c>
      <c r="K433" s="4"/>
      <c r="L433" s="4"/>
      <c r="M433" s="4"/>
      <c r="N433" s="4"/>
    </row>
    <row r="434" customFormat="false" ht="15" hidden="false" customHeight="false" outlineLevel="0" collapsed="false">
      <c r="A434" s="17" t="s">
        <v>356</v>
      </c>
      <c r="B434" s="17" t="s">
        <v>167</v>
      </c>
      <c r="C434" s="17" t="s">
        <v>145</v>
      </c>
      <c r="D434" s="17"/>
      <c r="E434" s="17" t="s">
        <v>155</v>
      </c>
      <c r="F434" s="17"/>
      <c r="G434" s="22" t="n">
        <f aca="false">COUNTIFS('Role Enclaves'!$D$7:$D$42,B434,'Role Enclaves'!$E$7:$E$42,C434,'Role Enclaves'!$B$7:$B$42,"&lt;&gt;"&amp;D434,'Role Enclaves'!$C$7:$C$42,"&lt;&gt;"&amp;E434)-IF(F434=C434,1,0)</f>
        <v>1</v>
      </c>
      <c r="H434" s="22" t="n">
        <f aca="false">COUNTIFS('Court Quorum'!$B$7:$B$24,B434,'Court Quorum'!$C$7:$C$24,"&lt;&gt;"&amp;D434,'Court Quorum'!$D$7:$D$24,"&lt;&gt;"&amp;E434)-IF(F434="Court",1,0)</f>
        <v>2</v>
      </c>
      <c r="I434" s="22" t="n">
        <f aca="false">Inputs!$B$10</f>
        <v>2</v>
      </c>
      <c r="J434" s="22" t="str">
        <f aca="false">IF(AND(G434&gt;=1,H434&gt;=I434),"PASS","FAIL")</f>
        <v>PASS</v>
      </c>
      <c r="K434" s="4"/>
      <c r="L434" s="4"/>
      <c r="M434" s="4"/>
      <c r="N434" s="4"/>
    </row>
    <row r="435" customFormat="false" ht="15" hidden="false" customHeight="false" outlineLevel="0" collapsed="false">
      <c r="A435" s="17" t="s">
        <v>356</v>
      </c>
      <c r="B435" s="17" t="s">
        <v>167</v>
      </c>
      <c r="C435" s="17" t="s">
        <v>142</v>
      </c>
      <c r="D435" s="17"/>
      <c r="E435" s="17" t="s">
        <v>155</v>
      </c>
      <c r="F435" s="17"/>
      <c r="G435" s="22" t="n">
        <f aca="false">COUNTIFS('Role Enclaves'!$D$7:$D$42,B435,'Role Enclaves'!$E$7:$E$42,C435,'Role Enclaves'!$B$7:$B$42,"&lt;&gt;"&amp;D435,'Role Enclaves'!$C$7:$C$42,"&lt;&gt;"&amp;E435)-IF(F435=C435,1,0)</f>
        <v>1</v>
      </c>
      <c r="H435" s="22" t="n">
        <f aca="false">COUNTIFS('Court Quorum'!$B$7:$B$24,B435,'Court Quorum'!$C$7:$C$24,"&lt;&gt;"&amp;D435,'Court Quorum'!$D$7:$D$24,"&lt;&gt;"&amp;E435)-IF(F435="Court",1,0)</f>
        <v>2</v>
      </c>
      <c r="I435" s="22" t="n">
        <f aca="false">Inputs!$B$10</f>
        <v>2</v>
      </c>
      <c r="J435" s="22" t="str">
        <f aca="false">IF(AND(G435&gt;=1,H435&gt;=I435),"PASS","FAIL")</f>
        <v>PASS</v>
      </c>
      <c r="K435" s="4"/>
      <c r="L435" s="4"/>
      <c r="M435" s="4"/>
      <c r="N435" s="4"/>
    </row>
    <row r="436" customFormat="false" ht="15" hidden="false" customHeight="false" outlineLevel="0" collapsed="false">
      <c r="A436" s="17" t="s">
        <v>356</v>
      </c>
      <c r="B436" s="17" t="s">
        <v>172</v>
      </c>
      <c r="C436" s="17" t="s">
        <v>141</v>
      </c>
      <c r="D436" s="17"/>
      <c r="E436" s="17" t="s">
        <v>155</v>
      </c>
      <c r="F436" s="17"/>
      <c r="G436" s="22" t="n">
        <f aca="false">COUNTIFS('Role Enclaves'!$D$7:$D$42,B436,'Role Enclaves'!$E$7:$E$42,C436,'Role Enclaves'!$B$7:$B$42,"&lt;&gt;"&amp;D436,'Role Enclaves'!$C$7:$C$42,"&lt;&gt;"&amp;E436)-IF(F436=C436,1,0)</f>
        <v>2</v>
      </c>
      <c r="H436" s="22" t="n">
        <f aca="false">COUNTIFS('Court Quorum'!$B$7:$B$24,B436,'Court Quorum'!$C$7:$C$24,"&lt;&gt;"&amp;D436,'Court Quorum'!$D$7:$D$24,"&lt;&gt;"&amp;E436)-IF(F436="Court",1,0)</f>
        <v>3</v>
      </c>
      <c r="I436" s="22" t="n">
        <f aca="false">Inputs!$B$10</f>
        <v>2</v>
      </c>
      <c r="J436" s="22" t="str">
        <f aca="false">IF(AND(G436&gt;=1,H436&gt;=I436),"PASS","FAIL")</f>
        <v>PASS</v>
      </c>
      <c r="K436" s="4"/>
      <c r="L436" s="4"/>
      <c r="M436" s="4"/>
      <c r="N436" s="4"/>
    </row>
    <row r="437" customFormat="false" ht="15" hidden="false" customHeight="false" outlineLevel="0" collapsed="false">
      <c r="A437" s="17" t="s">
        <v>356</v>
      </c>
      <c r="B437" s="17" t="s">
        <v>172</v>
      </c>
      <c r="C437" s="17" t="s">
        <v>145</v>
      </c>
      <c r="D437" s="17"/>
      <c r="E437" s="17" t="s">
        <v>155</v>
      </c>
      <c r="F437" s="17"/>
      <c r="G437" s="22" t="n">
        <f aca="false">COUNTIFS('Role Enclaves'!$D$7:$D$42,B437,'Role Enclaves'!$E$7:$E$42,C437,'Role Enclaves'!$B$7:$B$42,"&lt;&gt;"&amp;D437,'Role Enclaves'!$C$7:$C$42,"&lt;&gt;"&amp;E437)-IF(F437=C437,1,0)</f>
        <v>2</v>
      </c>
      <c r="H437" s="22" t="n">
        <f aca="false">COUNTIFS('Court Quorum'!$B$7:$B$24,B437,'Court Quorum'!$C$7:$C$24,"&lt;&gt;"&amp;D437,'Court Quorum'!$D$7:$D$24,"&lt;&gt;"&amp;E437)-IF(F437="Court",1,0)</f>
        <v>3</v>
      </c>
      <c r="I437" s="22" t="n">
        <f aca="false">Inputs!$B$10</f>
        <v>2</v>
      </c>
      <c r="J437" s="22" t="str">
        <f aca="false">IF(AND(G437&gt;=1,H437&gt;=I437),"PASS","FAIL")</f>
        <v>PASS</v>
      </c>
      <c r="K437" s="4"/>
      <c r="L437" s="4"/>
      <c r="M437" s="4"/>
      <c r="N437" s="4"/>
    </row>
    <row r="438" customFormat="false" ht="15" hidden="false" customHeight="false" outlineLevel="0" collapsed="false">
      <c r="A438" s="17" t="s">
        <v>356</v>
      </c>
      <c r="B438" s="17" t="s">
        <v>172</v>
      </c>
      <c r="C438" s="17" t="s">
        <v>142</v>
      </c>
      <c r="D438" s="17"/>
      <c r="E438" s="17" t="s">
        <v>155</v>
      </c>
      <c r="F438" s="17"/>
      <c r="G438" s="22" t="n">
        <f aca="false">COUNTIFS('Role Enclaves'!$D$7:$D$42,B438,'Role Enclaves'!$E$7:$E$42,C438,'Role Enclaves'!$B$7:$B$42,"&lt;&gt;"&amp;D438,'Role Enclaves'!$C$7:$C$42,"&lt;&gt;"&amp;E438)-IF(F438=C438,1,0)</f>
        <v>2</v>
      </c>
      <c r="H438" s="22" t="n">
        <f aca="false">COUNTIFS('Court Quorum'!$B$7:$B$24,B438,'Court Quorum'!$C$7:$C$24,"&lt;&gt;"&amp;D438,'Court Quorum'!$D$7:$D$24,"&lt;&gt;"&amp;E438)-IF(F438="Court",1,0)</f>
        <v>3</v>
      </c>
      <c r="I438" s="22" t="n">
        <f aca="false">Inputs!$B$10</f>
        <v>2</v>
      </c>
      <c r="J438" s="22" t="str">
        <f aca="false">IF(AND(G438&gt;=1,H438&gt;=I438),"PASS","FAIL")</f>
        <v>PASS</v>
      </c>
      <c r="K438" s="4"/>
      <c r="L438" s="4"/>
      <c r="M438" s="4"/>
      <c r="N438" s="4"/>
    </row>
    <row r="439" customFormat="false" ht="15" hidden="false" customHeight="false" outlineLevel="0" collapsed="false">
      <c r="A439" s="17" t="s">
        <v>357</v>
      </c>
      <c r="B439" s="17" t="s">
        <v>138</v>
      </c>
      <c r="C439" s="17" t="s">
        <v>141</v>
      </c>
      <c r="D439" s="17"/>
      <c r="E439" s="17"/>
      <c r="F439" s="17"/>
      <c r="G439" s="22" t="n">
        <f aca="false">COUNTIFS('Role Enclaves'!$D$7:$D$42,B439,'Role Enclaves'!$E$7:$E$42,C439,'Role Enclaves'!$B$7:$B$42,"&lt;&gt;"&amp;D439,'Role Enclaves'!$C$7:$C$42,"&lt;&gt;"&amp;E439)-IF(F439=C439,1,0)</f>
        <v>2</v>
      </c>
      <c r="H439" s="22" t="n">
        <f aca="false">COUNTIFS('Court Quorum'!$B$7:$B$24,B439,'Court Quorum'!$C$7:$C$24,"&lt;&gt;"&amp;D439,'Court Quorum'!$D$7:$D$24,"&lt;&gt;"&amp;E439)-IF(F439="Court",1,0)</f>
        <v>3</v>
      </c>
      <c r="I439" s="22" t="n">
        <f aca="false">Inputs!$B$10</f>
        <v>2</v>
      </c>
      <c r="J439" s="22" t="str">
        <f aca="false">IF(AND(G439&gt;=1,H439&gt;=I439),"PASS","FAIL")</f>
        <v>PASS</v>
      </c>
      <c r="K439" s="4"/>
      <c r="L439" s="4"/>
      <c r="M439" s="4"/>
      <c r="N439" s="4"/>
    </row>
    <row r="440" customFormat="false" ht="15" hidden="false" customHeight="false" outlineLevel="0" collapsed="false">
      <c r="A440" s="17" t="s">
        <v>357</v>
      </c>
      <c r="B440" s="17" t="s">
        <v>138</v>
      </c>
      <c r="C440" s="17" t="s">
        <v>145</v>
      </c>
      <c r="D440" s="17"/>
      <c r="E440" s="17"/>
      <c r="F440" s="17"/>
      <c r="G440" s="22" t="n">
        <f aca="false">COUNTIFS('Role Enclaves'!$D$7:$D$42,B440,'Role Enclaves'!$E$7:$E$42,C440,'Role Enclaves'!$B$7:$B$42,"&lt;&gt;"&amp;D440,'Role Enclaves'!$C$7:$C$42,"&lt;&gt;"&amp;E440)-IF(F440=C440,1,0)</f>
        <v>2</v>
      </c>
      <c r="H440" s="22" t="n">
        <f aca="false">COUNTIFS('Court Quorum'!$B$7:$B$24,B440,'Court Quorum'!$C$7:$C$24,"&lt;&gt;"&amp;D440,'Court Quorum'!$D$7:$D$24,"&lt;&gt;"&amp;E440)-IF(F440="Court",1,0)</f>
        <v>3</v>
      </c>
      <c r="I440" s="22" t="n">
        <f aca="false">Inputs!$B$10</f>
        <v>2</v>
      </c>
      <c r="J440" s="22" t="str">
        <f aca="false">IF(AND(G440&gt;=1,H440&gt;=I440),"PASS","FAIL")</f>
        <v>PASS</v>
      </c>
      <c r="K440" s="4"/>
      <c r="L440" s="4"/>
      <c r="M440" s="4"/>
      <c r="N440" s="4"/>
    </row>
    <row r="441" customFormat="false" ht="15" hidden="false" customHeight="false" outlineLevel="0" collapsed="false">
      <c r="A441" s="17" t="s">
        <v>357</v>
      </c>
      <c r="B441" s="17" t="s">
        <v>138</v>
      </c>
      <c r="C441" s="17" t="s">
        <v>142</v>
      </c>
      <c r="D441" s="17"/>
      <c r="E441" s="17"/>
      <c r="F441" s="17"/>
      <c r="G441" s="22" t="n">
        <f aca="false">COUNTIFS('Role Enclaves'!$D$7:$D$42,B441,'Role Enclaves'!$E$7:$E$42,C441,'Role Enclaves'!$B$7:$B$42,"&lt;&gt;"&amp;D441,'Role Enclaves'!$C$7:$C$42,"&lt;&gt;"&amp;E441)-IF(F441=C441,1,0)</f>
        <v>2</v>
      </c>
      <c r="H441" s="22" t="n">
        <f aca="false">COUNTIFS('Court Quorum'!$B$7:$B$24,B441,'Court Quorum'!$C$7:$C$24,"&lt;&gt;"&amp;D441,'Court Quorum'!$D$7:$D$24,"&lt;&gt;"&amp;E441)-IF(F441="Court",1,0)</f>
        <v>3</v>
      </c>
      <c r="I441" s="22" t="n">
        <f aca="false">Inputs!$B$10</f>
        <v>2</v>
      </c>
      <c r="J441" s="22" t="str">
        <f aca="false">IF(AND(G441&gt;=1,H441&gt;=I441),"PASS","FAIL")</f>
        <v>PASS</v>
      </c>
      <c r="K441" s="4"/>
      <c r="L441" s="4"/>
      <c r="M441" s="4"/>
      <c r="N441" s="4"/>
    </row>
    <row r="442" customFormat="false" ht="15" hidden="false" customHeight="false" outlineLevel="0" collapsed="false">
      <c r="A442" s="17" t="s">
        <v>357</v>
      </c>
      <c r="B442" s="17" t="s">
        <v>149</v>
      </c>
      <c r="C442" s="17" t="s">
        <v>141</v>
      </c>
      <c r="D442" s="17"/>
      <c r="E442" s="17"/>
      <c r="F442" s="17"/>
      <c r="G442" s="22" t="n">
        <f aca="false">COUNTIFS('Role Enclaves'!$D$7:$D$42,B442,'Role Enclaves'!$E$7:$E$42,C442,'Role Enclaves'!$B$7:$B$42,"&lt;&gt;"&amp;D442,'Role Enclaves'!$C$7:$C$42,"&lt;&gt;"&amp;E442)-IF(F442=C442,1,0)</f>
        <v>2</v>
      </c>
      <c r="H442" s="22" t="n">
        <f aca="false">COUNTIFS('Court Quorum'!$B$7:$B$24,B442,'Court Quorum'!$C$7:$C$24,"&lt;&gt;"&amp;D442,'Court Quorum'!$D$7:$D$24,"&lt;&gt;"&amp;E442)-IF(F442="Court",1,0)</f>
        <v>3</v>
      </c>
      <c r="I442" s="22" t="n">
        <f aca="false">Inputs!$B$10</f>
        <v>2</v>
      </c>
      <c r="J442" s="22" t="str">
        <f aca="false">IF(AND(G442&gt;=1,H442&gt;=I442),"PASS","FAIL")</f>
        <v>PASS</v>
      </c>
      <c r="K442" s="4"/>
      <c r="L442" s="4"/>
      <c r="M442" s="4"/>
      <c r="N442" s="4"/>
    </row>
    <row r="443" customFormat="false" ht="15" hidden="false" customHeight="false" outlineLevel="0" collapsed="false">
      <c r="A443" s="17" t="s">
        <v>357</v>
      </c>
      <c r="B443" s="17" t="s">
        <v>149</v>
      </c>
      <c r="C443" s="17" t="s">
        <v>145</v>
      </c>
      <c r="D443" s="17"/>
      <c r="E443" s="17"/>
      <c r="F443" s="17"/>
      <c r="G443" s="22" t="n">
        <f aca="false">COUNTIFS('Role Enclaves'!$D$7:$D$42,B443,'Role Enclaves'!$E$7:$E$42,C443,'Role Enclaves'!$B$7:$B$42,"&lt;&gt;"&amp;D443,'Role Enclaves'!$C$7:$C$42,"&lt;&gt;"&amp;E443)-IF(F443=C443,1,0)</f>
        <v>2</v>
      </c>
      <c r="H443" s="22" t="n">
        <f aca="false">COUNTIFS('Court Quorum'!$B$7:$B$24,B443,'Court Quorum'!$C$7:$C$24,"&lt;&gt;"&amp;D443,'Court Quorum'!$D$7:$D$24,"&lt;&gt;"&amp;E443)-IF(F443="Court",1,0)</f>
        <v>3</v>
      </c>
      <c r="I443" s="22" t="n">
        <f aca="false">Inputs!$B$10</f>
        <v>2</v>
      </c>
      <c r="J443" s="22" t="str">
        <f aca="false">IF(AND(G443&gt;=1,H443&gt;=I443),"PASS","FAIL")</f>
        <v>PASS</v>
      </c>
      <c r="K443" s="4"/>
      <c r="L443" s="4"/>
      <c r="M443" s="4"/>
      <c r="N443" s="4"/>
    </row>
    <row r="444" customFormat="false" ht="15" hidden="false" customHeight="false" outlineLevel="0" collapsed="false">
      <c r="A444" s="17" t="s">
        <v>357</v>
      </c>
      <c r="B444" s="17" t="s">
        <v>149</v>
      </c>
      <c r="C444" s="17" t="s">
        <v>142</v>
      </c>
      <c r="D444" s="17"/>
      <c r="E444" s="17"/>
      <c r="F444" s="17"/>
      <c r="G444" s="22" t="n">
        <f aca="false">COUNTIFS('Role Enclaves'!$D$7:$D$42,B444,'Role Enclaves'!$E$7:$E$42,C444,'Role Enclaves'!$B$7:$B$42,"&lt;&gt;"&amp;D444,'Role Enclaves'!$C$7:$C$42,"&lt;&gt;"&amp;E444)-IF(F444=C444,1,0)</f>
        <v>2</v>
      </c>
      <c r="H444" s="22" t="n">
        <f aca="false">COUNTIFS('Court Quorum'!$B$7:$B$24,B444,'Court Quorum'!$C$7:$C$24,"&lt;&gt;"&amp;D444,'Court Quorum'!$D$7:$D$24,"&lt;&gt;"&amp;E444)-IF(F444="Court",1,0)</f>
        <v>3</v>
      </c>
      <c r="I444" s="22" t="n">
        <f aca="false">Inputs!$B$10</f>
        <v>2</v>
      </c>
      <c r="J444" s="22" t="str">
        <f aca="false">IF(AND(G444&gt;=1,H444&gt;=I444),"PASS","FAIL")</f>
        <v>PASS</v>
      </c>
      <c r="K444" s="4"/>
      <c r="L444" s="4"/>
      <c r="M444" s="4"/>
      <c r="N444" s="4"/>
    </row>
    <row r="445" customFormat="false" ht="15" hidden="false" customHeight="false" outlineLevel="0" collapsed="false">
      <c r="A445" s="17" t="s">
        <v>357</v>
      </c>
      <c r="B445" s="17" t="s">
        <v>157</v>
      </c>
      <c r="C445" s="17" t="s">
        <v>141</v>
      </c>
      <c r="D445" s="17"/>
      <c r="E445" s="17"/>
      <c r="F445" s="17"/>
      <c r="G445" s="22" t="n">
        <f aca="false">COUNTIFS('Role Enclaves'!$D$7:$D$42,B445,'Role Enclaves'!$E$7:$E$42,C445,'Role Enclaves'!$B$7:$B$42,"&lt;&gt;"&amp;D445,'Role Enclaves'!$C$7:$C$42,"&lt;&gt;"&amp;E445)-IF(F445=C445,1,0)</f>
        <v>2</v>
      </c>
      <c r="H445" s="22" t="n">
        <f aca="false">COUNTIFS('Court Quorum'!$B$7:$B$24,B445,'Court Quorum'!$C$7:$C$24,"&lt;&gt;"&amp;D445,'Court Quorum'!$D$7:$D$24,"&lt;&gt;"&amp;E445)-IF(F445="Court",1,0)</f>
        <v>3</v>
      </c>
      <c r="I445" s="22" t="n">
        <f aca="false">Inputs!$B$10</f>
        <v>2</v>
      </c>
      <c r="J445" s="22" t="str">
        <f aca="false">IF(AND(G445&gt;=1,H445&gt;=I445),"PASS","FAIL")</f>
        <v>PASS</v>
      </c>
      <c r="K445" s="4"/>
      <c r="L445" s="4"/>
      <c r="M445" s="4"/>
      <c r="N445" s="4"/>
    </row>
    <row r="446" customFormat="false" ht="15" hidden="false" customHeight="false" outlineLevel="0" collapsed="false">
      <c r="A446" s="17" t="s">
        <v>357</v>
      </c>
      <c r="B446" s="17" t="s">
        <v>157</v>
      </c>
      <c r="C446" s="17" t="s">
        <v>145</v>
      </c>
      <c r="D446" s="17"/>
      <c r="E446" s="17"/>
      <c r="F446" s="17"/>
      <c r="G446" s="22" t="n">
        <f aca="false">COUNTIFS('Role Enclaves'!$D$7:$D$42,B446,'Role Enclaves'!$E$7:$E$42,C446,'Role Enclaves'!$B$7:$B$42,"&lt;&gt;"&amp;D446,'Role Enclaves'!$C$7:$C$42,"&lt;&gt;"&amp;E446)-IF(F446=C446,1,0)</f>
        <v>2</v>
      </c>
      <c r="H446" s="22" t="n">
        <f aca="false">COUNTIFS('Court Quorum'!$B$7:$B$24,B446,'Court Quorum'!$C$7:$C$24,"&lt;&gt;"&amp;D446,'Court Quorum'!$D$7:$D$24,"&lt;&gt;"&amp;E446)-IF(F446="Court",1,0)</f>
        <v>3</v>
      </c>
      <c r="I446" s="22" t="n">
        <f aca="false">Inputs!$B$10</f>
        <v>2</v>
      </c>
      <c r="J446" s="22" t="str">
        <f aca="false">IF(AND(G446&gt;=1,H446&gt;=I446),"PASS","FAIL")</f>
        <v>PASS</v>
      </c>
      <c r="K446" s="4"/>
      <c r="L446" s="4"/>
      <c r="M446" s="4"/>
      <c r="N446" s="4"/>
    </row>
    <row r="447" customFormat="false" ht="15" hidden="false" customHeight="false" outlineLevel="0" collapsed="false">
      <c r="A447" s="17" t="s">
        <v>357</v>
      </c>
      <c r="B447" s="17" t="s">
        <v>157</v>
      </c>
      <c r="C447" s="17" t="s">
        <v>142</v>
      </c>
      <c r="D447" s="17"/>
      <c r="E447" s="17"/>
      <c r="F447" s="17"/>
      <c r="G447" s="22" t="n">
        <f aca="false">COUNTIFS('Role Enclaves'!$D$7:$D$42,B447,'Role Enclaves'!$E$7:$E$42,C447,'Role Enclaves'!$B$7:$B$42,"&lt;&gt;"&amp;D447,'Role Enclaves'!$C$7:$C$42,"&lt;&gt;"&amp;E447)-IF(F447=C447,1,0)</f>
        <v>2</v>
      </c>
      <c r="H447" s="22" t="n">
        <f aca="false">COUNTIFS('Court Quorum'!$B$7:$B$24,B447,'Court Quorum'!$C$7:$C$24,"&lt;&gt;"&amp;D447,'Court Quorum'!$D$7:$D$24,"&lt;&gt;"&amp;E447)-IF(F447="Court",1,0)</f>
        <v>3</v>
      </c>
      <c r="I447" s="22" t="n">
        <f aca="false">Inputs!$B$10</f>
        <v>2</v>
      </c>
      <c r="J447" s="22" t="str">
        <f aca="false">IF(AND(G447&gt;=1,H447&gt;=I447),"PASS","FAIL")</f>
        <v>PASS</v>
      </c>
      <c r="K447" s="4"/>
      <c r="L447" s="4"/>
      <c r="M447" s="4"/>
      <c r="N447" s="4"/>
    </row>
    <row r="448" customFormat="false" ht="15" hidden="false" customHeight="false" outlineLevel="0" collapsed="false">
      <c r="A448" s="17" t="s">
        <v>357</v>
      </c>
      <c r="B448" s="17" t="s">
        <v>162</v>
      </c>
      <c r="C448" s="17" t="s">
        <v>141</v>
      </c>
      <c r="D448" s="17"/>
      <c r="E448" s="17"/>
      <c r="F448" s="17"/>
      <c r="G448" s="22" t="n">
        <f aca="false">COUNTIFS('Role Enclaves'!$D$7:$D$42,B448,'Role Enclaves'!$E$7:$E$42,C448,'Role Enclaves'!$B$7:$B$42,"&lt;&gt;"&amp;D448,'Role Enclaves'!$C$7:$C$42,"&lt;&gt;"&amp;E448)-IF(F448=C448,1,0)</f>
        <v>2</v>
      </c>
      <c r="H448" s="22" t="n">
        <f aca="false">COUNTIFS('Court Quorum'!$B$7:$B$24,B448,'Court Quorum'!$C$7:$C$24,"&lt;&gt;"&amp;D448,'Court Quorum'!$D$7:$D$24,"&lt;&gt;"&amp;E448)-IF(F448="Court",1,0)</f>
        <v>3</v>
      </c>
      <c r="I448" s="22" t="n">
        <f aca="false">Inputs!$B$10</f>
        <v>2</v>
      </c>
      <c r="J448" s="22" t="str">
        <f aca="false">IF(AND(G448&gt;=1,H448&gt;=I448),"PASS","FAIL")</f>
        <v>PASS</v>
      </c>
      <c r="K448" s="4"/>
      <c r="L448" s="4"/>
      <c r="M448" s="4"/>
      <c r="N448" s="4"/>
    </row>
    <row r="449" customFormat="false" ht="15" hidden="false" customHeight="false" outlineLevel="0" collapsed="false">
      <c r="A449" s="17" t="s">
        <v>357</v>
      </c>
      <c r="B449" s="17" t="s">
        <v>162</v>
      </c>
      <c r="C449" s="17" t="s">
        <v>145</v>
      </c>
      <c r="D449" s="17"/>
      <c r="E449" s="17"/>
      <c r="F449" s="17"/>
      <c r="G449" s="22" t="n">
        <f aca="false">COUNTIFS('Role Enclaves'!$D$7:$D$42,B449,'Role Enclaves'!$E$7:$E$42,C449,'Role Enclaves'!$B$7:$B$42,"&lt;&gt;"&amp;D449,'Role Enclaves'!$C$7:$C$42,"&lt;&gt;"&amp;E449)-IF(F449=C449,1,0)</f>
        <v>2</v>
      </c>
      <c r="H449" s="22" t="n">
        <f aca="false">COUNTIFS('Court Quorum'!$B$7:$B$24,B449,'Court Quorum'!$C$7:$C$24,"&lt;&gt;"&amp;D449,'Court Quorum'!$D$7:$D$24,"&lt;&gt;"&amp;E449)-IF(F449="Court",1,0)</f>
        <v>3</v>
      </c>
      <c r="I449" s="22" t="n">
        <f aca="false">Inputs!$B$10</f>
        <v>2</v>
      </c>
      <c r="J449" s="22" t="str">
        <f aca="false">IF(AND(G449&gt;=1,H449&gt;=I449),"PASS","FAIL")</f>
        <v>PASS</v>
      </c>
      <c r="K449" s="4"/>
      <c r="L449" s="4"/>
      <c r="M449" s="4"/>
      <c r="N449" s="4"/>
    </row>
    <row r="450" customFormat="false" ht="15" hidden="false" customHeight="false" outlineLevel="0" collapsed="false">
      <c r="A450" s="17" t="s">
        <v>357</v>
      </c>
      <c r="B450" s="17" t="s">
        <v>162</v>
      </c>
      <c r="C450" s="17" t="s">
        <v>142</v>
      </c>
      <c r="D450" s="17"/>
      <c r="E450" s="17"/>
      <c r="F450" s="17"/>
      <c r="G450" s="22" t="n">
        <f aca="false">COUNTIFS('Role Enclaves'!$D$7:$D$42,B450,'Role Enclaves'!$E$7:$E$42,C450,'Role Enclaves'!$B$7:$B$42,"&lt;&gt;"&amp;D450,'Role Enclaves'!$C$7:$C$42,"&lt;&gt;"&amp;E450)-IF(F450=C450,1,0)</f>
        <v>2</v>
      </c>
      <c r="H450" s="22" t="n">
        <f aca="false">COUNTIFS('Court Quorum'!$B$7:$B$24,B450,'Court Quorum'!$C$7:$C$24,"&lt;&gt;"&amp;D450,'Court Quorum'!$D$7:$D$24,"&lt;&gt;"&amp;E450)-IF(F450="Court",1,0)</f>
        <v>3</v>
      </c>
      <c r="I450" s="22" t="n">
        <f aca="false">Inputs!$B$10</f>
        <v>2</v>
      </c>
      <c r="J450" s="22" t="str">
        <f aca="false">IF(AND(G450&gt;=1,H450&gt;=I450),"PASS","FAIL")</f>
        <v>PASS</v>
      </c>
      <c r="K450" s="4"/>
      <c r="L450" s="4"/>
      <c r="M450" s="4"/>
      <c r="N450" s="4"/>
    </row>
    <row r="451" customFormat="false" ht="15" hidden="false" customHeight="false" outlineLevel="0" collapsed="false">
      <c r="A451" s="17" t="s">
        <v>357</v>
      </c>
      <c r="B451" s="17" t="s">
        <v>167</v>
      </c>
      <c r="C451" s="17" t="s">
        <v>141</v>
      </c>
      <c r="D451" s="17"/>
      <c r="E451" s="17"/>
      <c r="F451" s="17"/>
      <c r="G451" s="22" t="n">
        <f aca="false">COUNTIFS('Role Enclaves'!$D$7:$D$42,B451,'Role Enclaves'!$E$7:$E$42,C451,'Role Enclaves'!$B$7:$B$42,"&lt;&gt;"&amp;D451,'Role Enclaves'!$C$7:$C$42,"&lt;&gt;"&amp;E451)-IF(F451=C451,1,0)</f>
        <v>2</v>
      </c>
      <c r="H451" s="22" t="n">
        <f aca="false">COUNTIFS('Court Quorum'!$B$7:$B$24,B451,'Court Quorum'!$C$7:$C$24,"&lt;&gt;"&amp;D451,'Court Quorum'!$D$7:$D$24,"&lt;&gt;"&amp;E451)-IF(F451="Court",1,0)</f>
        <v>3</v>
      </c>
      <c r="I451" s="22" t="n">
        <f aca="false">Inputs!$B$10</f>
        <v>2</v>
      </c>
      <c r="J451" s="22" t="str">
        <f aca="false">IF(AND(G451&gt;=1,H451&gt;=I451),"PASS","FAIL")</f>
        <v>PASS</v>
      </c>
      <c r="K451" s="4"/>
      <c r="L451" s="4"/>
      <c r="M451" s="4"/>
      <c r="N451" s="4"/>
    </row>
    <row r="452" customFormat="false" ht="15" hidden="false" customHeight="false" outlineLevel="0" collapsed="false">
      <c r="A452" s="17" t="s">
        <v>357</v>
      </c>
      <c r="B452" s="17" t="s">
        <v>167</v>
      </c>
      <c r="C452" s="17" t="s">
        <v>145</v>
      </c>
      <c r="D452" s="17"/>
      <c r="E452" s="17"/>
      <c r="F452" s="17"/>
      <c r="G452" s="22" t="n">
        <f aca="false">COUNTIFS('Role Enclaves'!$D$7:$D$42,B452,'Role Enclaves'!$E$7:$E$42,C452,'Role Enclaves'!$B$7:$B$42,"&lt;&gt;"&amp;D452,'Role Enclaves'!$C$7:$C$42,"&lt;&gt;"&amp;E452)-IF(F452=C452,1,0)</f>
        <v>2</v>
      </c>
      <c r="H452" s="22" t="n">
        <f aca="false">COUNTIFS('Court Quorum'!$B$7:$B$24,B452,'Court Quorum'!$C$7:$C$24,"&lt;&gt;"&amp;D452,'Court Quorum'!$D$7:$D$24,"&lt;&gt;"&amp;E452)-IF(F452="Court",1,0)</f>
        <v>3</v>
      </c>
      <c r="I452" s="22" t="n">
        <f aca="false">Inputs!$B$10</f>
        <v>2</v>
      </c>
      <c r="J452" s="22" t="str">
        <f aca="false">IF(AND(G452&gt;=1,H452&gt;=I452),"PASS","FAIL")</f>
        <v>PASS</v>
      </c>
      <c r="K452" s="4"/>
      <c r="L452" s="4"/>
      <c r="M452" s="4"/>
      <c r="N452" s="4"/>
    </row>
    <row r="453" customFormat="false" ht="15" hidden="false" customHeight="false" outlineLevel="0" collapsed="false">
      <c r="A453" s="17" t="s">
        <v>357</v>
      </c>
      <c r="B453" s="17" t="s">
        <v>167</v>
      </c>
      <c r="C453" s="17" t="s">
        <v>142</v>
      </c>
      <c r="D453" s="17"/>
      <c r="E453" s="17"/>
      <c r="F453" s="17"/>
      <c r="G453" s="22" t="n">
        <f aca="false">COUNTIFS('Role Enclaves'!$D$7:$D$42,B453,'Role Enclaves'!$E$7:$E$42,C453,'Role Enclaves'!$B$7:$B$42,"&lt;&gt;"&amp;D453,'Role Enclaves'!$C$7:$C$42,"&lt;&gt;"&amp;E453)-IF(F453=C453,1,0)</f>
        <v>2</v>
      </c>
      <c r="H453" s="22" t="n">
        <f aca="false">COUNTIFS('Court Quorum'!$B$7:$B$24,B453,'Court Quorum'!$C$7:$C$24,"&lt;&gt;"&amp;D453,'Court Quorum'!$D$7:$D$24,"&lt;&gt;"&amp;E453)-IF(F453="Court",1,0)</f>
        <v>3</v>
      </c>
      <c r="I453" s="22" t="n">
        <f aca="false">Inputs!$B$10</f>
        <v>2</v>
      </c>
      <c r="J453" s="22" t="str">
        <f aca="false">IF(AND(G453&gt;=1,H453&gt;=I453),"PASS","FAIL")</f>
        <v>PASS</v>
      </c>
      <c r="K453" s="4"/>
      <c r="L453" s="4"/>
      <c r="M453" s="4"/>
      <c r="N453" s="4"/>
    </row>
    <row r="454" customFormat="false" ht="15" hidden="false" customHeight="false" outlineLevel="0" collapsed="false">
      <c r="A454" s="17" t="s">
        <v>357</v>
      </c>
      <c r="B454" s="17" t="s">
        <v>172</v>
      </c>
      <c r="C454" s="17" t="s">
        <v>141</v>
      </c>
      <c r="D454" s="17"/>
      <c r="E454" s="17"/>
      <c r="F454" s="17"/>
      <c r="G454" s="22" t="n">
        <f aca="false">COUNTIFS('Role Enclaves'!$D$7:$D$42,B454,'Role Enclaves'!$E$7:$E$42,C454,'Role Enclaves'!$B$7:$B$42,"&lt;&gt;"&amp;D454,'Role Enclaves'!$C$7:$C$42,"&lt;&gt;"&amp;E454)-IF(F454=C454,1,0)</f>
        <v>2</v>
      </c>
      <c r="H454" s="22" t="n">
        <f aca="false">COUNTIFS('Court Quorum'!$B$7:$B$24,B454,'Court Quorum'!$C$7:$C$24,"&lt;&gt;"&amp;D454,'Court Quorum'!$D$7:$D$24,"&lt;&gt;"&amp;E454)-IF(F454="Court",1,0)</f>
        <v>3</v>
      </c>
      <c r="I454" s="22" t="n">
        <f aca="false">Inputs!$B$10</f>
        <v>2</v>
      </c>
      <c r="J454" s="22" t="str">
        <f aca="false">IF(AND(G454&gt;=1,H454&gt;=I454),"PASS","FAIL")</f>
        <v>PASS</v>
      </c>
      <c r="K454" s="4"/>
      <c r="L454" s="4"/>
      <c r="M454" s="4"/>
      <c r="N454" s="4"/>
    </row>
    <row r="455" customFormat="false" ht="15" hidden="false" customHeight="false" outlineLevel="0" collapsed="false">
      <c r="A455" s="17" t="s">
        <v>357</v>
      </c>
      <c r="B455" s="17" t="s">
        <v>172</v>
      </c>
      <c r="C455" s="17" t="s">
        <v>145</v>
      </c>
      <c r="D455" s="17"/>
      <c r="E455" s="17"/>
      <c r="F455" s="17"/>
      <c r="G455" s="22" t="n">
        <f aca="false">COUNTIFS('Role Enclaves'!$D$7:$D$42,B455,'Role Enclaves'!$E$7:$E$42,C455,'Role Enclaves'!$B$7:$B$42,"&lt;&gt;"&amp;D455,'Role Enclaves'!$C$7:$C$42,"&lt;&gt;"&amp;E455)-IF(F455=C455,1,0)</f>
        <v>2</v>
      </c>
      <c r="H455" s="22" t="n">
        <f aca="false">COUNTIFS('Court Quorum'!$B$7:$B$24,B455,'Court Quorum'!$C$7:$C$24,"&lt;&gt;"&amp;D455,'Court Quorum'!$D$7:$D$24,"&lt;&gt;"&amp;E455)-IF(F455="Court",1,0)</f>
        <v>3</v>
      </c>
      <c r="I455" s="22" t="n">
        <f aca="false">Inputs!$B$10</f>
        <v>2</v>
      </c>
      <c r="J455" s="22" t="str">
        <f aca="false">IF(AND(G455&gt;=1,H455&gt;=I455),"PASS","FAIL")</f>
        <v>PASS</v>
      </c>
      <c r="K455" s="4"/>
      <c r="L455" s="4"/>
      <c r="M455" s="4"/>
      <c r="N455" s="4"/>
    </row>
    <row r="456" customFormat="false" ht="15" hidden="false" customHeight="false" outlineLevel="0" collapsed="false">
      <c r="A456" s="17" t="s">
        <v>357</v>
      </c>
      <c r="B456" s="17" t="s">
        <v>172</v>
      </c>
      <c r="C456" s="17" t="s">
        <v>142</v>
      </c>
      <c r="D456" s="17"/>
      <c r="E456" s="17"/>
      <c r="F456" s="17"/>
      <c r="G456" s="22" t="n">
        <f aca="false">COUNTIFS('Role Enclaves'!$D$7:$D$42,B456,'Role Enclaves'!$E$7:$E$42,C456,'Role Enclaves'!$B$7:$B$42,"&lt;&gt;"&amp;D456,'Role Enclaves'!$C$7:$C$42,"&lt;&gt;"&amp;E456)-IF(F456=C456,1,0)</f>
        <v>2</v>
      </c>
      <c r="H456" s="22" t="n">
        <f aca="false">COUNTIFS('Court Quorum'!$B$7:$B$24,B456,'Court Quorum'!$C$7:$C$24,"&lt;&gt;"&amp;D456,'Court Quorum'!$D$7:$D$24,"&lt;&gt;"&amp;E456)-IF(F456="Court",1,0)</f>
        <v>3</v>
      </c>
      <c r="I456" s="22" t="n">
        <f aca="false">Inputs!$B$10</f>
        <v>2</v>
      </c>
      <c r="J456" s="22" t="str">
        <f aca="false">IF(AND(G456&gt;=1,H456&gt;=I456),"PASS","FAIL")</f>
        <v>PASS</v>
      </c>
      <c r="K456" s="4"/>
      <c r="L456" s="4"/>
      <c r="M456" s="4"/>
      <c r="N456" s="4"/>
    </row>
    <row r="457" customFormat="false" ht="15" hidden="false" customHeight="false" outlineLevel="0" collapsed="false">
      <c r="A457" s="17" t="s">
        <v>359</v>
      </c>
      <c r="B457" s="17" t="s">
        <v>138</v>
      </c>
      <c r="C457" s="17" t="s">
        <v>141</v>
      </c>
      <c r="D457" s="17"/>
      <c r="E457" s="17"/>
      <c r="F457" s="17" t="s">
        <v>141</v>
      </c>
      <c r="G457" s="22" t="n">
        <f aca="false">COUNTIFS('Role Enclaves'!$D$7:$D$42,B457,'Role Enclaves'!$E$7:$E$42,C457,'Role Enclaves'!$B$7:$B$42,"&lt;&gt;"&amp;D457,'Role Enclaves'!$C$7:$C$42,"&lt;&gt;"&amp;E457)-IF(F457=C457,1,0)</f>
        <v>1</v>
      </c>
      <c r="H457" s="22" t="n">
        <f aca="false">COUNTIFS('Court Quorum'!$B$7:$B$24,B457,'Court Quorum'!$C$7:$C$24,"&lt;&gt;"&amp;D457,'Court Quorum'!$D$7:$D$24,"&lt;&gt;"&amp;E457)-IF(F457="Court",1,0)</f>
        <v>3</v>
      </c>
      <c r="I457" s="22" t="n">
        <f aca="false">Inputs!$B$10</f>
        <v>2</v>
      </c>
      <c r="J457" s="22" t="str">
        <f aca="false">IF(AND(G457&gt;=1,H457&gt;=I457),"PASS","FAIL")</f>
        <v>PASS</v>
      </c>
      <c r="K457" s="4"/>
      <c r="L457" s="4"/>
      <c r="M457" s="4"/>
      <c r="N457" s="4"/>
    </row>
    <row r="458" customFormat="false" ht="15" hidden="false" customHeight="false" outlineLevel="0" collapsed="false">
      <c r="A458" s="17" t="s">
        <v>359</v>
      </c>
      <c r="B458" s="17" t="s">
        <v>138</v>
      </c>
      <c r="C458" s="17" t="s">
        <v>145</v>
      </c>
      <c r="D458" s="17"/>
      <c r="E458" s="17"/>
      <c r="F458" s="17" t="s">
        <v>141</v>
      </c>
      <c r="G458" s="22" t="n">
        <f aca="false">COUNTIFS('Role Enclaves'!$D$7:$D$42,B458,'Role Enclaves'!$E$7:$E$42,C458,'Role Enclaves'!$B$7:$B$42,"&lt;&gt;"&amp;D458,'Role Enclaves'!$C$7:$C$42,"&lt;&gt;"&amp;E458)-IF(F458=C458,1,0)</f>
        <v>2</v>
      </c>
      <c r="H458" s="22" t="n">
        <f aca="false">COUNTIFS('Court Quorum'!$B$7:$B$24,B458,'Court Quorum'!$C$7:$C$24,"&lt;&gt;"&amp;D458,'Court Quorum'!$D$7:$D$24,"&lt;&gt;"&amp;E458)-IF(F458="Court",1,0)</f>
        <v>3</v>
      </c>
      <c r="I458" s="22" t="n">
        <f aca="false">Inputs!$B$10</f>
        <v>2</v>
      </c>
      <c r="J458" s="22" t="str">
        <f aca="false">IF(AND(G458&gt;=1,H458&gt;=I458),"PASS","FAIL")</f>
        <v>PASS</v>
      </c>
      <c r="K458" s="4"/>
      <c r="L458" s="4"/>
      <c r="M458" s="4"/>
      <c r="N458" s="4"/>
    </row>
    <row r="459" customFormat="false" ht="15" hidden="false" customHeight="false" outlineLevel="0" collapsed="false">
      <c r="A459" s="17" t="s">
        <v>359</v>
      </c>
      <c r="B459" s="17" t="s">
        <v>138</v>
      </c>
      <c r="C459" s="17" t="s">
        <v>142</v>
      </c>
      <c r="D459" s="17"/>
      <c r="E459" s="17"/>
      <c r="F459" s="17" t="s">
        <v>141</v>
      </c>
      <c r="G459" s="22" t="n">
        <f aca="false">COUNTIFS('Role Enclaves'!$D$7:$D$42,B459,'Role Enclaves'!$E$7:$E$42,C459,'Role Enclaves'!$B$7:$B$42,"&lt;&gt;"&amp;D459,'Role Enclaves'!$C$7:$C$42,"&lt;&gt;"&amp;E459)-IF(F459=C459,1,0)</f>
        <v>2</v>
      </c>
      <c r="H459" s="22" t="n">
        <f aca="false">COUNTIFS('Court Quorum'!$B$7:$B$24,B459,'Court Quorum'!$C$7:$C$24,"&lt;&gt;"&amp;D459,'Court Quorum'!$D$7:$D$24,"&lt;&gt;"&amp;E459)-IF(F459="Court",1,0)</f>
        <v>3</v>
      </c>
      <c r="I459" s="22" t="n">
        <f aca="false">Inputs!$B$10</f>
        <v>2</v>
      </c>
      <c r="J459" s="22" t="str">
        <f aca="false">IF(AND(G459&gt;=1,H459&gt;=I459),"PASS","FAIL")</f>
        <v>PASS</v>
      </c>
      <c r="K459" s="4"/>
      <c r="L459" s="4"/>
      <c r="M459" s="4"/>
      <c r="N459" s="4"/>
    </row>
    <row r="460" customFormat="false" ht="15" hidden="false" customHeight="false" outlineLevel="0" collapsed="false">
      <c r="A460" s="17" t="s">
        <v>359</v>
      </c>
      <c r="B460" s="17" t="s">
        <v>149</v>
      </c>
      <c r="C460" s="17" t="s">
        <v>141</v>
      </c>
      <c r="D460" s="17"/>
      <c r="E460" s="17"/>
      <c r="F460" s="17" t="s">
        <v>141</v>
      </c>
      <c r="G460" s="22" t="n">
        <f aca="false">COUNTIFS('Role Enclaves'!$D$7:$D$42,B460,'Role Enclaves'!$E$7:$E$42,C460,'Role Enclaves'!$B$7:$B$42,"&lt;&gt;"&amp;D460,'Role Enclaves'!$C$7:$C$42,"&lt;&gt;"&amp;E460)-IF(F460=C460,1,0)</f>
        <v>1</v>
      </c>
      <c r="H460" s="22" t="n">
        <f aca="false">COUNTIFS('Court Quorum'!$B$7:$B$24,B460,'Court Quorum'!$C$7:$C$24,"&lt;&gt;"&amp;D460,'Court Quorum'!$D$7:$D$24,"&lt;&gt;"&amp;E460)-IF(F460="Court",1,0)</f>
        <v>3</v>
      </c>
      <c r="I460" s="22" t="n">
        <f aca="false">Inputs!$B$10</f>
        <v>2</v>
      </c>
      <c r="J460" s="22" t="str">
        <f aca="false">IF(AND(G460&gt;=1,H460&gt;=I460),"PASS","FAIL")</f>
        <v>PASS</v>
      </c>
      <c r="K460" s="4"/>
      <c r="L460" s="4"/>
      <c r="M460" s="4"/>
      <c r="N460" s="4"/>
    </row>
    <row r="461" customFormat="false" ht="15" hidden="false" customHeight="false" outlineLevel="0" collapsed="false">
      <c r="A461" s="17" t="s">
        <v>359</v>
      </c>
      <c r="B461" s="17" t="s">
        <v>149</v>
      </c>
      <c r="C461" s="17" t="s">
        <v>145</v>
      </c>
      <c r="D461" s="17"/>
      <c r="E461" s="17"/>
      <c r="F461" s="17" t="s">
        <v>141</v>
      </c>
      <c r="G461" s="22" t="n">
        <f aca="false">COUNTIFS('Role Enclaves'!$D$7:$D$42,B461,'Role Enclaves'!$E$7:$E$42,C461,'Role Enclaves'!$B$7:$B$42,"&lt;&gt;"&amp;D461,'Role Enclaves'!$C$7:$C$42,"&lt;&gt;"&amp;E461)-IF(F461=C461,1,0)</f>
        <v>2</v>
      </c>
      <c r="H461" s="22" t="n">
        <f aca="false">COUNTIFS('Court Quorum'!$B$7:$B$24,B461,'Court Quorum'!$C$7:$C$24,"&lt;&gt;"&amp;D461,'Court Quorum'!$D$7:$D$24,"&lt;&gt;"&amp;E461)-IF(F461="Court",1,0)</f>
        <v>3</v>
      </c>
      <c r="I461" s="22" t="n">
        <f aca="false">Inputs!$B$10</f>
        <v>2</v>
      </c>
      <c r="J461" s="22" t="str">
        <f aca="false">IF(AND(G461&gt;=1,H461&gt;=I461),"PASS","FAIL")</f>
        <v>PASS</v>
      </c>
      <c r="K461" s="4"/>
      <c r="L461" s="4"/>
      <c r="M461" s="4"/>
      <c r="N461" s="4"/>
    </row>
    <row r="462" customFormat="false" ht="15" hidden="false" customHeight="false" outlineLevel="0" collapsed="false">
      <c r="A462" s="17" t="s">
        <v>359</v>
      </c>
      <c r="B462" s="17" t="s">
        <v>149</v>
      </c>
      <c r="C462" s="17" t="s">
        <v>142</v>
      </c>
      <c r="D462" s="17"/>
      <c r="E462" s="17"/>
      <c r="F462" s="17" t="s">
        <v>141</v>
      </c>
      <c r="G462" s="22" t="n">
        <f aca="false">COUNTIFS('Role Enclaves'!$D$7:$D$42,B462,'Role Enclaves'!$E$7:$E$42,C462,'Role Enclaves'!$B$7:$B$42,"&lt;&gt;"&amp;D462,'Role Enclaves'!$C$7:$C$42,"&lt;&gt;"&amp;E462)-IF(F462=C462,1,0)</f>
        <v>2</v>
      </c>
      <c r="H462" s="22" t="n">
        <f aca="false">COUNTIFS('Court Quorum'!$B$7:$B$24,B462,'Court Quorum'!$C$7:$C$24,"&lt;&gt;"&amp;D462,'Court Quorum'!$D$7:$D$24,"&lt;&gt;"&amp;E462)-IF(F462="Court",1,0)</f>
        <v>3</v>
      </c>
      <c r="I462" s="22" t="n">
        <f aca="false">Inputs!$B$10</f>
        <v>2</v>
      </c>
      <c r="J462" s="22" t="str">
        <f aca="false">IF(AND(G462&gt;=1,H462&gt;=I462),"PASS","FAIL")</f>
        <v>PASS</v>
      </c>
      <c r="K462" s="4"/>
      <c r="L462" s="4"/>
      <c r="M462" s="4"/>
      <c r="N462" s="4"/>
    </row>
    <row r="463" customFormat="false" ht="15" hidden="false" customHeight="false" outlineLevel="0" collapsed="false">
      <c r="A463" s="17" t="s">
        <v>359</v>
      </c>
      <c r="B463" s="17" t="s">
        <v>157</v>
      </c>
      <c r="C463" s="17" t="s">
        <v>141</v>
      </c>
      <c r="D463" s="17"/>
      <c r="E463" s="17"/>
      <c r="F463" s="17" t="s">
        <v>141</v>
      </c>
      <c r="G463" s="22" t="n">
        <f aca="false">COUNTIFS('Role Enclaves'!$D$7:$D$42,B463,'Role Enclaves'!$E$7:$E$42,C463,'Role Enclaves'!$B$7:$B$42,"&lt;&gt;"&amp;D463,'Role Enclaves'!$C$7:$C$42,"&lt;&gt;"&amp;E463)-IF(F463=C463,1,0)</f>
        <v>1</v>
      </c>
      <c r="H463" s="22" t="n">
        <f aca="false">COUNTIFS('Court Quorum'!$B$7:$B$24,B463,'Court Quorum'!$C$7:$C$24,"&lt;&gt;"&amp;D463,'Court Quorum'!$D$7:$D$24,"&lt;&gt;"&amp;E463)-IF(F463="Court",1,0)</f>
        <v>3</v>
      </c>
      <c r="I463" s="22" t="n">
        <f aca="false">Inputs!$B$10</f>
        <v>2</v>
      </c>
      <c r="J463" s="22" t="str">
        <f aca="false">IF(AND(G463&gt;=1,H463&gt;=I463),"PASS","FAIL")</f>
        <v>PASS</v>
      </c>
      <c r="K463" s="4"/>
      <c r="L463" s="4"/>
      <c r="M463" s="4"/>
      <c r="N463" s="4"/>
    </row>
    <row r="464" customFormat="false" ht="15" hidden="false" customHeight="false" outlineLevel="0" collapsed="false">
      <c r="A464" s="17" t="s">
        <v>359</v>
      </c>
      <c r="B464" s="17" t="s">
        <v>157</v>
      </c>
      <c r="C464" s="17" t="s">
        <v>145</v>
      </c>
      <c r="D464" s="17"/>
      <c r="E464" s="17"/>
      <c r="F464" s="17" t="s">
        <v>141</v>
      </c>
      <c r="G464" s="22" t="n">
        <f aca="false">COUNTIFS('Role Enclaves'!$D$7:$D$42,B464,'Role Enclaves'!$E$7:$E$42,C464,'Role Enclaves'!$B$7:$B$42,"&lt;&gt;"&amp;D464,'Role Enclaves'!$C$7:$C$42,"&lt;&gt;"&amp;E464)-IF(F464=C464,1,0)</f>
        <v>2</v>
      </c>
      <c r="H464" s="22" t="n">
        <f aca="false">COUNTIFS('Court Quorum'!$B$7:$B$24,B464,'Court Quorum'!$C$7:$C$24,"&lt;&gt;"&amp;D464,'Court Quorum'!$D$7:$D$24,"&lt;&gt;"&amp;E464)-IF(F464="Court",1,0)</f>
        <v>3</v>
      </c>
      <c r="I464" s="22" t="n">
        <f aca="false">Inputs!$B$10</f>
        <v>2</v>
      </c>
      <c r="J464" s="22" t="str">
        <f aca="false">IF(AND(G464&gt;=1,H464&gt;=I464),"PASS","FAIL")</f>
        <v>PASS</v>
      </c>
      <c r="K464" s="4"/>
      <c r="L464" s="4"/>
      <c r="M464" s="4"/>
      <c r="N464" s="4"/>
    </row>
    <row r="465" customFormat="false" ht="15" hidden="false" customHeight="false" outlineLevel="0" collapsed="false">
      <c r="A465" s="17" t="s">
        <v>359</v>
      </c>
      <c r="B465" s="17" t="s">
        <v>157</v>
      </c>
      <c r="C465" s="17" t="s">
        <v>142</v>
      </c>
      <c r="D465" s="17"/>
      <c r="E465" s="17"/>
      <c r="F465" s="17" t="s">
        <v>141</v>
      </c>
      <c r="G465" s="22" t="n">
        <f aca="false">COUNTIFS('Role Enclaves'!$D$7:$D$42,B465,'Role Enclaves'!$E$7:$E$42,C465,'Role Enclaves'!$B$7:$B$42,"&lt;&gt;"&amp;D465,'Role Enclaves'!$C$7:$C$42,"&lt;&gt;"&amp;E465)-IF(F465=C465,1,0)</f>
        <v>2</v>
      </c>
      <c r="H465" s="22" t="n">
        <f aca="false">COUNTIFS('Court Quorum'!$B$7:$B$24,B465,'Court Quorum'!$C$7:$C$24,"&lt;&gt;"&amp;D465,'Court Quorum'!$D$7:$D$24,"&lt;&gt;"&amp;E465)-IF(F465="Court",1,0)</f>
        <v>3</v>
      </c>
      <c r="I465" s="22" t="n">
        <f aca="false">Inputs!$B$10</f>
        <v>2</v>
      </c>
      <c r="J465" s="22" t="str">
        <f aca="false">IF(AND(G465&gt;=1,H465&gt;=I465),"PASS","FAIL")</f>
        <v>PASS</v>
      </c>
      <c r="K465" s="4"/>
      <c r="L465" s="4"/>
      <c r="M465" s="4"/>
      <c r="N465" s="4"/>
    </row>
    <row r="466" customFormat="false" ht="15" hidden="false" customHeight="false" outlineLevel="0" collapsed="false">
      <c r="A466" s="17" t="s">
        <v>359</v>
      </c>
      <c r="B466" s="17" t="s">
        <v>162</v>
      </c>
      <c r="C466" s="17" t="s">
        <v>141</v>
      </c>
      <c r="D466" s="17"/>
      <c r="E466" s="17"/>
      <c r="F466" s="17" t="s">
        <v>141</v>
      </c>
      <c r="G466" s="22" t="n">
        <f aca="false">COUNTIFS('Role Enclaves'!$D$7:$D$42,B466,'Role Enclaves'!$E$7:$E$42,C466,'Role Enclaves'!$B$7:$B$42,"&lt;&gt;"&amp;D466,'Role Enclaves'!$C$7:$C$42,"&lt;&gt;"&amp;E466)-IF(F466=C466,1,0)</f>
        <v>1</v>
      </c>
      <c r="H466" s="22" t="n">
        <f aca="false">COUNTIFS('Court Quorum'!$B$7:$B$24,B466,'Court Quorum'!$C$7:$C$24,"&lt;&gt;"&amp;D466,'Court Quorum'!$D$7:$D$24,"&lt;&gt;"&amp;E466)-IF(F466="Court",1,0)</f>
        <v>3</v>
      </c>
      <c r="I466" s="22" t="n">
        <f aca="false">Inputs!$B$10</f>
        <v>2</v>
      </c>
      <c r="J466" s="22" t="str">
        <f aca="false">IF(AND(G466&gt;=1,H466&gt;=I466),"PASS","FAIL")</f>
        <v>PASS</v>
      </c>
      <c r="K466" s="4"/>
      <c r="L466" s="4"/>
      <c r="M466" s="4"/>
      <c r="N466" s="4"/>
    </row>
    <row r="467" customFormat="false" ht="15" hidden="false" customHeight="false" outlineLevel="0" collapsed="false">
      <c r="A467" s="17" t="s">
        <v>359</v>
      </c>
      <c r="B467" s="17" t="s">
        <v>162</v>
      </c>
      <c r="C467" s="17" t="s">
        <v>145</v>
      </c>
      <c r="D467" s="17"/>
      <c r="E467" s="17"/>
      <c r="F467" s="17" t="s">
        <v>141</v>
      </c>
      <c r="G467" s="22" t="n">
        <f aca="false">COUNTIFS('Role Enclaves'!$D$7:$D$42,B467,'Role Enclaves'!$E$7:$E$42,C467,'Role Enclaves'!$B$7:$B$42,"&lt;&gt;"&amp;D467,'Role Enclaves'!$C$7:$C$42,"&lt;&gt;"&amp;E467)-IF(F467=C467,1,0)</f>
        <v>2</v>
      </c>
      <c r="H467" s="22" t="n">
        <f aca="false">COUNTIFS('Court Quorum'!$B$7:$B$24,B467,'Court Quorum'!$C$7:$C$24,"&lt;&gt;"&amp;D467,'Court Quorum'!$D$7:$D$24,"&lt;&gt;"&amp;E467)-IF(F467="Court",1,0)</f>
        <v>3</v>
      </c>
      <c r="I467" s="22" t="n">
        <f aca="false">Inputs!$B$10</f>
        <v>2</v>
      </c>
      <c r="J467" s="22" t="str">
        <f aca="false">IF(AND(G467&gt;=1,H467&gt;=I467),"PASS","FAIL")</f>
        <v>PASS</v>
      </c>
      <c r="K467" s="4"/>
      <c r="L467" s="4"/>
      <c r="M467" s="4"/>
      <c r="N467" s="4"/>
    </row>
    <row r="468" customFormat="false" ht="15" hidden="false" customHeight="false" outlineLevel="0" collapsed="false">
      <c r="A468" s="17" t="s">
        <v>359</v>
      </c>
      <c r="B468" s="17" t="s">
        <v>162</v>
      </c>
      <c r="C468" s="17" t="s">
        <v>142</v>
      </c>
      <c r="D468" s="17"/>
      <c r="E468" s="17"/>
      <c r="F468" s="17" t="s">
        <v>141</v>
      </c>
      <c r="G468" s="22" t="n">
        <f aca="false">COUNTIFS('Role Enclaves'!$D$7:$D$42,B468,'Role Enclaves'!$E$7:$E$42,C468,'Role Enclaves'!$B$7:$B$42,"&lt;&gt;"&amp;D468,'Role Enclaves'!$C$7:$C$42,"&lt;&gt;"&amp;E468)-IF(F468=C468,1,0)</f>
        <v>2</v>
      </c>
      <c r="H468" s="22" t="n">
        <f aca="false">COUNTIFS('Court Quorum'!$B$7:$B$24,B468,'Court Quorum'!$C$7:$C$24,"&lt;&gt;"&amp;D468,'Court Quorum'!$D$7:$D$24,"&lt;&gt;"&amp;E468)-IF(F468="Court",1,0)</f>
        <v>3</v>
      </c>
      <c r="I468" s="22" t="n">
        <f aca="false">Inputs!$B$10</f>
        <v>2</v>
      </c>
      <c r="J468" s="22" t="str">
        <f aca="false">IF(AND(G468&gt;=1,H468&gt;=I468),"PASS","FAIL")</f>
        <v>PASS</v>
      </c>
      <c r="K468" s="4"/>
      <c r="L468" s="4"/>
      <c r="M468" s="4"/>
      <c r="N468" s="4"/>
    </row>
    <row r="469" customFormat="false" ht="15" hidden="false" customHeight="false" outlineLevel="0" collapsed="false">
      <c r="A469" s="17" t="s">
        <v>359</v>
      </c>
      <c r="B469" s="17" t="s">
        <v>167</v>
      </c>
      <c r="C469" s="17" t="s">
        <v>141</v>
      </c>
      <c r="D469" s="17"/>
      <c r="E469" s="17"/>
      <c r="F469" s="17" t="s">
        <v>141</v>
      </c>
      <c r="G469" s="22" t="n">
        <f aca="false">COUNTIFS('Role Enclaves'!$D$7:$D$42,B469,'Role Enclaves'!$E$7:$E$42,C469,'Role Enclaves'!$B$7:$B$42,"&lt;&gt;"&amp;D469,'Role Enclaves'!$C$7:$C$42,"&lt;&gt;"&amp;E469)-IF(F469=C469,1,0)</f>
        <v>1</v>
      </c>
      <c r="H469" s="22" t="n">
        <f aca="false">COUNTIFS('Court Quorum'!$B$7:$B$24,B469,'Court Quorum'!$C$7:$C$24,"&lt;&gt;"&amp;D469,'Court Quorum'!$D$7:$D$24,"&lt;&gt;"&amp;E469)-IF(F469="Court",1,0)</f>
        <v>3</v>
      </c>
      <c r="I469" s="22" t="n">
        <f aca="false">Inputs!$B$10</f>
        <v>2</v>
      </c>
      <c r="J469" s="22" t="str">
        <f aca="false">IF(AND(G469&gt;=1,H469&gt;=I469),"PASS","FAIL")</f>
        <v>PASS</v>
      </c>
      <c r="K469" s="4"/>
      <c r="L469" s="4"/>
      <c r="M469" s="4"/>
      <c r="N469" s="4"/>
    </row>
    <row r="470" customFormat="false" ht="15" hidden="false" customHeight="false" outlineLevel="0" collapsed="false">
      <c r="A470" s="17" t="s">
        <v>359</v>
      </c>
      <c r="B470" s="17" t="s">
        <v>167</v>
      </c>
      <c r="C470" s="17" t="s">
        <v>145</v>
      </c>
      <c r="D470" s="17"/>
      <c r="E470" s="17"/>
      <c r="F470" s="17" t="s">
        <v>141</v>
      </c>
      <c r="G470" s="22" t="n">
        <f aca="false">COUNTIFS('Role Enclaves'!$D$7:$D$42,B470,'Role Enclaves'!$E$7:$E$42,C470,'Role Enclaves'!$B$7:$B$42,"&lt;&gt;"&amp;D470,'Role Enclaves'!$C$7:$C$42,"&lt;&gt;"&amp;E470)-IF(F470=C470,1,0)</f>
        <v>2</v>
      </c>
      <c r="H470" s="22" t="n">
        <f aca="false">COUNTIFS('Court Quorum'!$B$7:$B$24,B470,'Court Quorum'!$C$7:$C$24,"&lt;&gt;"&amp;D470,'Court Quorum'!$D$7:$D$24,"&lt;&gt;"&amp;E470)-IF(F470="Court",1,0)</f>
        <v>3</v>
      </c>
      <c r="I470" s="22" t="n">
        <f aca="false">Inputs!$B$10</f>
        <v>2</v>
      </c>
      <c r="J470" s="22" t="str">
        <f aca="false">IF(AND(G470&gt;=1,H470&gt;=I470),"PASS","FAIL")</f>
        <v>PASS</v>
      </c>
      <c r="K470" s="4"/>
      <c r="L470" s="4"/>
      <c r="M470" s="4"/>
      <c r="N470" s="4"/>
    </row>
    <row r="471" customFormat="false" ht="15" hidden="false" customHeight="false" outlineLevel="0" collapsed="false">
      <c r="A471" s="17" t="s">
        <v>359</v>
      </c>
      <c r="B471" s="17" t="s">
        <v>167</v>
      </c>
      <c r="C471" s="17" t="s">
        <v>142</v>
      </c>
      <c r="D471" s="17"/>
      <c r="E471" s="17"/>
      <c r="F471" s="17" t="s">
        <v>141</v>
      </c>
      <c r="G471" s="22" t="n">
        <f aca="false">COUNTIFS('Role Enclaves'!$D$7:$D$42,B471,'Role Enclaves'!$E$7:$E$42,C471,'Role Enclaves'!$B$7:$B$42,"&lt;&gt;"&amp;D471,'Role Enclaves'!$C$7:$C$42,"&lt;&gt;"&amp;E471)-IF(F471=C471,1,0)</f>
        <v>2</v>
      </c>
      <c r="H471" s="22" t="n">
        <f aca="false">COUNTIFS('Court Quorum'!$B$7:$B$24,B471,'Court Quorum'!$C$7:$C$24,"&lt;&gt;"&amp;D471,'Court Quorum'!$D$7:$D$24,"&lt;&gt;"&amp;E471)-IF(F471="Court",1,0)</f>
        <v>3</v>
      </c>
      <c r="I471" s="22" t="n">
        <f aca="false">Inputs!$B$10</f>
        <v>2</v>
      </c>
      <c r="J471" s="22" t="str">
        <f aca="false">IF(AND(G471&gt;=1,H471&gt;=I471),"PASS","FAIL")</f>
        <v>PASS</v>
      </c>
      <c r="K471" s="4"/>
      <c r="L471" s="4"/>
      <c r="M471" s="4"/>
      <c r="N471" s="4"/>
    </row>
    <row r="472" customFormat="false" ht="15" hidden="false" customHeight="false" outlineLevel="0" collapsed="false">
      <c r="A472" s="17" t="s">
        <v>359</v>
      </c>
      <c r="B472" s="17" t="s">
        <v>172</v>
      </c>
      <c r="C472" s="17" t="s">
        <v>141</v>
      </c>
      <c r="D472" s="17"/>
      <c r="E472" s="17"/>
      <c r="F472" s="17" t="s">
        <v>141</v>
      </c>
      <c r="G472" s="22" t="n">
        <f aca="false">COUNTIFS('Role Enclaves'!$D$7:$D$42,B472,'Role Enclaves'!$E$7:$E$42,C472,'Role Enclaves'!$B$7:$B$42,"&lt;&gt;"&amp;D472,'Role Enclaves'!$C$7:$C$42,"&lt;&gt;"&amp;E472)-IF(F472=C472,1,0)</f>
        <v>1</v>
      </c>
      <c r="H472" s="22" t="n">
        <f aca="false">COUNTIFS('Court Quorum'!$B$7:$B$24,B472,'Court Quorum'!$C$7:$C$24,"&lt;&gt;"&amp;D472,'Court Quorum'!$D$7:$D$24,"&lt;&gt;"&amp;E472)-IF(F472="Court",1,0)</f>
        <v>3</v>
      </c>
      <c r="I472" s="22" t="n">
        <f aca="false">Inputs!$B$10</f>
        <v>2</v>
      </c>
      <c r="J472" s="22" t="str">
        <f aca="false">IF(AND(G472&gt;=1,H472&gt;=I472),"PASS","FAIL")</f>
        <v>PASS</v>
      </c>
      <c r="K472" s="4"/>
      <c r="L472" s="4"/>
      <c r="M472" s="4"/>
      <c r="N472" s="4"/>
    </row>
    <row r="473" customFormat="false" ht="15" hidden="false" customHeight="false" outlineLevel="0" collapsed="false">
      <c r="A473" s="17" t="s">
        <v>359</v>
      </c>
      <c r="B473" s="17" t="s">
        <v>172</v>
      </c>
      <c r="C473" s="17" t="s">
        <v>145</v>
      </c>
      <c r="D473" s="17"/>
      <c r="E473" s="17"/>
      <c r="F473" s="17" t="s">
        <v>141</v>
      </c>
      <c r="G473" s="22" t="n">
        <f aca="false">COUNTIFS('Role Enclaves'!$D$7:$D$42,B473,'Role Enclaves'!$E$7:$E$42,C473,'Role Enclaves'!$B$7:$B$42,"&lt;&gt;"&amp;D473,'Role Enclaves'!$C$7:$C$42,"&lt;&gt;"&amp;E473)-IF(F473=C473,1,0)</f>
        <v>2</v>
      </c>
      <c r="H473" s="22" t="n">
        <f aca="false">COUNTIFS('Court Quorum'!$B$7:$B$24,B473,'Court Quorum'!$C$7:$C$24,"&lt;&gt;"&amp;D473,'Court Quorum'!$D$7:$D$24,"&lt;&gt;"&amp;E473)-IF(F473="Court",1,0)</f>
        <v>3</v>
      </c>
      <c r="I473" s="22" t="n">
        <f aca="false">Inputs!$B$10</f>
        <v>2</v>
      </c>
      <c r="J473" s="22" t="str">
        <f aca="false">IF(AND(G473&gt;=1,H473&gt;=I473),"PASS","FAIL")</f>
        <v>PASS</v>
      </c>
      <c r="K473" s="4"/>
      <c r="L473" s="4"/>
      <c r="M473" s="4"/>
      <c r="N473" s="4"/>
    </row>
    <row r="474" customFormat="false" ht="15" hidden="false" customHeight="false" outlineLevel="0" collapsed="false">
      <c r="A474" s="17" t="s">
        <v>359</v>
      </c>
      <c r="B474" s="17" t="s">
        <v>172</v>
      </c>
      <c r="C474" s="17" t="s">
        <v>142</v>
      </c>
      <c r="D474" s="17"/>
      <c r="E474" s="17"/>
      <c r="F474" s="17" t="s">
        <v>141</v>
      </c>
      <c r="G474" s="22" t="n">
        <f aca="false">COUNTIFS('Role Enclaves'!$D$7:$D$42,B474,'Role Enclaves'!$E$7:$E$42,C474,'Role Enclaves'!$B$7:$B$42,"&lt;&gt;"&amp;D474,'Role Enclaves'!$C$7:$C$42,"&lt;&gt;"&amp;E474)-IF(F474=C474,1,0)</f>
        <v>2</v>
      </c>
      <c r="H474" s="22" t="n">
        <f aca="false">COUNTIFS('Court Quorum'!$B$7:$B$24,B474,'Court Quorum'!$C$7:$C$24,"&lt;&gt;"&amp;D474,'Court Quorum'!$D$7:$D$24,"&lt;&gt;"&amp;E474)-IF(F474="Court",1,0)</f>
        <v>3</v>
      </c>
      <c r="I474" s="22" t="n">
        <f aca="false">Inputs!$B$10</f>
        <v>2</v>
      </c>
      <c r="J474" s="22" t="str">
        <f aca="false">IF(AND(G474&gt;=1,H474&gt;=I474),"PASS","FAIL")</f>
        <v>PASS</v>
      </c>
      <c r="K474" s="4"/>
      <c r="L474" s="4"/>
      <c r="M474" s="4"/>
      <c r="N474" s="4"/>
    </row>
    <row r="475" customFormat="false" ht="15" hidden="false" customHeight="false" outlineLevel="0" collapsed="false">
      <c r="A475" s="17" t="s">
        <v>361</v>
      </c>
      <c r="B475" s="17" t="s">
        <v>138</v>
      </c>
      <c r="C475" s="17" t="s">
        <v>141</v>
      </c>
      <c r="D475" s="17"/>
      <c r="E475" s="17"/>
      <c r="F475" s="17" t="s">
        <v>145</v>
      </c>
      <c r="G475" s="22" t="n">
        <f aca="false">COUNTIFS('Role Enclaves'!$D$7:$D$42,B475,'Role Enclaves'!$E$7:$E$42,C475,'Role Enclaves'!$B$7:$B$42,"&lt;&gt;"&amp;D475,'Role Enclaves'!$C$7:$C$42,"&lt;&gt;"&amp;E475)-IF(F475=C475,1,0)</f>
        <v>2</v>
      </c>
      <c r="H475" s="22" t="n">
        <f aca="false">COUNTIFS('Court Quorum'!$B$7:$B$24,B475,'Court Quorum'!$C$7:$C$24,"&lt;&gt;"&amp;D475,'Court Quorum'!$D$7:$D$24,"&lt;&gt;"&amp;E475)-IF(F475="Court",1,0)</f>
        <v>3</v>
      </c>
      <c r="I475" s="22" t="n">
        <f aca="false">Inputs!$B$10</f>
        <v>2</v>
      </c>
      <c r="J475" s="22" t="str">
        <f aca="false">IF(AND(G475&gt;=1,H475&gt;=I475),"PASS","FAIL")</f>
        <v>PASS</v>
      </c>
      <c r="K475" s="4"/>
      <c r="L475" s="4"/>
      <c r="M475" s="4"/>
      <c r="N475" s="4"/>
    </row>
    <row r="476" customFormat="false" ht="15" hidden="false" customHeight="false" outlineLevel="0" collapsed="false">
      <c r="A476" s="17" t="s">
        <v>361</v>
      </c>
      <c r="B476" s="17" t="s">
        <v>138</v>
      </c>
      <c r="C476" s="17" t="s">
        <v>145</v>
      </c>
      <c r="D476" s="17"/>
      <c r="E476" s="17"/>
      <c r="F476" s="17" t="s">
        <v>145</v>
      </c>
      <c r="G476" s="22" t="n">
        <f aca="false">COUNTIFS('Role Enclaves'!$D$7:$D$42,B476,'Role Enclaves'!$E$7:$E$42,C476,'Role Enclaves'!$B$7:$B$42,"&lt;&gt;"&amp;D476,'Role Enclaves'!$C$7:$C$42,"&lt;&gt;"&amp;E476)-IF(F476=C476,1,0)</f>
        <v>1</v>
      </c>
      <c r="H476" s="22" t="n">
        <f aca="false">COUNTIFS('Court Quorum'!$B$7:$B$24,B476,'Court Quorum'!$C$7:$C$24,"&lt;&gt;"&amp;D476,'Court Quorum'!$D$7:$D$24,"&lt;&gt;"&amp;E476)-IF(F476="Court",1,0)</f>
        <v>3</v>
      </c>
      <c r="I476" s="22" t="n">
        <f aca="false">Inputs!$B$10</f>
        <v>2</v>
      </c>
      <c r="J476" s="22" t="str">
        <f aca="false">IF(AND(G476&gt;=1,H476&gt;=I476),"PASS","FAIL")</f>
        <v>PASS</v>
      </c>
      <c r="K476" s="4"/>
      <c r="L476" s="4"/>
      <c r="M476" s="4"/>
      <c r="N476" s="4"/>
    </row>
    <row r="477" customFormat="false" ht="15" hidden="false" customHeight="false" outlineLevel="0" collapsed="false">
      <c r="A477" s="17" t="s">
        <v>361</v>
      </c>
      <c r="B477" s="17" t="s">
        <v>138</v>
      </c>
      <c r="C477" s="17" t="s">
        <v>142</v>
      </c>
      <c r="D477" s="17"/>
      <c r="E477" s="17"/>
      <c r="F477" s="17" t="s">
        <v>145</v>
      </c>
      <c r="G477" s="22" t="n">
        <f aca="false">COUNTIFS('Role Enclaves'!$D$7:$D$42,B477,'Role Enclaves'!$E$7:$E$42,C477,'Role Enclaves'!$B$7:$B$42,"&lt;&gt;"&amp;D477,'Role Enclaves'!$C$7:$C$42,"&lt;&gt;"&amp;E477)-IF(F477=C477,1,0)</f>
        <v>2</v>
      </c>
      <c r="H477" s="22" t="n">
        <f aca="false">COUNTIFS('Court Quorum'!$B$7:$B$24,B477,'Court Quorum'!$C$7:$C$24,"&lt;&gt;"&amp;D477,'Court Quorum'!$D$7:$D$24,"&lt;&gt;"&amp;E477)-IF(F477="Court",1,0)</f>
        <v>3</v>
      </c>
      <c r="I477" s="22" t="n">
        <f aca="false">Inputs!$B$10</f>
        <v>2</v>
      </c>
      <c r="J477" s="22" t="str">
        <f aca="false">IF(AND(G477&gt;=1,H477&gt;=I477),"PASS","FAIL")</f>
        <v>PASS</v>
      </c>
      <c r="K477" s="4"/>
      <c r="L477" s="4"/>
      <c r="M477" s="4"/>
      <c r="N477" s="4"/>
    </row>
    <row r="478" customFormat="false" ht="15" hidden="false" customHeight="false" outlineLevel="0" collapsed="false">
      <c r="A478" s="17" t="s">
        <v>361</v>
      </c>
      <c r="B478" s="17" t="s">
        <v>149</v>
      </c>
      <c r="C478" s="17" t="s">
        <v>141</v>
      </c>
      <c r="D478" s="17"/>
      <c r="E478" s="17"/>
      <c r="F478" s="17" t="s">
        <v>145</v>
      </c>
      <c r="G478" s="22" t="n">
        <f aca="false">COUNTIFS('Role Enclaves'!$D$7:$D$42,B478,'Role Enclaves'!$E$7:$E$42,C478,'Role Enclaves'!$B$7:$B$42,"&lt;&gt;"&amp;D478,'Role Enclaves'!$C$7:$C$42,"&lt;&gt;"&amp;E478)-IF(F478=C478,1,0)</f>
        <v>2</v>
      </c>
      <c r="H478" s="22" t="n">
        <f aca="false">COUNTIFS('Court Quorum'!$B$7:$B$24,B478,'Court Quorum'!$C$7:$C$24,"&lt;&gt;"&amp;D478,'Court Quorum'!$D$7:$D$24,"&lt;&gt;"&amp;E478)-IF(F478="Court",1,0)</f>
        <v>3</v>
      </c>
      <c r="I478" s="22" t="n">
        <f aca="false">Inputs!$B$10</f>
        <v>2</v>
      </c>
      <c r="J478" s="22" t="str">
        <f aca="false">IF(AND(G478&gt;=1,H478&gt;=I478),"PASS","FAIL")</f>
        <v>PASS</v>
      </c>
      <c r="K478" s="4"/>
      <c r="L478" s="4"/>
      <c r="M478" s="4"/>
      <c r="N478" s="4"/>
    </row>
    <row r="479" customFormat="false" ht="15" hidden="false" customHeight="false" outlineLevel="0" collapsed="false">
      <c r="A479" s="17" t="s">
        <v>361</v>
      </c>
      <c r="B479" s="17" t="s">
        <v>149</v>
      </c>
      <c r="C479" s="17" t="s">
        <v>145</v>
      </c>
      <c r="D479" s="17"/>
      <c r="E479" s="17"/>
      <c r="F479" s="17" t="s">
        <v>145</v>
      </c>
      <c r="G479" s="22" t="n">
        <f aca="false">COUNTIFS('Role Enclaves'!$D$7:$D$42,B479,'Role Enclaves'!$E$7:$E$42,C479,'Role Enclaves'!$B$7:$B$42,"&lt;&gt;"&amp;D479,'Role Enclaves'!$C$7:$C$42,"&lt;&gt;"&amp;E479)-IF(F479=C479,1,0)</f>
        <v>1</v>
      </c>
      <c r="H479" s="22" t="n">
        <f aca="false">COUNTIFS('Court Quorum'!$B$7:$B$24,B479,'Court Quorum'!$C$7:$C$24,"&lt;&gt;"&amp;D479,'Court Quorum'!$D$7:$D$24,"&lt;&gt;"&amp;E479)-IF(F479="Court",1,0)</f>
        <v>3</v>
      </c>
      <c r="I479" s="22" t="n">
        <f aca="false">Inputs!$B$10</f>
        <v>2</v>
      </c>
      <c r="J479" s="22" t="str">
        <f aca="false">IF(AND(G479&gt;=1,H479&gt;=I479),"PASS","FAIL")</f>
        <v>PASS</v>
      </c>
      <c r="K479" s="4"/>
      <c r="L479" s="4"/>
      <c r="M479" s="4"/>
      <c r="N479" s="4"/>
    </row>
    <row r="480" customFormat="false" ht="15" hidden="false" customHeight="false" outlineLevel="0" collapsed="false">
      <c r="A480" s="17" t="s">
        <v>361</v>
      </c>
      <c r="B480" s="17" t="s">
        <v>149</v>
      </c>
      <c r="C480" s="17" t="s">
        <v>142</v>
      </c>
      <c r="D480" s="17"/>
      <c r="E480" s="17"/>
      <c r="F480" s="17" t="s">
        <v>145</v>
      </c>
      <c r="G480" s="22" t="n">
        <f aca="false">COUNTIFS('Role Enclaves'!$D$7:$D$42,B480,'Role Enclaves'!$E$7:$E$42,C480,'Role Enclaves'!$B$7:$B$42,"&lt;&gt;"&amp;D480,'Role Enclaves'!$C$7:$C$42,"&lt;&gt;"&amp;E480)-IF(F480=C480,1,0)</f>
        <v>2</v>
      </c>
      <c r="H480" s="22" t="n">
        <f aca="false">COUNTIFS('Court Quorum'!$B$7:$B$24,B480,'Court Quorum'!$C$7:$C$24,"&lt;&gt;"&amp;D480,'Court Quorum'!$D$7:$D$24,"&lt;&gt;"&amp;E480)-IF(F480="Court",1,0)</f>
        <v>3</v>
      </c>
      <c r="I480" s="22" t="n">
        <f aca="false">Inputs!$B$10</f>
        <v>2</v>
      </c>
      <c r="J480" s="22" t="str">
        <f aca="false">IF(AND(G480&gt;=1,H480&gt;=I480),"PASS","FAIL")</f>
        <v>PASS</v>
      </c>
      <c r="K480" s="4"/>
      <c r="L480" s="4"/>
      <c r="M480" s="4"/>
      <c r="N480" s="4"/>
    </row>
    <row r="481" customFormat="false" ht="15" hidden="false" customHeight="false" outlineLevel="0" collapsed="false">
      <c r="A481" s="17" t="s">
        <v>361</v>
      </c>
      <c r="B481" s="17" t="s">
        <v>157</v>
      </c>
      <c r="C481" s="17" t="s">
        <v>141</v>
      </c>
      <c r="D481" s="17"/>
      <c r="E481" s="17"/>
      <c r="F481" s="17" t="s">
        <v>145</v>
      </c>
      <c r="G481" s="22" t="n">
        <f aca="false">COUNTIFS('Role Enclaves'!$D$7:$D$42,B481,'Role Enclaves'!$E$7:$E$42,C481,'Role Enclaves'!$B$7:$B$42,"&lt;&gt;"&amp;D481,'Role Enclaves'!$C$7:$C$42,"&lt;&gt;"&amp;E481)-IF(F481=C481,1,0)</f>
        <v>2</v>
      </c>
      <c r="H481" s="22" t="n">
        <f aca="false">COUNTIFS('Court Quorum'!$B$7:$B$24,B481,'Court Quorum'!$C$7:$C$24,"&lt;&gt;"&amp;D481,'Court Quorum'!$D$7:$D$24,"&lt;&gt;"&amp;E481)-IF(F481="Court",1,0)</f>
        <v>3</v>
      </c>
      <c r="I481" s="22" t="n">
        <f aca="false">Inputs!$B$10</f>
        <v>2</v>
      </c>
      <c r="J481" s="22" t="str">
        <f aca="false">IF(AND(G481&gt;=1,H481&gt;=I481),"PASS","FAIL")</f>
        <v>PASS</v>
      </c>
      <c r="K481" s="4"/>
      <c r="L481" s="4"/>
      <c r="M481" s="4"/>
      <c r="N481" s="4"/>
    </row>
    <row r="482" customFormat="false" ht="15" hidden="false" customHeight="false" outlineLevel="0" collapsed="false">
      <c r="A482" s="17" t="s">
        <v>361</v>
      </c>
      <c r="B482" s="17" t="s">
        <v>157</v>
      </c>
      <c r="C482" s="17" t="s">
        <v>145</v>
      </c>
      <c r="D482" s="17"/>
      <c r="E482" s="17"/>
      <c r="F482" s="17" t="s">
        <v>145</v>
      </c>
      <c r="G482" s="22" t="n">
        <f aca="false">COUNTIFS('Role Enclaves'!$D$7:$D$42,B482,'Role Enclaves'!$E$7:$E$42,C482,'Role Enclaves'!$B$7:$B$42,"&lt;&gt;"&amp;D482,'Role Enclaves'!$C$7:$C$42,"&lt;&gt;"&amp;E482)-IF(F482=C482,1,0)</f>
        <v>1</v>
      </c>
      <c r="H482" s="22" t="n">
        <f aca="false">COUNTIFS('Court Quorum'!$B$7:$B$24,B482,'Court Quorum'!$C$7:$C$24,"&lt;&gt;"&amp;D482,'Court Quorum'!$D$7:$D$24,"&lt;&gt;"&amp;E482)-IF(F482="Court",1,0)</f>
        <v>3</v>
      </c>
      <c r="I482" s="22" t="n">
        <f aca="false">Inputs!$B$10</f>
        <v>2</v>
      </c>
      <c r="J482" s="22" t="str">
        <f aca="false">IF(AND(G482&gt;=1,H482&gt;=I482),"PASS","FAIL")</f>
        <v>PASS</v>
      </c>
      <c r="K482" s="4"/>
      <c r="L482" s="4"/>
      <c r="M482" s="4"/>
      <c r="N482" s="4"/>
    </row>
    <row r="483" customFormat="false" ht="15" hidden="false" customHeight="false" outlineLevel="0" collapsed="false">
      <c r="A483" s="17" t="s">
        <v>361</v>
      </c>
      <c r="B483" s="17" t="s">
        <v>157</v>
      </c>
      <c r="C483" s="17" t="s">
        <v>142</v>
      </c>
      <c r="D483" s="17"/>
      <c r="E483" s="17"/>
      <c r="F483" s="17" t="s">
        <v>145</v>
      </c>
      <c r="G483" s="22" t="n">
        <f aca="false">COUNTIFS('Role Enclaves'!$D$7:$D$42,B483,'Role Enclaves'!$E$7:$E$42,C483,'Role Enclaves'!$B$7:$B$42,"&lt;&gt;"&amp;D483,'Role Enclaves'!$C$7:$C$42,"&lt;&gt;"&amp;E483)-IF(F483=C483,1,0)</f>
        <v>2</v>
      </c>
      <c r="H483" s="22" t="n">
        <f aca="false">COUNTIFS('Court Quorum'!$B$7:$B$24,B483,'Court Quorum'!$C$7:$C$24,"&lt;&gt;"&amp;D483,'Court Quorum'!$D$7:$D$24,"&lt;&gt;"&amp;E483)-IF(F483="Court",1,0)</f>
        <v>3</v>
      </c>
      <c r="I483" s="22" t="n">
        <f aca="false">Inputs!$B$10</f>
        <v>2</v>
      </c>
      <c r="J483" s="22" t="str">
        <f aca="false">IF(AND(G483&gt;=1,H483&gt;=I483),"PASS","FAIL")</f>
        <v>PASS</v>
      </c>
      <c r="K483" s="4"/>
      <c r="L483" s="4"/>
      <c r="M483" s="4"/>
      <c r="N483" s="4"/>
    </row>
    <row r="484" customFormat="false" ht="15" hidden="false" customHeight="false" outlineLevel="0" collapsed="false">
      <c r="A484" s="17" t="s">
        <v>361</v>
      </c>
      <c r="B484" s="17" t="s">
        <v>162</v>
      </c>
      <c r="C484" s="17" t="s">
        <v>141</v>
      </c>
      <c r="D484" s="17"/>
      <c r="E484" s="17"/>
      <c r="F484" s="17" t="s">
        <v>145</v>
      </c>
      <c r="G484" s="22" t="n">
        <f aca="false">COUNTIFS('Role Enclaves'!$D$7:$D$42,B484,'Role Enclaves'!$E$7:$E$42,C484,'Role Enclaves'!$B$7:$B$42,"&lt;&gt;"&amp;D484,'Role Enclaves'!$C$7:$C$42,"&lt;&gt;"&amp;E484)-IF(F484=C484,1,0)</f>
        <v>2</v>
      </c>
      <c r="H484" s="22" t="n">
        <f aca="false">COUNTIFS('Court Quorum'!$B$7:$B$24,B484,'Court Quorum'!$C$7:$C$24,"&lt;&gt;"&amp;D484,'Court Quorum'!$D$7:$D$24,"&lt;&gt;"&amp;E484)-IF(F484="Court",1,0)</f>
        <v>3</v>
      </c>
      <c r="I484" s="22" t="n">
        <f aca="false">Inputs!$B$10</f>
        <v>2</v>
      </c>
      <c r="J484" s="22" t="str">
        <f aca="false">IF(AND(G484&gt;=1,H484&gt;=I484),"PASS","FAIL")</f>
        <v>PASS</v>
      </c>
      <c r="K484" s="4"/>
      <c r="L484" s="4"/>
      <c r="M484" s="4"/>
      <c r="N484" s="4"/>
    </row>
    <row r="485" customFormat="false" ht="15" hidden="false" customHeight="false" outlineLevel="0" collapsed="false">
      <c r="A485" s="17" t="s">
        <v>361</v>
      </c>
      <c r="B485" s="17" t="s">
        <v>162</v>
      </c>
      <c r="C485" s="17" t="s">
        <v>145</v>
      </c>
      <c r="D485" s="17"/>
      <c r="E485" s="17"/>
      <c r="F485" s="17" t="s">
        <v>145</v>
      </c>
      <c r="G485" s="22" t="n">
        <f aca="false">COUNTIFS('Role Enclaves'!$D$7:$D$42,B485,'Role Enclaves'!$E$7:$E$42,C485,'Role Enclaves'!$B$7:$B$42,"&lt;&gt;"&amp;D485,'Role Enclaves'!$C$7:$C$42,"&lt;&gt;"&amp;E485)-IF(F485=C485,1,0)</f>
        <v>1</v>
      </c>
      <c r="H485" s="22" t="n">
        <f aca="false">COUNTIFS('Court Quorum'!$B$7:$B$24,B485,'Court Quorum'!$C$7:$C$24,"&lt;&gt;"&amp;D485,'Court Quorum'!$D$7:$D$24,"&lt;&gt;"&amp;E485)-IF(F485="Court",1,0)</f>
        <v>3</v>
      </c>
      <c r="I485" s="22" t="n">
        <f aca="false">Inputs!$B$10</f>
        <v>2</v>
      </c>
      <c r="J485" s="22" t="str">
        <f aca="false">IF(AND(G485&gt;=1,H485&gt;=I485),"PASS","FAIL")</f>
        <v>PASS</v>
      </c>
      <c r="K485" s="4"/>
      <c r="L485" s="4"/>
      <c r="M485" s="4"/>
      <c r="N485" s="4"/>
    </row>
    <row r="486" customFormat="false" ht="15" hidden="false" customHeight="false" outlineLevel="0" collapsed="false">
      <c r="A486" s="17" t="s">
        <v>361</v>
      </c>
      <c r="B486" s="17" t="s">
        <v>162</v>
      </c>
      <c r="C486" s="17" t="s">
        <v>142</v>
      </c>
      <c r="D486" s="17"/>
      <c r="E486" s="17"/>
      <c r="F486" s="17" t="s">
        <v>145</v>
      </c>
      <c r="G486" s="22" t="n">
        <f aca="false">COUNTIFS('Role Enclaves'!$D$7:$D$42,B486,'Role Enclaves'!$E$7:$E$42,C486,'Role Enclaves'!$B$7:$B$42,"&lt;&gt;"&amp;D486,'Role Enclaves'!$C$7:$C$42,"&lt;&gt;"&amp;E486)-IF(F486=C486,1,0)</f>
        <v>2</v>
      </c>
      <c r="H486" s="22" t="n">
        <f aca="false">COUNTIFS('Court Quorum'!$B$7:$B$24,B486,'Court Quorum'!$C$7:$C$24,"&lt;&gt;"&amp;D486,'Court Quorum'!$D$7:$D$24,"&lt;&gt;"&amp;E486)-IF(F486="Court",1,0)</f>
        <v>3</v>
      </c>
      <c r="I486" s="22" t="n">
        <f aca="false">Inputs!$B$10</f>
        <v>2</v>
      </c>
      <c r="J486" s="22" t="str">
        <f aca="false">IF(AND(G486&gt;=1,H486&gt;=I486),"PASS","FAIL")</f>
        <v>PASS</v>
      </c>
      <c r="K486" s="4"/>
      <c r="L486" s="4"/>
      <c r="M486" s="4"/>
      <c r="N486" s="4"/>
    </row>
    <row r="487" customFormat="false" ht="15" hidden="false" customHeight="false" outlineLevel="0" collapsed="false">
      <c r="A487" s="17" t="s">
        <v>361</v>
      </c>
      <c r="B487" s="17" t="s">
        <v>167</v>
      </c>
      <c r="C487" s="17" t="s">
        <v>141</v>
      </c>
      <c r="D487" s="17"/>
      <c r="E487" s="17"/>
      <c r="F487" s="17" t="s">
        <v>145</v>
      </c>
      <c r="G487" s="22" t="n">
        <f aca="false">COUNTIFS('Role Enclaves'!$D$7:$D$42,B487,'Role Enclaves'!$E$7:$E$42,C487,'Role Enclaves'!$B$7:$B$42,"&lt;&gt;"&amp;D487,'Role Enclaves'!$C$7:$C$42,"&lt;&gt;"&amp;E487)-IF(F487=C487,1,0)</f>
        <v>2</v>
      </c>
      <c r="H487" s="22" t="n">
        <f aca="false">COUNTIFS('Court Quorum'!$B$7:$B$24,B487,'Court Quorum'!$C$7:$C$24,"&lt;&gt;"&amp;D487,'Court Quorum'!$D$7:$D$24,"&lt;&gt;"&amp;E487)-IF(F487="Court",1,0)</f>
        <v>3</v>
      </c>
      <c r="I487" s="22" t="n">
        <f aca="false">Inputs!$B$10</f>
        <v>2</v>
      </c>
      <c r="J487" s="22" t="str">
        <f aca="false">IF(AND(G487&gt;=1,H487&gt;=I487),"PASS","FAIL")</f>
        <v>PASS</v>
      </c>
      <c r="K487" s="4"/>
      <c r="L487" s="4"/>
      <c r="M487" s="4"/>
      <c r="N487" s="4"/>
    </row>
    <row r="488" customFormat="false" ht="15" hidden="false" customHeight="false" outlineLevel="0" collapsed="false">
      <c r="A488" s="17" t="s">
        <v>361</v>
      </c>
      <c r="B488" s="17" t="s">
        <v>167</v>
      </c>
      <c r="C488" s="17" t="s">
        <v>145</v>
      </c>
      <c r="D488" s="17"/>
      <c r="E488" s="17"/>
      <c r="F488" s="17" t="s">
        <v>145</v>
      </c>
      <c r="G488" s="22" t="n">
        <f aca="false">COUNTIFS('Role Enclaves'!$D$7:$D$42,B488,'Role Enclaves'!$E$7:$E$42,C488,'Role Enclaves'!$B$7:$B$42,"&lt;&gt;"&amp;D488,'Role Enclaves'!$C$7:$C$42,"&lt;&gt;"&amp;E488)-IF(F488=C488,1,0)</f>
        <v>1</v>
      </c>
      <c r="H488" s="22" t="n">
        <f aca="false">COUNTIFS('Court Quorum'!$B$7:$B$24,B488,'Court Quorum'!$C$7:$C$24,"&lt;&gt;"&amp;D488,'Court Quorum'!$D$7:$D$24,"&lt;&gt;"&amp;E488)-IF(F488="Court",1,0)</f>
        <v>3</v>
      </c>
      <c r="I488" s="22" t="n">
        <f aca="false">Inputs!$B$10</f>
        <v>2</v>
      </c>
      <c r="J488" s="22" t="str">
        <f aca="false">IF(AND(G488&gt;=1,H488&gt;=I488),"PASS","FAIL")</f>
        <v>PASS</v>
      </c>
      <c r="K488" s="4"/>
      <c r="L488" s="4"/>
      <c r="M488" s="4"/>
      <c r="N488" s="4"/>
    </row>
    <row r="489" customFormat="false" ht="15" hidden="false" customHeight="false" outlineLevel="0" collapsed="false">
      <c r="A489" s="17" t="s">
        <v>361</v>
      </c>
      <c r="B489" s="17" t="s">
        <v>167</v>
      </c>
      <c r="C489" s="17" t="s">
        <v>142</v>
      </c>
      <c r="D489" s="17"/>
      <c r="E489" s="17"/>
      <c r="F489" s="17" t="s">
        <v>145</v>
      </c>
      <c r="G489" s="22" t="n">
        <f aca="false">COUNTIFS('Role Enclaves'!$D$7:$D$42,B489,'Role Enclaves'!$E$7:$E$42,C489,'Role Enclaves'!$B$7:$B$42,"&lt;&gt;"&amp;D489,'Role Enclaves'!$C$7:$C$42,"&lt;&gt;"&amp;E489)-IF(F489=C489,1,0)</f>
        <v>2</v>
      </c>
      <c r="H489" s="22" t="n">
        <f aca="false">COUNTIFS('Court Quorum'!$B$7:$B$24,B489,'Court Quorum'!$C$7:$C$24,"&lt;&gt;"&amp;D489,'Court Quorum'!$D$7:$D$24,"&lt;&gt;"&amp;E489)-IF(F489="Court",1,0)</f>
        <v>3</v>
      </c>
      <c r="I489" s="22" t="n">
        <f aca="false">Inputs!$B$10</f>
        <v>2</v>
      </c>
      <c r="J489" s="22" t="str">
        <f aca="false">IF(AND(G489&gt;=1,H489&gt;=I489),"PASS","FAIL")</f>
        <v>PASS</v>
      </c>
      <c r="K489" s="4"/>
      <c r="L489" s="4"/>
      <c r="M489" s="4"/>
      <c r="N489" s="4"/>
    </row>
    <row r="490" customFormat="false" ht="15" hidden="false" customHeight="false" outlineLevel="0" collapsed="false">
      <c r="A490" s="17" t="s">
        <v>361</v>
      </c>
      <c r="B490" s="17" t="s">
        <v>172</v>
      </c>
      <c r="C490" s="17" t="s">
        <v>141</v>
      </c>
      <c r="D490" s="17"/>
      <c r="E490" s="17"/>
      <c r="F490" s="17" t="s">
        <v>145</v>
      </c>
      <c r="G490" s="22" t="n">
        <f aca="false">COUNTIFS('Role Enclaves'!$D$7:$D$42,B490,'Role Enclaves'!$E$7:$E$42,C490,'Role Enclaves'!$B$7:$B$42,"&lt;&gt;"&amp;D490,'Role Enclaves'!$C$7:$C$42,"&lt;&gt;"&amp;E490)-IF(F490=C490,1,0)</f>
        <v>2</v>
      </c>
      <c r="H490" s="22" t="n">
        <f aca="false">COUNTIFS('Court Quorum'!$B$7:$B$24,B490,'Court Quorum'!$C$7:$C$24,"&lt;&gt;"&amp;D490,'Court Quorum'!$D$7:$D$24,"&lt;&gt;"&amp;E490)-IF(F490="Court",1,0)</f>
        <v>3</v>
      </c>
      <c r="I490" s="22" t="n">
        <f aca="false">Inputs!$B$10</f>
        <v>2</v>
      </c>
      <c r="J490" s="22" t="str">
        <f aca="false">IF(AND(G490&gt;=1,H490&gt;=I490),"PASS","FAIL")</f>
        <v>PASS</v>
      </c>
      <c r="K490" s="4"/>
      <c r="L490" s="4"/>
      <c r="M490" s="4"/>
      <c r="N490" s="4"/>
    </row>
    <row r="491" customFormat="false" ht="15" hidden="false" customHeight="false" outlineLevel="0" collapsed="false">
      <c r="A491" s="17" t="s">
        <v>361</v>
      </c>
      <c r="B491" s="17" t="s">
        <v>172</v>
      </c>
      <c r="C491" s="17" t="s">
        <v>145</v>
      </c>
      <c r="D491" s="17"/>
      <c r="E491" s="17"/>
      <c r="F491" s="17" t="s">
        <v>145</v>
      </c>
      <c r="G491" s="22" t="n">
        <f aca="false">COUNTIFS('Role Enclaves'!$D$7:$D$42,B491,'Role Enclaves'!$E$7:$E$42,C491,'Role Enclaves'!$B$7:$B$42,"&lt;&gt;"&amp;D491,'Role Enclaves'!$C$7:$C$42,"&lt;&gt;"&amp;E491)-IF(F491=C491,1,0)</f>
        <v>1</v>
      </c>
      <c r="H491" s="22" t="n">
        <f aca="false">COUNTIFS('Court Quorum'!$B$7:$B$24,B491,'Court Quorum'!$C$7:$C$24,"&lt;&gt;"&amp;D491,'Court Quorum'!$D$7:$D$24,"&lt;&gt;"&amp;E491)-IF(F491="Court",1,0)</f>
        <v>3</v>
      </c>
      <c r="I491" s="22" t="n">
        <f aca="false">Inputs!$B$10</f>
        <v>2</v>
      </c>
      <c r="J491" s="22" t="str">
        <f aca="false">IF(AND(G491&gt;=1,H491&gt;=I491),"PASS","FAIL")</f>
        <v>PASS</v>
      </c>
      <c r="K491" s="4"/>
      <c r="L491" s="4"/>
      <c r="M491" s="4"/>
      <c r="N491" s="4"/>
    </row>
    <row r="492" customFormat="false" ht="15" hidden="false" customHeight="false" outlineLevel="0" collapsed="false">
      <c r="A492" s="17" t="s">
        <v>361</v>
      </c>
      <c r="B492" s="17" t="s">
        <v>172</v>
      </c>
      <c r="C492" s="17" t="s">
        <v>142</v>
      </c>
      <c r="D492" s="17"/>
      <c r="E492" s="17"/>
      <c r="F492" s="17" t="s">
        <v>145</v>
      </c>
      <c r="G492" s="22" t="n">
        <f aca="false">COUNTIFS('Role Enclaves'!$D$7:$D$42,B492,'Role Enclaves'!$E$7:$E$42,C492,'Role Enclaves'!$B$7:$B$42,"&lt;&gt;"&amp;D492,'Role Enclaves'!$C$7:$C$42,"&lt;&gt;"&amp;E492)-IF(F492=C492,1,0)</f>
        <v>2</v>
      </c>
      <c r="H492" s="22" t="n">
        <f aca="false">COUNTIFS('Court Quorum'!$B$7:$B$24,B492,'Court Quorum'!$C$7:$C$24,"&lt;&gt;"&amp;D492,'Court Quorum'!$D$7:$D$24,"&lt;&gt;"&amp;E492)-IF(F492="Court",1,0)</f>
        <v>3</v>
      </c>
      <c r="I492" s="22" t="n">
        <f aca="false">Inputs!$B$10</f>
        <v>2</v>
      </c>
      <c r="J492" s="22" t="str">
        <f aca="false">IF(AND(G492&gt;=1,H492&gt;=I492),"PASS","FAIL")</f>
        <v>PASS</v>
      </c>
      <c r="K492" s="4"/>
      <c r="L492" s="4"/>
      <c r="M492" s="4"/>
      <c r="N492" s="4"/>
    </row>
    <row r="493" customFormat="false" ht="15" hidden="false" customHeight="false" outlineLevel="0" collapsed="false">
      <c r="A493" s="17" t="s">
        <v>363</v>
      </c>
      <c r="B493" s="17" t="s">
        <v>138</v>
      </c>
      <c r="C493" s="17" t="s">
        <v>141</v>
      </c>
      <c r="D493" s="17"/>
      <c r="E493" s="17"/>
      <c r="F493" s="17" t="s">
        <v>142</v>
      </c>
      <c r="G493" s="22" t="n">
        <f aca="false">COUNTIFS('Role Enclaves'!$D$7:$D$42,B493,'Role Enclaves'!$E$7:$E$42,C493,'Role Enclaves'!$B$7:$B$42,"&lt;&gt;"&amp;D493,'Role Enclaves'!$C$7:$C$42,"&lt;&gt;"&amp;E493)-IF(F493=C493,1,0)</f>
        <v>2</v>
      </c>
      <c r="H493" s="22" t="n">
        <f aca="false">COUNTIFS('Court Quorum'!$B$7:$B$24,B493,'Court Quorum'!$C$7:$C$24,"&lt;&gt;"&amp;D493,'Court Quorum'!$D$7:$D$24,"&lt;&gt;"&amp;E493)-IF(F493="Court",1,0)</f>
        <v>3</v>
      </c>
      <c r="I493" s="22" t="n">
        <f aca="false">Inputs!$B$10</f>
        <v>2</v>
      </c>
      <c r="J493" s="22" t="str">
        <f aca="false">IF(AND(G493&gt;=1,H493&gt;=I493),"PASS","FAIL")</f>
        <v>PASS</v>
      </c>
      <c r="K493" s="4"/>
      <c r="L493" s="4"/>
      <c r="M493" s="4"/>
      <c r="N493" s="4"/>
    </row>
    <row r="494" customFormat="false" ht="15" hidden="false" customHeight="false" outlineLevel="0" collapsed="false">
      <c r="A494" s="17" t="s">
        <v>363</v>
      </c>
      <c r="B494" s="17" t="s">
        <v>138</v>
      </c>
      <c r="C494" s="17" t="s">
        <v>145</v>
      </c>
      <c r="D494" s="17"/>
      <c r="E494" s="17"/>
      <c r="F494" s="17" t="s">
        <v>142</v>
      </c>
      <c r="G494" s="22" t="n">
        <f aca="false">COUNTIFS('Role Enclaves'!$D$7:$D$42,B494,'Role Enclaves'!$E$7:$E$42,C494,'Role Enclaves'!$B$7:$B$42,"&lt;&gt;"&amp;D494,'Role Enclaves'!$C$7:$C$42,"&lt;&gt;"&amp;E494)-IF(F494=C494,1,0)</f>
        <v>2</v>
      </c>
      <c r="H494" s="22" t="n">
        <f aca="false">COUNTIFS('Court Quorum'!$B$7:$B$24,B494,'Court Quorum'!$C$7:$C$24,"&lt;&gt;"&amp;D494,'Court Quorum'!$D$7:$D$24,"&lt;&gt;"&amp;E494)-IF(F494="Court",1,0)</f>
        <v>3</v>
      </c>
      <c r="I494" s="22" t="n">
        <f aca="false">Inputs!$B$10</f>
        <v>2</v>
      </c>
      <c r="J494" s="22" t="str">
        <f aca="false">IF(AND(G494&gt;=1,H494&gt;=I494),"PASS","FAIL")</f>
        <v>PASS</v>
      </c>
      <c r="K494" s="4"/>
      <c r="L494" s="4"/>
      <c r="M494" s="4"/>
      <c r="N494" s="4"/>
    </row>
    <row r="495" customFormat="false" ht="15" hidden="false" customHeight="false" outlineLevel="0" collapsed="false">
      <c r="A495" s="17" t="s">
        <v>363</v>
      </c>
      <c r="B495" s="17" t="s">
        <v>138</v>
      </c>
      <c r="C495" s="17" t="s">
        <v>142</v>
      </c>
      <c r="D495" s="17"/>
      <c r="E495" s="17"/>
      <c r="F495" s="17" t="s">
        <v>142</v>
      </c>
      <c r="G495" s="22" t="n">
        <f aca="false">COUNTIFS('Role Enclaves'!$D$7:$D$42,B495,'Role Enclaves'!$E$7:$E$42,C495,'Role Enclaves'!$B$7:$B$42,"&lt;&gt;"&amp;D495,'Role Enclaves'!$C$7:$C$42,"&lt;&gt;"&amp;E495)-IF(F495=C495,1,0)</f>
        <v>1</v>
      </c>
      <c r="H495" s="22" t="n">
        <f aca="false">COUNTIFS('Court Quorum'!$B$7:$B$24,B495,'Court Quorum'!$C$7:$C$24,"&lt;&gt;"&amp;D495,'Court Quorum'!$D$7:$D$24,"&lt;&gt;"&amp;E495)-IF(F495="Court",1,0)</f>
        <v>3</v>
      </c>
      <c r="I495" s="22" t="n">
        <f aca="false">Inputs!$B$10</f>
        <v>2</v>
      </c>
      <c r="J495" s="22" t="str">
        <f aca="false">IF(AND(G495&gt;=1,H495&gt;=I495),"PASS","FAIL")</f>
        <v>PASS</v>
      </c>
      <c r="K495" s="4"/>
      <c r="L495" s="4"/>
      <c r="M495" s="4"/>
      <c r="N495" s="4"/>
    </row>
    <row r="496" customFormat="false" ht="15" hidden="false" customHeight="false" outlineLevel="0" collapsed="false">
      <c r="A496" s="17" t="s">
        <v>363</v>
      </c>
      <c r="B496" s="17" t="s">
        <v>149</v>
      </c>
      <c r="C496" s="17" t="s">
        <v>141</v>
      </c>
      <c r="D496" s="17"/>
      <c r="E496" s="17"/>
      <c r="F496" s="17" t="s">
        <v>142</v>
      </c>
      <c r="G496" s="22" t="n">
        <f aca="false">COUNTIFS('Role Enclaves'!$D$7:$D$42,B496,'Role Enclaves'!$E$7:$E$42,C496,'Role Enclaves'!$B$7:$B$42,"&lt;&gt;"&amp;D496,'Role Enclaves'!$C$7:$C$42,"&lt;&gt;"&amp;E496)-IF(F496=C496,1,0)</f>
        <v>2</v>
      </c>
      <c r="H496" s="22" t="n">
        <f aca="false">COUNTIFS('Court Quorum'!$B$7:$B$24,B496,'Court Quorum'!$C$7:$C$24,"&lt;&gt;"&amp;D496,'Court Quorum'!$D$7:$D$24,"&lt;&gt;"&amp;E496)-IF(F496="Court",1,0)</f>
        <v>3</v>
      </c>
      <c r="I496" s="22" t="n">
        <f aca="false">Inputs!$B$10</f>
        <v>2</v>
      </c>
      <c r="J496" s="22" t="str">
        <f aca="false">IF(AND(G496&gt;=1,H496&gt;=I496),"PASS","FAIL")</f>
        <v>PASS</v>
      </c>
      <c r="K496" s="4"/>
      <c r="L496" s="4"/>
      <c r="M496" s="4"/>
      <c r="N496" s="4"/>
    </row>
    <row r="497" customFormat="false" ht="15" hidden="false" customHeight="false" outlineLevel="0" collapsed="false">
      <c r="A497" s="17" t="s">
        <v>363</v>
      </c>
      <c r="B497" s="17" t="s">
        <v>149</v>
      </c>
      <c r="C497" s="17" t="s">
        <v>145</v>
      </c>
      <c r="D497" s="17"/>
      <c r="E497" s="17"/>
      <c r="F497" s="17" t="s">
        <v>142</v>
      </c>
      <c r="G497" s="22" t="n">
        <f aca="false">COUNTIFS('Role Enclaves'!$D$7:$D$42,B497,'Role Enclaves'!$E$7:$E$42,C497,'Role Enclaves'!$B$7:$B$42,"&lt;&gt;"&amp;D497,'Role Enclaves'!$C$7:$C$42,"&lt;&gt;"&amp;E497)-IF(F497=C497,1,0)</f>
        <v>2</v>
      </c>
      <c r="H497" s="22" t="n">
        <f aca="false">COUNTIFS('Court Quorum'!$B$7:$B$24,B497,'Court Quorum'!$C$7:$C$24,"&lt;&gt;"&amp;D497,'Court Quorum'!$D$7:$D$24,"&lt;&gt;"&amp;E497)-IF(F497="Court",1,0)</f>
        <v>3</v>
      </c>
      <c r="I497" s="22" t="n">
        <f aca="false">Inputs!$B$10</f>
        <v>2</v>
      </c>
      <c r="J497" s="22" t="str">
        <f aca="false">IF(AND(G497&gt;=1,H497&gt;=I497),"PASS","FAIL")</f>
        <v>PASS</v>
      </c>
      <c r="K497" s="4"/>
      <c r="L497" s="4"/>
      <c r="M497" s="4"/>
      <c r="N497" s="4"/>
    </row>
    <row r="498" customFormat="false" ht="15" hidden="false" customHeight="false" outlineLevel="0" collapsed="false">
      <c r="A498" s="17" t="s">
        <v>363</v>
      </c>
      <c r="B498" s="17" t="s">
        <v>149</v>
      </c>
      <c r="C498" s="17" t="s">
        <v>142</v>
      </c>
      <c r="D498" s="17"/>
      <c r="E498" s="17"/>
      <c r="F498" s="17" t="s">
        <v>142</v>
      </c>
      <c r="G498" s="22" t="n">
        <f aca="false">COUNTIFS('Role Enclaves'!$D$7:$D$42,B498,'Role Enclaves'!$E$7:$E$42,C498,'Role Enclaves'!$B$7:$B$42,"&lt;&gt;"&amp;D498,'Role Enclaves'!$C$7:$C$42,"&lt;&gt;"&amp;E498)-IF(F498=C498,1,0)</f>
        <v>1</v>
      </c>
      <c r="H498" s="22" t="n">
        <f aca="false">COUNTIFS('Court Quorum'!$B$7:$B$24,B498,'Court Quorum'!$C$7:$C$24,"&lt;&gt;"&amp;D498,'Court Quorum'!$D$7:$D$24,"&lt;&gt;"&amp;E498)-IF(F498="Court",1,0)</f>
        <v>3</v>
      </c>
      <c r="I498" s="22" t="n">
        <f aca="false">Inputs!$B$10</f>
        <v>2</v>
      </c>
      <c r="J498" s="22" t="str">
        <f aca="false">IF(AND(G498&gt;=1,H498&gt;=I498),"PASS","FAIL")</f>
        <v>PASS</v>
      </c>
      <c r="K498" s="4"/>
      <c r="L498" s="4"/>
      <c r="M498" s="4"/>
      <c r="N498" s="4"/>
    </row>
    <row r="499" customFormat="false" ht="15" hidden="false" customHeight="false" outlineLevel="0" collapsed="false">
      <c r="A499" s="17" t="s">
        <v>363</v>
      </c>
      <c r="B499" s="17" t="s">
        <v>157</v>
      </c>
      <c r="C499" s="17" t="s">
        <v>141</v>
      </c>
      <c r="D499" s="17"/>
      <c r="E499" s="17"/>
      <c r="F499" s="17" t="s">
        <v>142</v>
      </c>
      <c r="G499" s="22" t="n">
        <f aca="false">COUNTIFS('Role Enclaves'!$D$7:$D$42,B499,'Role Enclaves'!$E$7:$E$42,C499,'Role Enclaves'!$B$7:$B$42,"&lt;&gt;"&amp;D499,'Role Enclaves'!$C$7:$C$42,"&lt;&gt;"&amp;E499)-IF(F499=C499,1,0)</f>
        <v>2</v>
      </c>
      <c r="H499" s="22" t="n">
        <f aca="false">COUNTIFS('Court Quorum'!$B$7:$B$24,B499,'Court Quorum'!$C$7:$C$24,"&lt;&gt;"&amp;D499,'Court Quorum'!$D$7:$D$24,"&lt;&gt;"&amp;E499)-IF(F499="Court",1,0)</f>
        <v>3</v>
      </c>
      <c r="I499" s="22" t="n">
        <f aca="false">Inputs!$B$10</f>
        <v>2</v>
      </c>
      <c r="J499" s="22" t="str">
        <f aca="false">IF(AND(G499&gt;=1,H499&gt;=I499),"PASS","FAIL")</f>
        <v>PASS</v>
      </c>
      <c r="K499" s="4"/>
      <c r="L499" s="4"/>
      <c r="M499" s="4"/>
      <c r="N499" s="4"/>
    </row>
    <row r="500" customFormat="false" ht="15" hidden="false" customHeight="false" outlineLevel="0" collapsed="false">
      <c r="A500" s="17" t="s">
        <v>363</v>
      </c>
      <c r="B500" s="17" t="s">
        <v>157</v>
      </c>
      <c r="C500" s="17" t="s">
        <v>145</v>
      </c>
      <c r="D500" s="17"/>
      <c r="E500" s="17"/>
      <c r="F500" s="17" t="s">
        <v>142</v>
      </c>
      <c r="G500" s="22" t="n">
        <f aca="false">COUNTIFS('Role Enclaves'!$D$7:$D$42,B500,'Role Enclaves'!$E$7:$E$42,C500,'Role Enclaves'!$B$7:$B$42,"&lt;&gt;"&amp;D500,'Role Enclaves'!$C$7:$C$42,"&lt;&gt;"&amp;E500)-IF(F500=C500,1,0)</f>
        <v>2</v>
      </c>
      <c r="H500" s="22" t="n">
        <f aca="false">COUNTIFS('Court Quorum'!$B$7:$B$24,B500,'Court Quorum'!$C$7:$C$24,"&lt;&gt;"&amp;D500,'Court Quorum'!$D$7:$D$24,"&lt;&gt;"&amp;E500)-IF(F500="Court",1,0)</f>
        <v>3</v>
      </c>
      <c r="I500" s="22" t="n">
        <f aca="false">Inputs!$B$10</f>
        <v>2</v>
      </c>
      <c r="J500" s="22" t="str">
        <f aca="false">IF(AND(G500&gt;=1,H500&gt;=I500),"PASS","FAIL")</f>
        <v>PASS</v>
      </c>
      <c r="K500" s="4"/>
      <c r="L500" s="4"/>
      <c r="M500" s="4"/>
      <c r="N500" s="4"/>
    </row>
    <row r="501" customFormat="false" ht="15" hidden="false" customHeight="false" outlineLevel="0" collapsed="false">
      <c r="A501" s="17" t="s">
        <v>363</v>
      </c>
      <c r="B501" s="17" t="s">
        <v>157</v>
      </c>
      <c r="C501" s="17" t="s">
        <v>142</v>
      </c>
      <c r="D501" s="17"/>
      <c r="E501" s="17"/>
      <c r="F501" s="17" t="s">
        <v>142</v>
      </c>
      <c r="G501" s="22" t="n">
        <f aca="false">COUNTIFS('Role Enclaves'!$D$7:$D$42,B501,'Role Enclaves'!$E$7:$E$42,C501,'Role Enclaves'!$B$7:$B$42,"&lt;&gt;"&amp;D501,'Role Enclaves'!$C$7:$C$42,"&lt;&gt;"&amp;E501)-IF(F501=C501,1,0)</f>
        <v>1</v>
      </c>
      <c r="H501" s="22" t="n">
        <f aca="false">COUNTIFS('Court Quorum'!$B$7:$B$24,B501,'Court Quorum'!$C$7:$C$24,"&lt;&gt;"&amp;D501,'Court Quorum'!$D$7:$D$24,"&lt;&gt;"&amp;E501)-IF(F501="Court",1,0)</f>
        <v>3</v>
      </c>
      <c r="I501" s="22" t="n">
        <f aca="false">Inputs!$B$10</f>
        <v>2</v>
      </c>
      <c r="J501" s="22" t="str">
        <f aca="false">IF(AND(G501&gt;=1,H501&gt;=I501),"PASS","FAIL")</f>
        <v>PASS</v>
      </c>
      <c r="K501" s="4"/>
      <c r="L501" s="4"/>
      <c r="M501" s="4"/>
      <c r="N501" s="4"/>
    </row>
    <row r="502" customFormat="false" ht="15" hidden="false" customHeight="false" outlineLevel="0" collapsed="false">
      <c r="A502" s="17" t="s">
        <v>363</v>
      </c>
      <c r="B502" s="17" t="s">
        <v>162</v>
      </c>
      <c r="C502" s="17" t="s">
        <v>141</v>
      </c>
      <c r="D502" s="17"/>
      <c r="E502" s="17"/>
      <c r="F502" s="17" t="s">
        <v>142</v>
      </c>
      <c r="G502" s="22" t="n">
        <f aca="false">COUNTIFS('Role Enclaves'!$D$7:$D$42,B502,'Role Enclaves'!$E$7:$E$42,C502,'Role Enclaves'!$B$7:$B$42,"&lt;&gt;"&amp;D502,'Role Enclaves'!$C$7:$C$42,"&lt;&gt;"&amp;E502)-IF(F502=C502,1,0)</f>
        <v>2</v>
      </c>
      <c r="H502" s="22" t="n">
        <f aca="false">COUNTIFS('Court Quorum'!$B$7:$B$24,B502,'Court Quorum'!$C$7:$C$24,"&lt;&gt;"&amp;D502,'Court Quorum'!$D$7:$D$24,"&lt;&gt;"&amp;E502)-IF(F502="Court",1,0)</f>
        <v>3</v>
      </c>
      <c r="I502" s="22" t="n">
        <f aca="false">Inputs!$B$10</f>
        <v>2</v>
      </c>
      <c r="J502" s="22" t="str">
        <f aca="false">IF(AND(G502&gt;=1,H502&gt;=I502),"PASS","FAIL")</f>
        <v>PASS</v>
      </c>
      <c r="K502" s="4"/>
      <c r="L502" s="4"/>
      <c r="M502" s="4"/>
      <c r="N502" s="4"/>
    </row>
    <row r="503" customFormat="false" ht="15" hidden="false" customHeight="false" outlineLevel="0" collapsed="false">
      <c r="A503" s="17" t="s">
        <v>363</v>
      </c>
      <c r="B503" s="17" t="s">
        <v>162</v>
      </c>
      <c r="C503" s="17" t="s">
        <v>145</v>
      </c>
      <c r="D503" s="17"/>
      <c r="E503" s="17"/>
      <c r="F503" s="17" t="s">
        <v>142</v>
      </c>
      <c r="G503" s="22" t="n">
        <f aca="false">COUNTIFS('Role Enclaves'!$D$7:$D$42,B503,'Role Enclaves'!$E$7:$E$42,C503,'Role Enclaves'!$B$7:$B$42,"&lt;&gt;"&amp;D503,'Role Enclaves'!$C$7:$C$42,"&lt;&gt;"&amp;E503)-IF(F503=C503,1,0)</f>
        <v>2</v>
      </c>
      <c r="H503" s="22" t="n">
        <f aca="false">COUNTIFS('Court Quorum'!$B$7:$B$24,B503,'Court Quorum'!$C$7:$C$24,"&lt;&gt;"&amp;D503,'Court Quorum'!$D$7:$D$24,"&lt;&gt;"&amp;E503)-IF(F503="Court",1,0)</f>
        <v>3</v>
      </c>
      <c r="I503" s="22" t="n">
        <f aca="false">Inputs!$B$10</f>
        <v>2</v>
      </c>
      <c r="J503" s="22" t="str">
        <f aca="false">IF(AND(G503&gt;=1,H503&gt;=I503),"PASS","FAIL")</f>
        <v>PASS</v>
      </c>
      <c r="K503" s="4"/>
      <c r="L503" s="4"/>
      <c r="M503" s="4"/>
      <c r="N503" s="4"/>
    </row>
    <row r="504" customFormat="false" ht="15" hidden="false" customHeight="false" outlineLevel="0" collapsed="false">
      <c r="A504" s="17" t="s">
        <v>363</v>
      </c>
      <c r="B504" s="17" t="s">
        <v>162</v>
      </c>
      <c r="C504" s="17" t="s">
        <v>142</v>
      </c>
      <c r="D504" s="17"/>
      <c r="E504" s="17"/>
      <c r="F504" s="17" t="s">
        <v>142</v>
      </c>
      <c r="G504" s="22" t="n">
        <f aca="false">COUNTIFS('Role Enclaves'!$D$7:$D$42,B504,'Role Enclaves'!$E$7:$E$42,C504,'Role Enclaves'!$B$7:$B$42,"&lt;&gt;"&amp;D504,'Role Enclaves'!$C$7:$C$42,"&lt;&gt;"&amp;E504)-IF(F504=C504,1,0)</f>
        <v>1</v>
      </c>
      <c r="H504" s="22" t="n">
        <f aca="false">COUNTIFS('Court Quorum'!$B$7:$B$24,B504,'Court Quorum'!$C$7:$C$24,"&lt;&gt;"&amp;D504,'Court Quorum'!$D$7:$D$24,"&lt;&gt;"&amp;E504)-IF(F504="Court",1,0)</f>
        <v>3</v>
      </c>
      <c r="I504" s="22" t="n">
        <f aca="false">Inputs!$B$10</f>
        <v>2</v>
      </c>
      <c r="J504" s="22" t="str">
        <f aca="false">IF(AND(G504&gt;=1,H504&gt;=I504),"PASS","FAIL")</f>
        <v>PASS</v>
      </c>
      <c r="K504" s="4"/>
      <c r="L504" s="4"/>
      <c r="M504" s="4"/>
      <c r="N504" s="4"/>
    </row>
    <row r="505" customFormat="false" ht="15" hidden="false" customHeight="false" outlineLevel="0" collapsed="false">
      <c r="A505" s="17" t="s">
        <v>363</v>
      </c>
      <c r="B505" s="17" t="s">
        <v>167</v>
      </c>
      <c r="C505" s="17" t="s">
        <v>141</v>
      </c>
      <c r="D505" s="17"/>
      <c r="E505" s="17"/>
      <c r="F505" s="17" t="s">
        <v>142</v>
      </c>
      <c r="G505" s="22" t="n">
        <f aca="false">COUNTIFS('Role Enclaves'!$D$7:$D$42,B505,'Role Enclaves'!$E$7:$E$42,C505,'Role Enclaves'!$B$7:$B$42,"&lt;&gt;"&amp;D505,'Role Enclaves'!$C$7:$C$42,"&lt;&gt;"&amp;E505)-IF(F505=C505,1,0)</f>
        <v>2</v>
      </c>
      <c r="H505" s="22" t="n">
        <f aca="false">COUNTIFS('Court Quorum'!$B$7:$B$24,B505,'Court Quorum'!$C$7:$C$24,"&lt;&gt;"&amp;D505,'Court Quorum'!$D$7:$D$24,"&lt;&gt;"&amp;E505)-IF(F505="Court",1,0)</f>
        <v>3</v>
      </c>
      <c r="I505" s="22" t="n">
        <f aca="false">Inputs!$B$10</f>
        <v>2</v>
      </c>
      <c r="J505" s="22" t="str">
        <f aca="false">IF(AND(G505&gt;=1,H505&gt;=I505),"PASS","FAIL")</f>
        <v>PASS</v>
      </c>
      <c r="K505" s="4"/>
      <c r="L505" s="4"/>
      <c r="M505" s="4"/>
      <c r="N505" s="4"/>
    </row>
    <row r="506" customFormat="false" ht="15" hidden="false" customHeight="false" outlineLevel="0" collapsed="false">
      <c r="A506" s="17" t="s">
        <v>363</v>
      </c>
      <c r="B506" s="17" t="s">
        <v>167</v>
      </c>
      <c r="C506" s="17" t="s">
        <v>145</v>
      </c>
      <c r="D506" s="17"/>
      <c r="E506" s="17"/>
      <c r="F506" s="17" t="s">
        <v>142</v>
      </c>
      <c r="G506" s="22" t="n">
        <f aca="false">COUNTIFS('Role Enclaves'!$D$7:$D$42,B506,'Role Enclaves'!$E$7:$E$42,C506,'Role Enclaves'!$B$7:$B$42,"&lt;&gt;"&amp;D506,'Role Enclaves'!$C$7:$C$42,"&lt;&gt;"&amp;E506)-IF(F506=C506,1,0)</f>
        <v>2</v>
      </c>
      <c r="H506" s="22" t="n">
        <f aca="false">COUNTIFS('Court Quorum'!$B$7:$B$24,B506,'Court Quorum'!$C$7:$C$24,"&lt;&gt;"&amp;D506,'Court Quorum'!$D$7:$D$24,"&lt;&gt;"&amp;E506)-IF(F506="Court",1,0)</f>
        <v>3</v>
      </c>
      <c r="I506" s="22" t="n">
        <f aca="false">Inputs!$B$10</f>
        <v>2</v>
      </c>
      <c r="J506" s="22" t="str">
        <f aca="false">IF(AND(G506&gt;=1,H506&gt;=I506),"PASS","FAIL")</f>
        <v>PASS</v>
      </c>
      <c r="K506" s="4"/>
      <c r="L506" s="4"/>
      <c r="M506" s="4"/>
      <c r="N506" s="4"/>
    </row>
    <row r="507" customFormat="false" ht="15" hidden="false" customHeight="false" outlineLevel="0" collapsed="false">
      <c r="A507" s="17" t="s">
        <v>363</v>
      </c>
      <c r="B507" s="17" t="s">
        <v>167</v>
      </c>
      <c r="C507" s="17" t="s">
        <v>142</v>
      </c>
      <c r="D507" s="17"/>
      <c r="E507" s="17"/>
      <c r="F507" s="17" t="s">
        <v>142</v>
      </c>
      <c r="G507" s="22" t="n">
        <f aca="false">COUNTIFS('Role Enclaves'!$D$7:$D$42,B507,'Role Enclaves'!$E$7:$E$42,C507,'Role Enclaves'!$B$7:$B$42,"&lt;&gt;"&amp;D507,'Role Enclaves'!$C$7:$C$42,"&lt;&gt;"&amp;E507)-IF(F507=C507,1,0)</f>
        <v>1</v>
      </c>
      <c r="H507" s="22" t="n">
        <f aca="false">COUNTIFS('Court Quorum'!$B$7:$B$24,B507,'Court Quorum'!$C$7:$C$24,"&lt;&gt;"&amp;D507,'Court Quorum'!$D$7:$D$24,"&lt;&gt;"&amp;E507)-IF(F507="Court",1,0)</f>
        <v>3</v>
      </c>
      <c r="I507" s="22" t="n">
        <f aca="false">Inputs!$B$10</f>
        <v>2</v>
      </c>
      <c r="J507" s="22" t="str">
        <f aca="false">IF(AND(G507&gt;=1,H507&gt;=I507),"PASS","FAIL")</f>
        <v>PASS</v>
      </c>
      <c r="K507" s="4"/>
      <c r="L507" s="4"/>
      <c r="M507" s="4"/>
      <c r="N507" s="4"/>
    </row>
    <row r="508" customFormat="false" ht="15" hidden="false" customHeight="false" outlineLevel="0" collapsed="false">
      <c r="A508" s="17" t="s">
        <v>363</v>
      </c>
      <c r="B508" s="17" t="s">
        <v>172</v>
      </c>
      <c r="C508" s="17" t="s">
        <v>141</v>
      </c>
      <c r="D508" s="17"/>
      <c r="E508" s="17"/>
      <c r="F508" s="17" t="s">
        <v>142</v>
      </c>
      <c r="G508" s="22" t="n">
        <f aca="false">COUNTIFS('Role Enclaves'!$D$7:$D$42,B508,'Role Enclaves'!$E$7:$E$42,C508,'Role Enclaves'!$B$7:$B$42,"&lt;&gt;"&amp;D508,'Role Enclaves'!$C$7:$C$42,"&lt;&gt;"&amp;E508)-IF(F508=C508,1,0)</f>
        <v>2</v>
      </c>
      <c r="H508" s="22" t="n">
        <f aca="false">COUNTIFS('Court Quorum'!$B$7:$B$24,B508,'Court Quorum'!$C$7:$C$24,"&lt;&gt;"&amp;D508,'Court Quorum'!$D$7:$D$24,"&lt;&gt;"&amp;E508)-IF(F508="Court",1,0)</f>
        <v>3</v>
      </c>
      <c r="I508" s="22" t="n">
        <f aca="false">Inputs!$B$10</f>
        <v>2</v>
      </c>
      <c r="J508" s="22" t="str">
        <f aca="false">IF(AND(G508&gt;=1,H508&gt;=I508),"PASS","FAIL")</f>
        <v>PASS</v>
      </c>
      <c r="K508" s="4"/>
      <c r="L508" s="4"/>
      <c r="M508" s="4"/>
      <c r="N508" s="4"/>
    </row>
    <row r="509" customFormat="false" ht="15" hidden="false" customHeight="false" outlineLevel="0" collapsed="false">
      <c r="A509" s="17" t="s">
        <v>363</v>
      </c>
      <c r="B509" s="17" t="s">
        <v>172</v>
      </c>
      <c r="C509" s="17" t="s">
        <v>145</v>
      </c>
      <c r="D509" s="17"/>
      <c r="E509" s="17"/>
      <c r="F509" s="17" t="s">
        <v>142</v>
      </c>
      <c r="G509" s="22" t="n">
        <f aca="false">COUNTIFS('Role Enclaves'!$D$7:$D$42,B509,'Role Enclaves'!$E$7:$E$42,C509,'Role Enclaves'!$B$7:$B$42,"&lt;&gt;"&amp;D509,'Role Enclaves'!$C$7:$C$42,"&lt;&gt;"&amp;E509)-IF(F509=C509,1,0)</f>
        <v>2</v>
      </c>
      <c r="H509" s="22" t="n">
        <f aca="false">COUNTIFS('Court Quorum'!$B$7:$B$24,B509,'Court Quorum'!$C$7:$C$24,"&lt;&gt;"&amp;D509,'Court Quorum'!$D$7:$D$24,"&lt;&gt;"&amp;E509)-IF(F509="Court",1,0)</f>
        <v>3</v>
      </c>
      <c r="I509" s="22" t="n">
        <f aca="false">Inputs!$B$10</f>
        <v>2</v>
      </c>
      <c r="J509" s="22" t="str">
        <f aca="false">IF(AND(G509&gt;=1,H509&gt;=I509),"PASS","FAIL")</f>
        <v>PASS</v>
      </c>
      <c r="K509" s="4"/>
      <c r="L509" s="4"/>
      <c r="M509" s="4"/>
      <c r="N509" s="4"/>
    </row>
    <row r="510" customFormat="false" ht="15" hidden="false" customHeight="false" outlineLevel="0" collapsed="false">
      <c r="A510" s="17" t="s">
        <v>363</v>
      </c>
      <c r="B510" s="17" t="s">
        <v>172</v>
      </c>
      <c r="C510" s="17" t="s">
        <v>142</v>
      </c>
      <c r="D510" s="17"/>
      <c r="E510" s="17"/>
      <c r="F510" s="17" t="s">
        <v>142</v>
      </c>
      <c r="G510" s="22" t="n">
        <f aca="false">COUNTIFS('Role Enclaves'!$D$7:$D$42,B510,'Role Enclaves'!$E$7:$E$42,C510,'Role Enclaves'!$B$7:$B$42,"&lt;&gt;"&amp;D510,'Role Enclaves'!$C$7:$C$42,"&lt;&gt;"&amp;E510)-IF(F510=C510,1,0)</f>
        <v>1</v>
      </c>
      <c r="H510" s="22" t="n">
        <f aca="false">COUNTIFS('Court Quorum'!$B$7:$B$24,B510,'Court Quorum'!$C$7:$C$24,"&lt;&gt;"&amp;D510,'Court Quorum'!$D$7:$D$24,"&lt;&gt;"&amp;E510)-IF(F510="Court",1,0)</f>
        <v>3</v>
      </c>
      <c r="I510" s="22" t="n">
        <f aca="false">Inputs!$B$10</f>
        <v>2</v>
      </c>
      <c r="J510" s="22" t="str">
        <f aca="false">IF(AND(G510&gt;=1,H510&gt;=I510),"PASS","FAIL")</f>
        <v>PASS</v>
      </c>
      <c r="K510" s="4"/>
      <c r="L510" s="4"/>
      <c r="M510" s="4"/>
      <c r="N510" s="4"/>
    </row>
    <row r="511" customFormat="false" ht="15" hidden="false" customHeight="false" outlineLevel="0" collapsed="false">
      <c r="A511" s="17" t="s">
        <v>365</v>
      </c>
      <c r="B511" s="17" t="s">
        <v>138</v>
      </c>
      <c r="C511" s="17" t="s">
        <v>141</v>
      </c>
      <c r="D511" s="17"/>
      <c r="E511" s="17"/>
      <c r="F511" s="17" t="s">
        <v>367</v>
      </c>
      <c r="G511" s="22" t="n">
        <f aca="false">COUNTIFS('Role Enclaves'!$D$7:$D$42,B511,'Role Enclaves'!$E$7:$E$42,C511,'Role Enclaves'!$B$7:$B$42,"&lt;&gt;"&amp;D511,'Role Enclaves'!$C$7:$C$42,"&lt;&gt;"&amp;E511)-IF(F511=C511,1,0)</f>
        <v>2</v>
      </c>
      <c r="H511" s="22" t="n">
        <f aca="false">COUNTIFS('Court Quorum'!$B$7:$B$24,B511,'Court Quorum'!$C$7:$C$24,"&lt;&gt;"&amp;D511,'Court Quorum'!$D$7:$D$24,"&lt;&gt;"&amp;E511)-IF(F511="Court",1,0)</f>
        <v>2</v>
      </c>
      <c r="I511" s="22" t="n">
        <f aca="false">Inputs!$B$10</f>
        <v>2</v>
      </c>
      <c r="J511" s="22" t="str">
        <f aca="false">IF(AND(G511&gt;=1,H511&gt;=I511),"PASS","FAIL")</f>
        <v>PASS</v>
      </c>
      <c r="K511" s="4"/>
      <c r="L511" s="4"/>
      <c r="M511" s="4"/>
      <c r="N511" s="4"/>
    </row>
    <row r="512" customFormat="false" ht="15" hidden="false" customHeight="false" outlineLevel="0" collapsed="false">
      <c r="A512" s="17" t="s">
        <v>365</v>
      </c>
      <c r="B512" s="17" t="s">
        <v>138</v>
      </c>
      <c r="C512" s="17" t="s">
        <v>145</v>
      </c>
      <c r="D512" s="17"/>
      <c r="E512" s="17"/>
      <c r="F512" s="17" t="s">
        <v>367</v>
      </c>
      <c r="G512" s="22" t="n">
        <f aca="false">COUNTIFS('Role Enclaves'!$D$7:$D$42,B512,'Role Enclaves'!$E$7:$E$42,C512,'Role Enclaves'!$B$7:$B$42,"&lt;&gt;"&amp;D512,'Role Enclaves'!$C$7:$C$42,"&lt;&gt;"&amp;E512)-IF(F512=C512,1,0)</f>
        <v>2</v>
      </c>
      <c r="H512" s="22" t="n">
        <f aca="false">COUNTIFS('Court Quorum'!$B$7:$B$24,B512,'Court Quorum'!$C$7:$C$24,"&lt;&gt;"&amp;D512,'Court Quorum'!$D$7:$D$24,"&lt;&gt;"&amp;E512)-IF(F512="Court",1,0)</f>
        <v>2</v>
      </c>
      <c r="I512" s="22" t="n">
        <f aca="false">Inputs!$B$10</f>
        <v>2</v>
      </c>
      <c r="J512" s="22" t="str">
        <f aca="false">IF(AND(G512&gt;=1,H512&gt;=I512),"PASS","FAIL")</f>
        <v>PASS</v>
      </c>
      <c r="K512" s="4"/>
      <c r="L512" s="4"/>
      <c r="M512" s="4"/>
      <c r="N512" s="4"/>
    </row>
    <row r="513" customFormat="false" ht="15" hidden="false" customHeight="false" outlineLevel="0" collapsed="false">
      <c r="A513" s="17" t="s">
        <v>365</v>
      </c>
      <c r="B513" s="17" t="s">
        <v>138</v>
      </c>
      <c r="C513" s="17" t="s">
        <v>142</v>
      </c>
      <c r="D513" s="17"/>
      <c r="E513" s="17"/>
      <c r="F513" s="17" t="s">
        <v>367</v>
      </c>
      <c r="G513" s="22" t="n">
        <f aca="false">COUNTIFS('Role Enclaves'!$D$7:$D$42,B513,'Role Enclaves'!$E$7:$E$42,C513,'Role Enclaves'!$B$7:$B$42,"&lt;&gt;"&amp;D513,'Role Enclaves'!$C$7:$C$42,"&lt;&gt;"&amp;E513)-IF(F513=C513,1,0)</f>
        <v>2</v>
      </c>
      <c r="H513" s="22" t="n">
        <f aca="false">COUNTIFS('Court Quorum'!$B$7:$B$24,B513,'Court Quorum'!$C$7:$C$24,"&lt;&gt;"&amp;D513,'Court Quorum'!$D$7:$D$24,"&lt;&gt;"&amp;E513)-IF(F513="Court",1,0)</f>
        <v>2</v>
      </c>
      <c r="I513" s="22" t="n">
        <f aca="false">Inputs!$B$10</f>
        <v>2</v>
      </c>
      <c r="J513" s="22" t="str">
        <f aca="false">IF(AND(G513&gt;=1,H513&gt;=I513),"PASS","FAIL")</f>
        <v>PASS</v>
      </c>
      <c r="K513" s="4"/>
      <c r="L513" s="4"/>
      <c r="M513" s="4"/>
      <c r="N513" s="4"/>
    </row>
    <row r="514" customFormat="false" ht="15" hidden="false" customHeight="false" outlineLevel="0" collapsed="false">
      <c r="A514" s="17" t="s">
        <v>365</v>
      </c>
      <c r="B514" s="17" t="s">
        <v>149</v>
      </c>
      <c r="C514" s="17" t="s">
        <v>141</v>
      </c>
      <c r="D514" s="17"/>
      <c r="E514" s="17"/>
      <c r="F514" s="17" t="s">
        <v>367</v>
      </c>
      <c r="G514" s="22" t="n">
        <f aca="false">COUNTIFS('Role Enclaves'!$D$7:$D$42,B514,'Role Enclaves'!$E$7:$E$42,C514,'Role Enclaves'!$B$7:$B$42,"&lt;&gt;"&amp;D514,'Role Enclaves'!$C$7:$C$42,"&lt;&gt;"&amp;E514)-IF(F514=C514,1,0)</f>
        <v>2</v>
      </c>
      <c r="H514" s="22" t="n">
        <f aca="false">COUNTIFS('Court Quorum'!$B$7:$B$24,B514,'Court Quorum'!$C$7:$C$24,"&lt;&gt;"&amp;D514,'Court Quorum'!$D$7:$D$24,"&lt;&gt;"&amp;E514)-IF(F514="Court",1,0)</f>
        <v>2</v>
      </c>
      <c r="I514" s="22" t="n">
        <f aca="false">Inputs!$B$10</f>
        <v>2</v>
      </c>
      <c r="J514" s="22" t="str">
        <f aca="false">IF(AND(G514&gt;=1,H514&gt;=I514),"PASS","FAIL")</f>
        <v>PASS</v>
      </c>
      <c r="K514" s="4"/>
      <c r="L514" s="4"/>
      <c r="M514" s="4"/>
      <c r="N514" s="4"/>
    </row>
    <row r="515" customFormat="false" ht="15" hidden="false" customHeight="false" outlineLevel="0" collapsed="false">
      <c r="A515" s="17" t="s">
        <v>365</v>
      </c>
      <c r="B515" s="17" t="s">
        <v>149</v>
      </c>
      <c r="C515" s="17" t="s">
        <v>145</v>
      </c>
      <c r="D515" s="17"/>
      <c r="E515" s="17"/>
      <c r="F515" s="17" t="s">
        <v>367</v>
      </c>
      <c r="G515" s="22" t="n">
        <f aca="false">COUNTIFS('Role Enclaves'!$D$7:$D$42,B515,'Role Enclaves'!$E$7:$E$42,C515,'Role Enclaves'!$B$7:$B$42,"&lt;&gt;"&amp;D515,'Role Enclaves'!$C$7:$C$42,"&lt;&gt;"&amp;E515)-IF(F515=C515,1,0)</f>
        <v>2</v>
      </c>
      <c r="H515" s="22" t="n">
        <f aca="false">COUNTIFS('Court Quorum'!$B$7:$B$24,B515,'Court Quorum'!$C$7:$C$24,"&lt;&gt;"&amp;D515,'Court Quorum'!$D$7:$D$24,"&lt;&gt;"&amp;E515)-IF(F515="Court",1,0)</f>
        <v>2</v>
      </c>
      <c r="I515" s="22" t="n">
        <f aca="false">Inputs!$B$10</f>
        <v>2</v>
      </c>
      <c r="J515" s="22" t="str">
        <f aca="false">IF(AND(G515&gt;=1,H515&gt;=I515),"PASS","FAIL")</f>
        <v>PASS</v>
      </c>
      <c r="K515" s="4"/>
      <c r="L515" s="4"/>
      <c r="M515" s="4"/>
      <c r="N515" s="4"/>
    </row>
    <row r="516" customFormat="false" ht="15" hidden="false" customHeight="false" outlineLevel="0" collapsed="false">
      <c r="A516" s="17" t="s">
        <v>365</v>
      </c>
      <c r="B516" s="17" t="s">
        <v>149</v>
      </c>
      <c r="C516" s="17" t="s">
        <v>142</v>
      </c>
      <c r="D516" s="17"/>
      <c r="E516" s="17"/>
      <c r="F516" s="17" t="s">
        <v>367</v>
      </c>
      <c r="G516" s="22" t="n">
        <f aca="false">COUNTIFS('Role Enclaves'!$D$7:$D$42,B516,'Role Enclaves'!$E$7:$E$42,C516,'Role Enclaves'!$B$7:$B$42,"&lt;&gt;"&amp;D516,'Role Enclaves'!$C$7:$C$42,"&lt;&gt;"&amp;E516)-IF(F516=C516,1,0)</f>
        <v>2</v>
      </c>
      <c r="H516" s="22" t="n">
        <f aca="false">COUNTIFS('Court Quorum'!$B$7:$B$24,B516,'Court Quorum'!$C$7:$C$24,"&lt;&gt;"&amp;D516,'Court Quorum'!$D$7:$D$24,"&lt;&gt;"&amp;E516)-IF(F516="Court",1,0)</f>
        <v>2</v>
      </c>
      <c r="I516" s="22" t="n">
        <f aca="false">Inputs!$B$10</f>
        <v>2</v>
      </c>
      <c r="J516" s="22" t="str">
        <f aca="false">IF(AND(G516&gt;=1,H516&gt;=I516),"PASS","FAIL")</f>
        <v>PASS</v>
      </c>
      <c r="K516" s="4"/>
      <c r="L516" s="4"/>
      <c r="M516" s="4"/>
      <c r="N516" s="4"/>
    </row>
    <row r="517" customFormat="false" ht="15" hidden="false" customHeight="false" outlineLevel="0" collapsed="false">
      <c r="A517" s="17" t="s">
        <v>365</v>
      </c>
      <c r="B517" s="17" t="s">
        <v>157</v>
      </c>
      <c r="C517" s="17" t="s">
        <v>141</v>
      </c>
      <c r="D517" s="17"/>
      <c r="E517" s="17"/>
      <c r="F517" s="17" t="s">
        <v>367</v>
      </c>
      <c r="G517" s="22" t="n">
        <f aca="false">COUNTIFS('Role Enclaves'!$D$7:$D$42,B517,'Role Enclaves'!$E$7:$E$42,C517,'Role Enclaves'!$B$7:$B$42,"&lt;&gt;"&amp;D517,'Role Enclaves'!$C$7:$C$42,"&lt;&gt;"&amp;E517)-IF(F517=C517,1,0)</f>
        <v>2</v>
      </c>
      <c r="H517" s="22" t="n">
        <f aca="false">COUNTIFS('Court Quorum'!$B$7:$B$24,B517,'Court Quorum'!$C$7:$C$24,"&lt;&gt;"&amp;D517,'Court Quorum'!$D$7:$D$24,"&lt;&gt;"&amp;E517)-IF(F517="Court",1,0)</f>
        <v>2</v>
      </c>
      <c r="I517" s="22" t="n">
        <f aca="false">Inputs!$B$10</f>
        <v>2</v>
      </c>
      <c r="J517" s="22" t="str">
        <f aca="false">IF(AND(G517&gt;=1,H517&gt;=I517),"PASS","FAIL")</f>
        <v>PASS</v>
      </c>
      <c r="K517" s="4"/>
      <c r="L517" s="4"/>
      <c r="M517" s="4"/>
      <c r="N517" s="4"/>
    </row>
    <row r="518" customFormat="false" ht="15" hidden="false" customHeight="false" outlineLevel="0" collapsed="false">
      <c r="A518" s="17" t="s">
        <v>365</v>
      </c>
      <c r="B518" s="17" t="s">
        <v>157</v>
      </c>
      <c r="C518" s="17" t="s">
        <v>145</v>
      </c>
      <c r="D518" s="17"/>
      <c r="E518" s="17"/>
      <c r="F518" s="17" t="s">
        <v>367</v>
      </c>
      <c r="G518" s="22" t="n">
        <f aca="false">COUNTIFS('Role Enclaves'!$D$7:$D$42,B518,'Role Enclaves'!$E$7:$E$42,C518,'Role Enclaves'!$B$7:$B$42,"&lt;&gt;"&amp;D518,'Role Enclaves'!$C$7:$C$42,"&lt;&gt;"&amp;E518)-IF(F518=C518,1,0)</f>
        <v>2</v>
      </c>
      <c r="H518" s="22" t="n">
        <f aca="false">COUNTIFS('Court Quorum'!$B$7:$B$24,B518,'Court Quorum'!$C$7:$C$24,"&lt;&gt;"&amp;D518,'Court Quorum'!$D$7:$D$24,"&lt;&gt;"&amp;E518)-IF(F518="Court",1,0)</f>
        <v>2</v>
      </c>
      <c r="I518" s="22" t="n">
        <f aca="false">Inputs!$B$10</f>
        <v>2</v>
      </c>
      <c r="J518" s="22" t="str">
        <f aca="false">IF(AND(G518&gt;=1,H518&gt;=I518),"PASS","FAIL")</f>
        <v>PASS</v>
      </c>
      <c r="K518" s="4"/>
      <c r="L518" s="4"/>
      <c r="M518" s="4"/>
      <c r="N518" s="4"/>
    </row>
    <row r="519" customFormat="false" ht="15" hidden="false" customHeight="false" outlineLevel="0" collapsed="false">
      <c r="A519" s="17" t="s">
        <v>365</v>
      </c>
      <c r="B519" s="17" t="s">
        <v>157</v>
      </c>
      <c r="C519" s="17" t="s">
        <v>142</v>
      </c>
      <c r="D519" s="17"/>
      <c r="E519" s="17"/>
      <c r="F519" s="17" t="s">
        <v>367</v>
      </c>
      <c r="G519" s="22" t="n">
        <f aca="false">COUNTIFS('Role Enclaves'!$D$7:$D$42,B519,'Role Enclaves'!$E$7:$E$42,C519,'Role Enclaves'!$B$7:$B$42,"&lt;&gt;"&amp;D519,'Role Enclaves'!$C$7:$C$42,"&lt;&gt;"&amp;E519)-IF(F519=C519,1,0)</f>
        <v>2</v>
      </c>
      <c r="H519" s="22" t="n">
        <f aca="false">COUNTIFS('Court Quorum'!$B$7:$B$24,B519,'Court Quorum'!$C$7:$C$24,"&lt;&gt;"&amp;D519,'Court Quorum'!$D$7:$D$24,"&lt;&gt;"&amp;E519)-IF(F519="Court",1,0)</f>
        <v>2</v>
      </c>
      <c r="I519" s="22" t="n">
        <f aca="false">Inputs!$B$10</f>
        <v>2</v>
      </c>
      <c r="J519" s="22" t="str">
        <f aca="false">IF(AND(G519&gt;=1,H519&gt;=I519),"PASS","FAIL")</f>
        <v>PASS</v>
      </c>
      <c r="K519" s="4"/>
      <c r="L519" s="4"/>
      <c r="M519" s="4"/>
      <c r="N519" s="4"/>
    </row>
    <row r="520" customFormat="false" ht="15" hidden="false" customHeight="false" outlineLevel="0" collapsed="false">
      <c r="A520" s="17" t="s">
        <v>365</v>
      </c>
      <c r="B520" s="17" t="s">
        <v>162</v>
      </c>
      <c r="C520" s="17" t="s">
        <v>141</v>
      </c>
      <c r="D520" s="17"/>
      <c r="E520" s="17"/>
      <c r="F520" s="17" t="s">
        <v>367</v>
      </c>
      <c r="G520" s="22" t="n">
        <f aca="false">COUNTIFS('Role Enclaves'!$D$7:$D$42,B520,'Role Enclaves'!$E$7:$E$42,C520,'Role Enclaves'!$B$7:$B$42,"&lt;&gt;"&amp;D520,'Role Enclaves'!$C$7:$C$42,"&lt;&gt;"&amp;E520)-IF(F520=C520,1,0)</f>
        <v>2</v>
      </c>
      <c r="H520" s="22" t="n">
        <f aca="false">COUNTIFS('Court Quorum'!$B$7:$B$24,B520,'Court Quorum'!$C$7:$C$24,"&lt;&gt;"&amp;D520,'Court Quorum'!$D$7:$D$24,"&lt;&gt;"&amp;E520)-IF(F520="Court",1,0)</f>
        <v>2</v>
      </c>
      <c r="I520" s="22" t="n">
        <f aca="false">Inputs!$B$10</f>
        <v>2</v>
      </c>
      <c r="J520" s="22" t="str">
        <f aca="false">IF(AND(G520&gt;=1,H520&gt;=I520),"PASS","FAIL")</f>
        <v>PASS</v>
      </c>
      <c r="K520" s="4"/>
      <c r="L520" s="4"/>
      <c r="M520" s="4"/>
      <c r="N520" s="4"/>
    </row>
    <row r="521" customFormat="false" ht="15" hidden="false" customHeight="false" outlineLevel="0" collapsed="false">
      <c r="A521" s="17" t="s">
        <v>365</v>
      </c>
      <c r="B521" s="17" t="s">
        <v>162</v>
      </c>
      <c r="C521" s="17" t="s">
        <v>145</v>
      </c>
      <c r="D521" s="17"/>
      <c r="E521" s="17"/>
      <c r="F521" s="17" t="s">
        <v>367</v>
      </c>
      <c r="G521" s="22" t="n">
        <f aca="false">COUNTIFS('Role Enclaves'!$D$7:$D$42,B521,'Role Enclaves'!$E$7:$E$42,C521,'Role Enclaves'!$B$7:$B$42,"&lt;&gt;"&amp;D521,'Role Enclaves'!$C$7:$C$42,"&lt;&gt;"&amp;E521)-IF(F521=C521,1,0)</f>
        <v>2</v>
      </c>
      <c r="H521" s="22" t="n">
        <f aca="false">COUNTIFS('Court Quorum'!$B$7:$B$24,B521,'Court Quorum'!$C$7:$C$24,"&lt;&gt;"&amp;D521,'Court Quorum'!$D$7:$D$24,"&lt;&gt;"&amp;E521)-IF(F521="Court",1,0)</f>
        <v>2</v>
      </c>
      <c r="I521" s="22" t="n">
        <f aca="false">Inputs!$B$10</f>
        <v>2</v>
      </c>
      <c r="J521" s="22" t="str">
        <f aca="false">IF(AND(G521&gt;=1,H521&gt;=I521),"PASS","FAIL")</f>
        <v>PASS</v>
      </c>
      <c r="K521" s="4"/>
      <c r="L521" s="4"/>
      <c r="M521" s="4"/>
      <c r="N521" s="4"/>
    </row>
    <row r="522" customFormat="false" ht="15" hidden="false" customHeight="false" outlineLevel="0" collapsed="false">
      <c r="A522" s="17" t="s">
        <v>365</v>
      </c>
      <c r="B522" s="17" t="s">
        <v>162</v>
      </c>
      <c r="C522" s="17" t="s">
        <v>142</v>
      </c>
      <c r="D522" s="17"/>
      <c r="E522" s="17"/>
      <c r="F522" s="17" t="s">
        <v>367</v>
      </c>
      <c r="G522" s="22" t="n">
        <f aca="false">COUNTIFS('Role Enclaves'!$D$7:$D$42,B522,'Role Enclaves'!$E$7:$E$42,C522,'Role Enclaves'!$B$7:$B$42,"&lt;&gt;"&amp;D522,'Role Enclaves'!$C$7:$C$42,"&lt;&gt;"&amp;E522)-IF(F522=C522,1,0)</f>
        <v>2</v>
      </c>
      <c r="H522" s="22" t="n">
        <f aca="false">COUNTIFS('Court Quorum'!$B$7:$B$24,B522,'Court Quorum'!$C$7:$C$24,"&lt;&gt;"&amp;D522,'Court Quorum'!$D$7:$D$24,"&lt;&gt;"&amp;E522)-IF(F522="Court",1,0)</f>
        <v>2</v>
      </c>
      <c r="I522" s="22" t="n">
        <f aca="false">Inputs!$B$10</f>
        <v>2</v>
      </c>
      <c r="J522" s="22" t="str">
        <f aca="false">IF(AND(G522&gt;=1,H522&gt;=I522),"PASS","FAIL")</f>
        <v>PASS</v>
      </c>
      <c r="K522" s="4"/>
      <c r="L522" s="4"/>
      <c r="M522" s="4"/>
      <c r="N522" s="4"/>
    </row>
    <row r="523" customFormat="false" ht="15" hidden="false" customHeight="false" outlineLevel="0" collapsed="false">
      <c r="A523" s="17" t="s">
        <v>365</v>
      </c>
      <c r="B523" s="17" t="s">
        <v>167</v>
      </c>
      <c r="C523" s="17" t="s">
        <v>141</v>
      </c>
      <c r="D523" s="17"/>
      <c r="E523" s="17"/>
      <c r="F523" s="17" t="s">
        <v>367</v>
      </c>
      <c r="G523" s="22" t="n">
        <f aca="false">COUNTIFS('Role Enclaves'!$D$7:$D$42,B523,'Role Enclaves'!$E$7:$E$42,C523,'Role Enclaves'!$B$7:$B$42,"&lt;&gt;"&amp;D523,'Role Enclaves'!$C$7:$C$42,"&lt;&gt;"&amp;E523)-IF(F523=C523,1,0)</f>
        <v>2</v>
      </c>
      <c r="H523" s="22" t="n">
        <f aca="false">COUNTIFS('Court Quorum'!$B$7:$B$24,B523,'Court Quorum'!$C$7:$C$24,"&lt;&gt;"&amp;D523,'Court Quorum'!$D$7:$D$24,"&lt;&gt;"&amp;E523)-IF(F523="Court",1,0)</f>
        <v>2</v>
      </c>
      <c r="I523" s="22" t="n">
        <f aca="false">Inputs!$B$10</f>
        <v>2</v>
      </c>
      <c r="J523" s="22" t="str">
        <f aca="false">IF(AND(G523&gt;=1,H523&gt;=I523),"PASS","FAIL")</f>
        <v>PASS</v>
      </c>
      <c r="K523" s="4"/>
      <c r="L523" s="4"/>
      <c r="M523" s="4"/>
      <c r="N523" s="4"/>
    </row>
    <row r="524" customFormat="false" ht="15" hidden="false" customHeight="false" outlineLevel="0" collapsed="false">
      <c r="A524" s="17" t="s">
        <v>365</v>
      </c>
      <c r="B524" s="17" t="s">
        <v>167</v>
      </c>
      <c r="C524" s="17" t="s">
        <v>145</v>
      </c>
      <c r="D524" s="17"/>
      <c r="E524" s="17"/>
      <c r="F524" s="17" t="s">
        <v>367</v>
      </c>
      <c r="G524" s="22" t="n">
        <f aca="false">COUNTIFS('Role Enclaves'!$D$7:$D$42,B524,'Role Enclaves'!$E$7:$E$42,C524,'Role Enclaves'!$B$7:$B$42,"&lt;&gt;"&amp;D524,'Role Enclaves'!$C$7:$C$42,"&lt;&gt;"&amp;E524)-IF(F524=C524,1,0)</f>
        <v>2</v>
      </c>
      <c r="H524" s="22" t="n">
        <f aca="false">COUNTIFS('Court Quorum'!$B$7:$B$24,B524,'Court Quorum'!$C$7:$C$24,"&lt;&gt;"&amp;D524,'Court Quorum'!$D$7:$D$24,"&lt;&gt;"&amp;E524)-IF(F524="Court",1,0)</f>
        <v>2</v>
      </c>
      <c r="I524" s="22" t="n">
        <f aca="false">Inputs!$B$10</f>
        <v>2</v>
      </c>
      <c r="J524" s="22" t="str">
        <f aca="false">IF(AND(G524&gt;=1,H524&gt;=I524),"PASS","FAIL")</f>
        <v>PASS</v>
      </c>
      <c r="K524" s="4"/>
      <c r="L524" s="4"/>
      <c r="M524" s="4"/>
      <c r="N524" s="4"/>
    </row>
    <row r="525" customFormat="false" ht="15" hidden="false" customHeight="false" outlineLevel="0" collapsed="false">
      <c r="A525" s="17" t="s">
        <v>365</v>
      </c>
      <c r="B525" s="17" t="s">
        <v>167</v>
      </c>
      <c r="C525" s="17" t="s">
        <v>142</v>
      </c>
      <c r="D525" s="17"/>
      <c r="E525" s="17"/>
      <c r="F525" s="17" t="s">
        <v>367</v>
      </c>
      <c r="G525" s="22" t="n">
        <f aca="false">COUNTIFS('Role Enclaves'!$D$7:$D$42,B525,'Role Enclaves'!$E$7:$E$42,C525,'Role Enclaves'!$B$7:$B$42,"&lt;&gt;"&amp;D525,'Role Enclaves'!$C$7:$C$42,"&lt;&gt;"&amp;E525)-IF(F525=C525,1,0)</f>
        <v>2</v>
      </c>
      <c r="H525" s="22" t="n">
        <f aca="false">COUNTIFS('Court Quorum'!$B$7:$B$24,B525,'Court Quorum'!$C$7:$C$24,"&lt;&gt;"&amp;D525,'Court Quorum'!$D$7:$D$24,"&lt;&gt;"&amp;E525)-IF(F525="Court",1,0)</f>
        <v>2</v>
      </c>
      <c r="I525" s="22" t="n">
        <f aca="false">Inputs!$B$10</f>
        <v>2</v>
      </c>
      <c r="J525" s="22" t="str">
        <f aca="false">IF(AND(G525&gt;=1,H525&gt;=I525),"PASS","FAIL")</f>
        <v>PASS</v>
      </c>
      <c r="K525" s="4"/>
      <c r="L525" s="4"/>
      <c r="M525" s="4"/>
      <c r="N525" s="4"/>
    </row>
    <row r="526" customFormat="false" ht="15" hidden="false" customHeight="false" outlineLevel="0" collapsed="false">
      <c r="A526" s="17" t="s">
        <v>365</v>
      </c>
      <c r="B526" s="17" t="s">
        <v>172</v>
      </c>
      <c r="C526" s="17" t="s">
        <v>141</v>
      </c>
      <c r="D526" s="17"/>
      <c r="E526" s="17"/>
      <c r="F526" s="17" t="s">
        <v>367</v>
      </c>
      <c r="G526" s="22" t="n">
        <f aca="false">COUNTIFS('Role Enclaves'!$D$7:$D$42,B526,'Role Enclaves'!$E$7:$E$42,C526,'Role Enclaves'!$B$7:$B$42,"&lt;&gt;"&amp;D526,'Role Enclaves'!$C$7:$C$42,"&lt;&gt;"&amp;E526)-IF(F526=C526,1,0)</f>
        <v>2</v>
      </c>
      <c r="H526" s="22" t="n">
        <f aca="false">COUNTIFS('Court Quorum'!$B$7:$B$24,B526,'Court Quorum'!$C$7:$C$24,"&lt;&gt;"&amp;D526,'Court Quorum'!$D$7:$D$24,"&lt;&gt;"&amp;E526)-IF(F526="Court",1,0)</f>
        <v>2</v>
      </c>
      <c r="I526" s="22" t="n">
        <f aca="false">Inputs!$B$10</f>
        <v>2</v>
      </c>
      <c r="J526" s="22" t="str">
        <f aca="false">IF(AND(G526&gt;=1,H526&gt;=I526),"PASS","FAIL")</f>
        <v>PASS</v>
      </c>
      <c r="K526" s="4"/>
      <c r="L526" s="4"/>
      <c r="M526" s="4"/>
      <c r="N526" s="4"/>
    </row>
    <row r="527" customFormat="false" ht="15" hidden="false" customHeight="false" outlineLevel="0" collapsed="false">
      <c r="A527" s="17" t="s">
        <v>365</v>
      </c>
      <c r="B527" s="17" t="s">
        <v>172</v>
      </c>
      <c r="C527" s="17" t="s">
        <v>145</v>
      </c>
      <c r="D527" s="17"/>
      <c r="E527" s="17"/>
      <c r="F527" s="17" t="s">
        <v>367</v>
      </c>
      <c r="G527" s="22" t="n">
        <f aca="false">COUNTIFS('Role Enclaves'!$D$7:$D$42,B527,'Role Enclaves'!$E$7:$E$42,C527,'Role Enclaves'!$B$7:$B$42,"&lt;&gt;"&amp;D527,'Role Enclaves'!$C$7:$C$42,"&lt;&gt;"&amp;E527)-IF(F527=C527,1,0)</f>
        <v>2</v>
      </c>
      <c r="H527" s="22" t="n">
        <f aca="false">COUNTIFS('Court Quorum'!$B$7:$B$24,B527,'Court Quorum'!$C$7:$C$24,"&lt;&gt;"&amp;D527,'Court Quorum'!$D$7:$D$24,"&lt;&gt;"&amp;E527)-IF(F527="Court",1,0)</f>
        <v>2</v>
      </c>
      <c r="I527" s="22" t="n">
        <f aca="false">Inputs!$B$10</f>
        <v>2</v>
      </c>
      <c r="J527" s="22" t="str">
        <f aca="false">IF(AND(G527&gt;=1,H527&gt;=I527),"PASS","FAIL")</f>
        <v>PASS</v>
      </c>
      <c r="K527" s="4"/>
      <c r="L527" s="4"/>
      <c r="M527" s="4"/>
      <c r="N527" s="4"/>
    </row>
    <row r="528" customFormat="false" ht="15" hidden="false" customHeight="false" outlineLevel="0" collapsed="false">
      <c r="A528" s="17" t="s">
        <v>365</v>
      </c>
      <c r="B528" s="17" t="s">
        <v>172</v>
      </c>
      <c r="C528" s="17" t="s">
        <v>142</v>
      </c>
      <c r="D528" s="17"/>
      <c r="E528" s="17"/>
      <c r="F528" s="17" t="s">
        <v>367</v>
      </c>
      <c r="G528" s="22" t="n">
        <f aca="false">COUNTIFS('Role Enclaves'!$D$7:$D$42,B528,'Role Enclaves'!$E$7:$E$42,C528,'Role Enclaves'!$B$7:$B$42,"&lt;&gt;"&amp;D528,'Role Enclaves'!$C$7:$C$42,"&lt;&gt;"&amp;E528)-IF(F528=C528,1,0)</f>
        <v>2</v>
      </c>
      <c r="H528" s="22" t="n">
        <f aca="false">COUNTIFS('Court Quorum'!$B$7:$B$24,B528,'Court Quorum'!$C$7:$C$24,"&lt;&gt;"&amp;D528,'Court Quorum'!$D$7:$D$24,"&lt;&gt;"&amp;E528)-IF(F528="Court",1,0)</f>
        <v>2</v>
      </c>
      <c r="I528" s="22" t="n">
        <f aca="false">Inputs!$B$10</f>
        <v>2</v>
      </c>
      <c r="J528" s="22" t="str">
        <f aca="false">IF(AND(G528&gt;=1,H528&gt;=I528),"PASS","FAIL")</f>
        <v>PASS</v>
      </c>
      <c r="K528" s="4"/>
      <c r="L528" s="4"/>
      <c r="M528" s="4"/>
      <c r="N528" s="4"/>
    </row>
    <row r="529" customFormat="false" ht="15" hidden="false" customHeight="false" outlineLevel="0" collapsed="false">
      <c r="A529" s="17" t="s">
        <v>368</v>
      </c>
      <c r="B529" s="17" t="s">
        <v>138</v>
      </c>
      <c r="C529" s="17" t="s">
        <v>141</v>
      </c>
      <c r="D529" s="17"/>
      <c r="E529" s="17"/>
      <c r="F529" s="17"/>
      <c r="G529" s="22" t="n">
        <f aca="false">COUNTIFS('Role Enclaves'!$D$7:$D$42,B529,'Role Enclaves'!$E$7:$E$42,C529,'Role Enclaves'!$B$7:$B$42,"&lt;&gt;"&amp;D529,'Role Enclaves'!$C$7:$C$42,"&lt;&gt;"&amp;E529)-IF(F529=C529,1,0)</f>
        <v>2</v>
      </c>
      <c r="H529" s="22" t="n">
        <f aca="false">COUNTIFS('Court Quorum'!$B$7:$B$24,B529,'Court Quorum'!$C$7:$C$24,"&lt;&gt;"&amp;D529,'Court Quorum'!$D$7:$D$24,"&lt;&gt;"&amp;E529)-IF(F529="Court",1,0)</f>
        <v>3</v>
      </c>
      <c r="I529" s="22" t="n">
        <f aca="false">Inputs!$B$10</f>
        <v>2</v>
      </c>
      <c r="J529" s="22" t="str">
        <f aca="false">IF(AND(G529&gt;=1,H529&gt;=I529),"PASS","FAIL")</f>
        <v>PASS</v>
      </c>
      <c r="K529" s="4"/>
      <c r="L529" s="4"/>
      <c r="M529" s="4"/>
      <c r="N529" s="4"/>
    </row>
    <row r="530" customFormat="false" ht="15" hidden="false" customHeight="false" outlineLevel="0" collapsed="false">
      <c r="A530" s="17" t="s">
        <v>368</v>
      </c>
      <c r="B530" s="17" t="s">
        <v>138</v>
      </c>
      <c r="C530" s="17" t="s">
        <v>145</v>
      </c>
      <c r="D530" s="17"/>
      <c r="E530" s="17"/>
      <c r="F530" s="17"/>
      <c r="G530" s="22" t="n">
        <f aca="false">COUNTIFS('Role Enclaves'!$D$7:$D$42,B530,'Role Enclaves'!$E$7:$E$42,C530,'Role Enclaves'!$B$7:$B$42,"&lt;&gt;"&amp;D530,'Role Enclaves'!$C$7:$C$42,"&lt;&gt;"&amp;E530)-IF(F530=C530,1,0)</f>
        <v>2</v>
      </c>
      <c r="H530" s="22" t="n">
        <f aca="false">COUNTIFS('Court Quorum'!$B$7:$B$24,B530,'Court Quorum'!$C$7:$C$24,"&lt;&gt;"&amp;D530,'Court Quorum'!$D$7:$D$24,"&lt;&gt;"&amp;E530)-IF(F530="Court",1,0)</f>
        <v>3</v>
      </c>
      <c r="I530" s="22" t="n">
        <f aca="false">Inputs!$B$10</f>
        <v>2</v>
      </c>
      <c r="J530" s="22" t="str">
        <f aca="false">IF(AND(G530&gt;=1,H530&gt;=I530),"PASS","FAIL")</f>
        <v>PASS</v>
      </c>
      <c r="K530" s="4"/>
      <c r="L530" s="4"/>
      <c r="M530" s="4"/>
      <c r="N530" s="4"/>
    </row>
    <row r="531" customFormat="false" ht="15" hidden="false" customHeight="false" outlineLevel="0" collapsed="false">
      <c r="A531" s="17" t="s">
        <v>368</v>
      </c>
      <c r="B531" s="17" t="s">
        <v>138</v>
      </c>
      <c r="C531" s="17" t="s">
        <v>142</v>
      </c>
      <c r="D531" s="17"/>
      <c r="E531" s="17"/>
      <c r="F531" s="17"/>
      <c r="G531" s="22" t="n">
        <f aca="false">COUNTIFS('Role Enclaves'!$D$7:$D$42,B531,'Role Enclaves'!$E$7:$E$42,C531,'Role Enclaves'!$B$7:$B$42,"&lt;&gt;"&amp;D531,'Role Enclaves'!$C$7:$C$42,"&lt;&gt;"&amp;E531)-IF(F531=C531,1,0)</f>
        <v>2</v>
      </c>
      <c r="H531" s="22" t="n">
        <f aca="false">COUNTIFS('Court Quorum'!$B$7:$B$24,B531,'Court Quorum'!$C$7:$C$24,"&lt;&gt;"&amp;D531,'Court Quorum'!$D$7:$D$24,"&lt;&gt;"&amp;E531)-IF(F531="Court",1,0)</f>
        <v>3</v>
      </c>
      <c r="I531" s="22" t="n">
        <f aca="false">Inputs!$B$10</f>
        <v>2</v>
      </c>
      <c r="J531" s="22" t="str">
        <f aca="false">IF(AND(G531&gt;=1,H531&gt;=I531),"PASS","FAIL")</f>
        <v>PASS</v>
      </c>
      <c r="K531" s="4"/>
      <c r="L531" s="4"/>
      <c r="M531" s="4"/>
      <c r="N531" s="4"/>
    </row>
    <row r="532" customFormat="false" ht="15" hidden="false" customHeight="false" outlineLevel="0" collapsed="false">
      <c r="A532" s="17" t="s">
        <v>368</v>
      </c>
      <c r="B532" s="17" t="s">
        <v>149</v>
      </c>
      <c r="C532" s="17" t="s">
        <v>141</v>
      </c>
      <c r="D532" s="17"/>
      <c r="E532" s="17"/>
      <c r="F532" s="17"/>
      <c r="G532" s="22" t="n">
        <f aca="false">COUNTIFS('Role Enclaves'!$D$7:$D$42,B532,'Role Enclaves'!$E$7:$E$42,C532,'Role Enclaves'!$B$7:$B$42,"&lt;&gt;"&amp;D532,'Role Enclaves'!$C$7:$C$42,"&lt;&gt;"&amp;E532)-IF(F532=C532,1,0)</f>
        <v>2</v>
      </c>
      <c r="H532" s="22" t="n">
        <f aca="false">COUNTIFS('Court Quorum'!$B$7:$B$24,B532,'Court Quorum'!$C$7:$C$24,"&lt;&gt;"&amp;D532,'Court Quorum'!$D$7:$D$24,"&lt;&gt;"&amp;E532)-IF(F532="Court",1,0)</f>
        <v>3</v>
      </c>
      <c r="I532" s="22" t="n">
        <f aca="false">Inputs!$B$10</f>
        <v>2</v>
      </c>
      <c r="J532" s="22" t="str">
        <f aca="false">IF(AND(G532&gt;=1,H532&gt;=I532),"PASS","FAIL")</f>
        <v>PASS</v>
      </c>
      <c r="K532" s="4"/>
      <c r="L532" s="4"/>
      <c r="M532" s="4"/>
      <c r="N532" s="4"/>
    </row>
    <row r="533" customFormat="false" ht="15" hidden="false" customHeight="false" outlineLevel="0" collapsed="false">
      <c r="A533" s="17" t="s">
        <v>368</v>
      </c>
      <c r="B533" s="17" t="s">
        <v>149</v>
      </c>
      <c r="C533" s="17" t="s">
        <v>145</v>
      </c>
      <c r="D533" s="17"/>
      <c r="E533" s="17"/>
      <c r="F533" s="17"/>
      <c r="G533" s="22" t="n">
        <f aca="false">COUNTIFS('Role Enclaves'!$D$7:$D$42,B533,'Role Enclaves'!$E$7:$E$42,C533,'Role Enclaves'!$B$7:$B$42,"&lt;&gt;"&amp;D533,'Role Enclaves'!$C$7:$C$42,"&lt;&gt;"&amp;E533)-IF(F533=C533,1,0)</f>
        <v>2</v>
      </c>
      <c r="H533" s="22" t="n">
        <f aca="false">COUNTIFS('Court Quorum'!$B$7:$B$24,B533,'Court Quorum'!$C$7:$C$24,"&lt;&gt;"&amp;D533,'Court Quorum'!$D$7:$D$24,"&lt;&gt;"&amp;E533)-IF(F533="Court",1,0)</f>
        <v>3</v>
      </c>
      <c r="I533" s="22" t="n">
        <f aca="false">Inputs!$B$10</f>
        <v>2</v>
      </c>
      <c r="J533" s="22" t="str">
        <f aca="false">IF(AND(G533&gt;=1,H533&gt;=I533),"PASS","FAIL")</f>
        <v>PASS</v>
      </c>
      <c r="K533" s="4"/>
      <c r="L533" s="4"/>
      <c r="M533" s="4"/>
      <c r="N533" s="4"/>
    </row>
    <row r="534" customFormat="false" ht="15" hidden="false" customHeight="false" outlineLevel="0" collapsed="false">
      <c r="A534" s="17" t="s">
        <v>368</v>
      </c>
      <c r="B534" s="17" t="s">
        <v>149</v>
      </c>
      <c r="C534" s="17" t="s">
        <v>142</v>
      </c>
      <c r="D534" s="17"/>
      <c r="E534" s="17"/>
      <c r="F534" s="17"/>
      <c r="G534" s="22" t="n">
        <f aca="false">COUNTIFS('Role Enclaves'!$D$7:$D$42,B534,'Role Enclaves'!$E$7:$E$42,C534,'Role Enclaves'!$B$7:$B$42,"&lt;&gt;"&amp;D534,'Role Enclaves'!$C$7:$C$42,"&lt;&gt;"&amp;E534)-IF(F534=C534,1,0)</f>
        <v>2</v>
      </c>
      <c r="H534" s="22" t="n">
        <f aca="false">COUNTIFS('Court Quorum'!$B$7:$B$24,B534,'Court Quorum'!$C$7:$C$24,"&lt;&gt;"&amp;D534,'Court Quorum'!$D$7:$D$24,"&lt;&gt;"&amp;E534)-IF(F534="Court",1,0)</f>
        <v>3</v>
      </c>
      <c r="I534" s="22" t="n">
        <f aca="false">Inputs!$B$10</f>
        <v>2</v>
      </c>
      <c r="J534" s="22" t="str">
        <f aca="false">IF(AND(G534&gt;=1,H534&gt;=I534),"PASS","FAIL")</f>
        <v>PASS</v>
      </c>
      <c r="K534" s="4"/>
      <c r="L534" s="4"/>
      <c r="M534" s="4"/>
      <c r="N534" s="4"/>
    </row>
    <row r="535" customFormat="false" ht="15" hidden="false" customHeight="false" outlineLevel="0" collapsed="false">
      <c r="A535" s="17" t="s">
        <v>368</v>
      </c>
      <c r="B535" s="17" t="s">
        <v>157</v>
      </c>
      <c r="C535" s="17" t="s">
        <v>141</v>
      </c>
      <c r="D535" s="17"/>
      <c r="E535" s="17"/>
      <c r="F535" s="17"/>
      <c r="G535" s="22" t="n">
        <f aca="false">COUNTIFS('Role Enclaves'!$D$7:$D$42,B535,'Role Enclaves'!$E$7:$E$42,C535,'Role Enclaves'!$B$7:$B$42,"&lt;&gt;"&amp;D535,'Role Enclaves'!$C$7:$C$42,"&lt;&gt;"&amp;E535)-IF(F535=C535,1,0)</f>
        <v>2</v>
      </c>
      <c r="H535" s="22" t="n">
        <f aca="false">COUNTIFS('Court Quorum'!$B$7:$B$24,B535,'Court Quorum'!$C$7:$C$24,"&lt;&gt;"&amp;D535,'Court Quorum'!$D$7:$D$24,"&lt;&gt;"&amp;E535)-IF(F535="Court",1,0)</f>
        <v>3</v>
      </c>
      <c r="I535" s="22" t="n">
        <f aca="false">Inputs!$B$10</f>
        <v>2</v>
      </c>
      <c r="J535" s="22" t="str">
        <f aca="false">IF(AND(G535&gt;=1,H535&gt;=I535),"PASS","FAIL")</f>
        <v>PASS</v>
      </c>
      <c r="K535" s="4"/>
      <c r="L535" s="4"/>
      <c r="M535" s="4"/>
      <c r="N535" s="4"/>
    </row>
    <row r="536" customFormat="false" ht="15" hidden="false" customHeight="false" outlineLevel="0" collapsed="false">
      <c r="A536" s="17" t="s">
        <v>368</v>
      </c>
      <c r="B536" s="17" t="s">
        <v>157</v>
      </c>
      <c r="C536" s="17" t="s">
        <v>145</v>
      </c>
      <c r="D536" s="17"/>
      <c r="E536" s="17"/>
      <c r="F536" s="17"/>
      <c r="G536" s="22" t="n">
        <f aca="false">COUNTIFS('Role Enclaves'!$D$7:$D$42,B536,'Role Enclaves'!$E$7:$E$42,C536,'Role Enclaves'!$B$7:$B$42,"&lt;&gt;"&amp;D536,'Role Enclaves'!$C$7:$C$42,"&lt;&gt;"&amp;E536)-IF(F536=C536,1,0)</f>
        <v>2</v>
      </c>
      <c r="H536" s="22" t="n">
        <f aca="false">COUNTIFS('Court Quorum'!$B$7:$B$24,B536,'Court Quorum'!$C$7:$C$24,"&lt;&gt;"&amp;D536,'Court Quorum'!$D$7:$D$24,"&lt;&gt;"&amp;E536)-IF(F536="Court",1,0)</f>
        <v>3</v>
      </c>
      <c r="I536" s="22" t="n">
        <f aca="false">Inputs!$B$10</f>
        <v>2</v>
      </c>
      <c r="J536" s="22" t="str">
        <f aca="false">IF(AND(G536&gt;=1,H536&gt;=I536),"PASS","FAIL")</f>
        <v>PASS</v>
      </c>
      <c r="K536" s="4"/>
      <c r="L536" s="4"/>
      <c r="M536" s="4"/>
      <c r="N536" s="4"/>
    </row>
    <row r="537" customFormat="false" ht="15" hidden="false" customHeight="false" outlineLevel="0" collapsed="false">
      <c r="A537" s="17" t="s">
        <v>368</v>
      </c>
      <c r="B537" s="17" t="s">
        <v>157</v>
      </c>
      <c r="C537" s="17" t="s">
        <v>142</v>
      </c>
      <c r="D537" s="17"/>
      <c r="E537" s="17"/>
      <c r="F537" s="17"/>
      <c r="G537" s="22" t="n">
        <f aca="false">COUNTIFS('Role Enclaves'!$D$7:$D$42,B537,'Role Enclaves'!$E$7:$E$42,C537,'Role Enclaves'!$B$7:$B$42,"&lt;&gt;"&amp;D537,'Role Enclaves'!$C$7:$C$42,"&lt;&gt;"&amp;E537)-IF(F537=C537,1,0)</f>
        <v>2</v>
      </c>
      <c r="H537" s="22" t="n">
        <f aca="false">COUNTIFS('Court Quorum'!$B$7:$B$24,B537,'Court Quorum'!$C$7:$C$24,"&lt;&gt;"&amp;D537,'Court Quorum'!$D$7:$D$24,"&lt;&gt;"&amp;E537)-IF(F537="Court",1,0)</f>
        <v>3</v>
      </c>
      <c r="I537" s="22" t="n">
        <f aca="false">Inputs!$B$10</f>
        <v>2</v>
      </c>
      <c r="J537" s="22" t="str">
        <f aca="false">IF(AND(G537&gt;=1,H537&gt;=I537),"PASS","FAIL")</f>
        <v>PASS</v>
      </c>
      <c r="K537" s="4"/>
      <c r="L537" s="4"/>
      <c r="M537" s="4"/>
      <c r="N537" s="4"/>
    </row>
    <row r="538" customFormat="false" ht="15" hidden="false" customHeight="false" outlineLevel="0" collapsed="false">
      <c r="A538" s="17" t="s">
        <v>368</v>
      </c>
      <c r="B538" s="17" t="s">
        <v>162</v>
      </c>
      <c r="C538" s="17" t="s">
        <v>141</v>
      </c>
      <c r="D538" s="17"/>
      <c r="E538" s="17"/>
      <c r="F538" s="17"/>
      <c r="G538" s="22" t="n">
        <f aca="false">COUNTIFS('Role Enclaves'!$D$7:$D$42,B538,'Role Enclaves'!$E$7:$E$42,C538,'Role Enclaves'!$B$7:$B$42,"&lt;&gt;"&amp;D538,'Role Enclaves'!$C$7:$C$42,"&lt;&gt;"&amp;E538)-IF(F538=C538,1,0)</f>
        <v>2</v>
      </c>
      <c r="H538" s="22" t="n">
        <f aca="false">COUNTIFS('Court Quorum'!$B$7:$B$24,B538,'Court Quorum'!$C$7:$C$24,"&lt;&gt;"&amp;D538,'Court Quorum'!$D$7:$D$24,"&lt;&gt;"&amp;E538)-IF(F538="Court",1,0)</f>
        <v>3</v>
      </c>
      <c r="I538" s="22" t="n">
        <f aca="false">Inputs!$B$10</f>
        <v>2</v>
      </c>
      <c r="J538" s="22" t="str">
        <f aca="false">IF(AND(G538&gt;=1,H538&gt;=I538),"PASS","FAIL")</f>
        <v>PASS</v>
      </c>
      <c r="K538" s="4"/>
      <c r="L538" s="4"/>
      <c r="M538" s="4"/>
      <c r="N538" s="4"/>
    </row>
    <row r="539" customFormat="false" ht="15" hidden="false" customHeight="false" outlineLevel="0" collapsed="false">
      <c r="A539" s="17" t="s">
        <v>368</v>
      </c>
      <c r="B539" s="17" t="s">
        <v>162</v>
      </c>
      <c r="C539" s="17" t="s">
        <v>145</v>
      </c>
      <c r="D539" s="17"/>
      <c r="E539" s="17"/>
      <c r="F539" s="17"/>
      <c r="G539" s="22" t="n">
        <f aca="false">COUNTIFS('Role Enclaves'!$D$7:$D$42,B539,'Role Enclaves'!$E$7:$E$42,C539,'Role Enclaves'!$B$7:$B$42,"&lt;&gt;"&amp;D539,'Role Enclaves'!$C$7:$C$42,"&lt;&gt;"&amp;E539)-IF(F539=C539,1,0)</f>
        <v>2</v>
      </c>
      <c r="H539" s="22" t="n">
        <f aca="false">COUNTIFS('Court Quorum'!$B$7:$B$24,B539,'Court Quorum'!$C$7:$C$24,"&lt;&gt;"&amp;D539,'Court Quorum'!$D$7:$D$24,"&lt;&gt;"&amp;E539)-IF(F539="Court",1,0)</f>
        <v>3</v>
      </c>
      <c r="I539" s="22" t="n">
        <f aca="false">Inputs!$B$10</f>
        <v>2</v>
      </c>
      <c r="J539" s="22" t="str">
        <f aca="false">IF(AND(G539&gt;=1,H539&gt;=I539),"PASS","FAIL")</f>
        <v>PASS</v>
      </c>
      <c r="K539" s="4"/>
      <c r="L539" s="4"/>
      <c r="M539" s="4"/>
      <c r="N539" s="4"/>
    </row>
    <row r="540" customFormat="false" ht="15" hidden="false" customHeight="false" outlineLevel="0" collapsed="false">
      <c r="A540" s="17" t="s">
        <v>368</v>
      </c>
      <c r="B540" s="17" t="s">
        <v>162</v>
      </c>
      <c r="C540" s="17" t="s">
        <v>142</v>
      </c>
      <c r="D540" s="17"/>
      <c r="E540" s="17"/>
      <c r="F540" s="17"/>
      <c r="G540" s="22" t="n">
        <f aca="false">COUNTIFS('Role Enclaves'!$D$7:$D$42,B540,'Role Enclaves'!$E$7:$E$42,C540,'Role Enclaves'!$B$7:$B$42,"&lt;&gt;"&amp;D540,'Role Enclaves'!$C$7:$C$42,"&lt;&gt;"&amp;E540)-IF(F540=C540,1,0)</f>
        <v>2</v>
      </c>
      <c r="H540" s="22" t="n">
        <f aca="false">COUNTIFS('Court Quorum'!$B$7:$B$24,B540,'Court Quorum'!$C$7:$C$24,"&lt;&gt;"&amp;D540,'Court Quorum'!$D$7:$D$24,"&lt;&gt;"&amp;E540)-IF(F540="Court",1,0)</f>
        <v>3</v>
      </c>
      <c r="I540" s="22" t="n">
        <f aca="false">Inputs!$B$10</f>
        <v>2</v>
      </c>
      <c r="J540" s="22" t="str">
        <f aca="false">IF(AND(G540&gt;=1,H540&gt;=I540),"PASS","FAIL")</f>
        <v>PASS</v>
      </c>
      <c r="K540" s="4"/>
      <c r="L540" s="4"/>
      <c r="M540" s="4"/>
      <c r="N540" s="4"/>
    </row>
    <row r="541" customFormat="false" ht="15" hidden="false" customHeight="false" outlineLevel="0" collapsed="false">
      <c r="A541" s="17" t="s">
        <v>368</v>
      </c>
      <c r="B541" s="17" t="s">
        <v>167</v>
      </c>
      <c r="C541" s="17" t="s">
        <v>141</v>
      </c>
      <c r="D541" s="17"/>
      <c r="E541" s="17"/>
      <c r="F541" s="17"/>
      <c r="G541" s="22" t="n">
        <f aca="false">COUNTIFS('Role Enclaves'!$D$7:$D$42,B541,'Role Enclaves'!$E$7:$E$42,C541,'Role Enclaves'!$B$7:$B$42,"&lt;&gt;"&amp;D541,'Role Enclaves'!$C$7:$C$42,"&lt;&gt;"&amp;E541)-IF(F541=C541,1,0)</f>
        <v>2</v>
      </c>
      <c r="H541" s="22" t="n">
        <f aca="false">COUNTIFS('Court Quorum'!$B$7:$B$24,B541,'Court Quorum'!$C$7:$C$24,"&lt;&gt;"&amp;D541,'Court Quorum'!$D$7:$D$24,"&lt;&gt;"&amp;E541)-IF(F541="Court",1,0)</f>
        <v>3</v>
      </c>
      <c r="I541" s="22" t="n">
        <f aca="false">Inputs!$B$10</f>
        <v>2</v>
      </c>
      <c r="J541" s="22" t="str">
        <f aca="false">IF(AND(G541&gt;=1,H541&gt;=I541),"PASS","FAIL")</f>
        <v>PASS</v>
      </c>
      <c r="K541" s="4"/>
      <c r="L541" s="4"/>
      <c r="M541" s="4"/>
      <c r="N541" s="4"/>
    </row>
    <row r="542" customFormat="false" ht="15" hidden="false" customHeight="false" outlineLevel="0" collapsed="false">
      <c r="A542" s="17" t="s">
        <v>368</v>
      </c>
      <c r="B542" s="17" t="s">
        <v>167</v>
      </c>
      <c r="C542" s="17" t="s">
        <v>145</v>
      </c>
      <c r="D542" s="17"/>
      <c r="E542" s="17"/>
      <c r="F542" s="17"/>
      <c r="G542" s="22" t="n">
        <f aca="false">COUNTIFS('Role Enclaves'!$D$7:$D$42,B542,'Role Enclaves'!$E$7:$E$42,C542,'Role Enclaves'!$B$7:$B$42,"&lt;&gt;"&amp;D542,'Role Enclaves'!$C$7:$C$42,"&lt;&gt;"&amp;E542)-IF(F542=C542,1,0)</f>
        <v>2</v>
      </c>
      <c r="H542" s="22" t="n">
        <f aca="false">COUNTIFS('Court Quorum'!$B$7:$B$24,B542,'Court Quorum'!$C$7:$C$24,"&lt;&gt;"&amp;D542,'Court Quorum'!$D$7:$D$24,"&lt;&gt;"&amp;E542)-IF(F542="Court",1,0)</f>
        <v>3</v>
      </c>
      <c r="I542" s="22" t="n">
        <f aca="false">Inputs!$B$10</f>
        <v>2</v>
      </c>
      <c r="J542" s="22" t="str">
        <f aca="false">IF(AND(G542&gt;=1,H542&gt;=I542),"PASS","FAIL")</f>
        <v>PASS</v>
      </c>
      <c r="K542" s="4"/>
      <c r="L542" s="4"/>
      <c r="M542" s="4"/>
      <c r="N542" s="4"/>
    </row>
    <row r="543" customFormat="false" ht="15" hidden="false" customHeight="false" outlineLevel="0" collapsed="false">
      <c r="A543" s="17" t="s">
        <v>368</v>
      </c>
      <c r="B543" s="17" t="s">
        <v>167</v>
      </c>
      <c r="C543" s="17" t="s">
        <v>142</v>
      </c>
      <c r="D543" s="17"/>
      <c r="E543" s="17"/>
      <c r="F543" s="17"/>
      <c r="G543" s="22" t="n">
        <f aca="false">COUNTIFS('Role Enclaves'!$D$7:$D$42,B543,'Role Enclaves'!$E$7:$E$42,C543,'Role Enclaves'!$B$7:$B$42,"&lt;&gt;"&amp;D543,'Role Enclaves'!$C$7:$C$42,"&lt;&gt;"&amp;E543)-IF(F543=C543,1,0)</f>
        <v>2</v>
      </c>
      <c r="H543" s="22" t="n">
        <f aca="false">COUNTIFS('Court Quorum'!$B$7:$B$24,B543,'Court Quorum'!$C$7:$C$24,"&lt;&gt;"&amp;D543,'Court Quorum'!$D$7:$D$24,"&lt;&gt;"&amp;E543)-IF(F543="Court",1,0)</f>
        <v>3</v>
      </c>
      <c r="I543" s="22" t="n">
        <f aca="false">Inputs!$B$10</f>
        <v>2</v>
      </c>
      <c r="J543" s="22" t="str">
        <f aca="false">IF(AND(G543&gt;=1,H543&gt;=I543),"PASS","FAIL")</f>
        <v>PASS</v>
      </c>
      <c r="K543" s="4"/>
      <c r="L543" s="4"/>
      <c r="M543" s="4"/>
      <c r="N543" s="4"/>
    </row>
    <row r="544" customFormat="false" ht="15" hidden="false" customHeight="false" outlineLevel="0" collapsed="false">
      <c r="A544" s="17" t="s">
        <v>368</v>
      </c>
      <c r="B544" s="17" t="s">
        <v>172</v>
      </c>
      <c r="C544" s="17" t="s">
        <v>141</v>
      </c>
      <c r="D544" s="17"/>
      <c r="E544" s="17"/>
      <c r="F544" s="17"/>
      <c r="G544" s="22" t="n">
        <f aca="false">COUNTIFS('Role Enclaves'!$D$7:$D$42,B544,'Role Enclaves'!$E$7:$E$42,C544,'Role Enclaves'!$B$7:$B$42,"&lt;&gt;"&amp;D544,'Role Enclaves'!$C$7:$C$42,"&lt;&gt;"&amp;E544)-IF(F544=C544,1,0)</f>
        <v>2</v>
      </c>
      <c r="H544" s="22" t="n">
        <f aca="false">COUNTIFS('Court Quorum'!$B$7:$B$24,B544,'Court Quorum'!$C$7:$C$24,"&lt;&gt;"&amp;D544,'Court Quorum'!$D$7:$D$24,"&lt;&gt;"&amp;E544)-IF(F544="Court",1,0)</f>
        <v>3</v>
      </c>
      <c r="I544" s="22" t="n">
        <f aca="false">Inputs!$B$10</f>
        <v>2</v>
      </c>
      <c r="J544" s="22" t="str">
        <f aca="false">IF(AND(G544&gt;=1,H544&gt;=I544),"PASS","FAIL")</f>
        <v>PASS</v>
      </c>
      <c r="K544" s="4"/>
      <c r="L544" s="4"/>
      <c r="M544" s="4"/>
      <c r="N544" s="4"/>
    </row>
    <row r="545" customFormat="false" ht="15" hidden="false" customHeight="false" outlineLevel="0" collapsed="false">
      <c r="A545" s="17" t="s">
        <v>368</v>
      </c>
      <c r="B545" s="17" t="s">
        <v>172</v>
      </c>
      <c r="C545" s="17" t="s">
        <v>145</v>
      </c>
      <c r="D545" s="17"/>
      <c r="E545" s="17"/>
      <c r="F545" s="17"/>
      <c r="G545" s="22" t="n">
        <f aca="false">COUNTIFS('Role Enclaves'!$D$7:$D$42,B545,'Role Enclaves'!$E$7:$E$42,C545,'Role Enclaves'!$B$7:$B$42,"&lt;&gt;"&amp;D545,'Role Enclaves'!$C$7:$C$42,"&lt;&gt;"&amp;E545)-IF(F545=C545,1,0)</f>
        <v>2</v>
      </c>
      <c r="H545" s="22" t="n">
        <f aca="false">COUNTIFS('Court Quorum'!$B$7:$B$24,B545,'Court Quorum'!$C$7:$C$24,"&lt;&gt;"&amp;D545,'Court Quorum'!$D$7:$D$24,"&lt;&gt;"&amp;E545)-IF(F545="Court",1,0)</f>
        <v>3</v>
      </c>
      <c r="I545" s="22" t="n">
        <f aca="false">Inputs!$B$10</f>
        <v>2</v>
      </c>
      <c r="J545" s="22" t="str">
        <f aca="false">IF(AND(G545&gt;=1,H545&gt;=I545),"PASS","FAIL")</f>
        <v>PASS</v>
      </c>
      <c r="K545" s="4"/>
      <c r="L545" s="4"/>
      <c r="M545" s="4"/>
      <c r="N545" s="4"/>
    </row>
    <row r="546" customFormat="false" ht="15" hidden="false" customHeight="false" outlineLevel="0" collapsed="false">
      <c r="A546" s="17" t="s">
        <v>368</v>
      </c>
      <c r="B546" s="17" t="s">
        <v>172</v>
      </c>
      <c r="C546" s="17" t="s">
        <v>142</v>
      </c>
      <c r="D546" s="17"/>
      <c r="E546" s="17"/>
      <c r="F546" s="17"/>
      <c r="G546" s="22" t="n">
        <f aca="false">COUNTIFS('Role Enclaves'!$D$7:$D$42,B546,'Role Enclaves'!$E$7:$E$42,C546,'Role Enclaves'!$B$7:$B$42,"&lt;&gt;"&amp;D546,'Role Enclaves'!$C$7:$C$42,"&lt;&gt;"&amp;E546)-IF(F546=C546,1,0)</f>
        <v>2</v>
      </c>
      <c r="H546" s="22" t="n">
        <f aca="false">COUNTIFS('Court Quorum'!$B$7:$B$24,B546,'Court Quorum'!$C$7:$C$24,"&lt;&gt;"&amp;D546,'Court Quorum'!$D$7:$D$24,"&lt;&gt;"&amp;E546)-IF(F546="Court",1,0)</f>
        <v>3</v>
      </c>
      <c r="I546" s="22" t="n">
        <f aca="false">Inputs!$B$10</f>
        <v>2</v>
      </c>
      <c r="J546" s="22" t="str">
        <f aca="false">IF(AND(G546&gt;=1,H546&gt;=I546),"PASS","FAIL")</f>
        <v>PASS</v>
      </c>
      <c r="K546" s="4"/>
      <c r="L546" s="4"/>
      <c r="M546" s="4"/>
      <c r="N546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2"/>
  </cols>
  <sheetData>
    <row r="2" customFormat="false" ht="18.55" hidden="false" customHeight="false" outlineLevel="0" collapsed="false">
      <c r="A2" s="1" t="s">
        <v>374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375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376</v>
      </c>
      <c r="B6" s="7" t="s">
        <v>377</v>
      </c>
      <c r="C6" s="7" t="s">
        <v>378</v>
      </c>
      <c r="D6" s="7" t="s">
        <v>379</v>
      </c>
      <c r="E6" s="7" t="s">
        <v>380</v>
      </c>
      <c r="F6" s="7" t="s">
        <v>381</v>
      </c>
      <c r="G6" s="7" t="s">
        <v>382</v>
      </c>
      <c r="H6" s="8" t="s">
        <v>186</v>
      </c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7" t="s">
        <v>383</v>
      </c>
      <c r="B7" s="17" t="s">
        <v>384</v>
      </c>
      <c r="C7" s="17" t="s">
        <v>385</v>
      </c>
      <c r="D7" s="17" t="s">
        <v>386</v>
      </c>
      <c r="E7" s="17" t="s">
        <v>387</v>
      </c>
      <c r="F7" s="16" t="n">
        <v>0</v>
      </c>
      <c r="G7" s="17" t="s">
        <v>388</v>
      </c>
      <c r="H7" s="17" t="str">
        <f aca="false">IF(F7=0,"PASS","FAIL")</f>
        <v>PASS</v>
      </c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7" t="s">
        <v>389</v>
      </c>
      <c r="B8" s="17" t="s">
        <v>384</v>
      </c>
      <c r="C8" s="17" t="s">
        <v>390</v>
      </c>
      <c r="D8" s="17" t="s">
        <v>391</v>
      </c>
      <c r="E8" s="17" t="s">
        <v>392</v>
      </c>
      <c r="F8" s="16" t="n">
        <v>0</v>
      </c>
      <c r="G8" s="17" t="s">
        <v>388</v>
      </c>
      <c r="H8" s="17" t="str">
        <f aca="false">IF(F8=0,"PASS","FAIL")</f>
        <v>PASS</v>
      </c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7" t="s">
        <v>393</v>
      </c>
      <c r="B9" s="17" t="s">
        <v>385</v>
      </c>
      <c r="C9" s="17" t="s">
        <v>390</v>
      </c>
      <c r="D9" s="17" t="s">
        <v>394</v>
      </c>
      <c r="E9" s="17" t="s">
        <v>395</v>
      </c>
      <c r="F9" s="16" t="n">
        <v>0</v>
      </c>
      <c r="G9" s="17" t="s">
        <v>396</v>
      </c>
      <c r="H9" s="17" t="str">
        <f aca="false">IF(F9=0,"PASS","FAIL")</f>
        <v>PASS</v>
      </c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7" t="s">
        <v>397</v>
      </c>
      <c r="B10" s="17" t="s">
        <v>385</v>
      </c>
      <c r="C10" s="17" t="s">
        <v>398</v>
      </c>
      <c r="D10" s="17" t="s">
        <v>399</v>
      </c>
      <c r="E10" s="17" t="s">
        <v>400</v>
      </c>
      <c r="F10" s="16" t="n">
        <v>0</v>
      </c>
      <c r="G10" s="17" t="s">
        <v>396</v>
      </c>
      <c r="H10" s="17" t="str">
        <f aca="false">IF(F10=0,"PASS","FAIL")</f>
        <v>PASS</v>
      </c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7" t="s">
        <v>401</v>
      </c>
      <c r="B11" s="17" t="s">
        <v>390</v>
      </c>
      <c r="C11" s="17" t="s">
        <v>398</v>
      </c>
      <c r="D11" s="17" t="s">
        <v>399</v>
      </c>
      <c r="E11" s="17" t="s">
        <v>400</v>
      </c>
      <c r="F11" s="16" t="n">
        <v>0</v>
      </c>
      <c r="G11" s="17" t="s">
        <v>396</v>
      </c>
      <c r="H11" s="17" t="str">
        <f aca="false">IF(F11=0,"PASS","FAIL")</f>
        <v>PASS</v>
      </c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7" t="s">
        <v>402</v>
      </c>
      <c r="B12" s="17" t="s">
        <v>398</v>
      </c>
      <c r="C12" s="17" t="s">
        <v>403</v>
      </c>
      <c r="D12" s="17" t="s">
        <v>404</v>
      </c>
      <c r="E12" s="17" t="s">
        <v>405</v>
      </c>
      <c r="F12" s="16" t="n">
        <v>0</v>
      </c>
      <c r="G12" s="17" t="s">
        <v>406</v>
      </c>
      <c r="H12" s="17" t="str">
        <f aca="false">IF(F12=0,"PASS","FAIL")</f>
        <v>PASS</v>
      </c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7" t="s">
        <v>407</v>
      </c>
      <c r="B13" s="17" t="s">
        <v>398</v>
      </c>
      <c r="C13" s="17" t="s">
        <v>408</v>
      </c>
      <c r="D13" s="17" t="s">
        <v>409</v>
      </c>
      <c r="E13" s="17" t="s">
        <v>410</v>
      </c>
      <c r="F13" s="16" t="n">
        <v>0</v>
      </c>
      <c r="G13" s="17" t="s">
        <v>406</v>
      </c>
      <c r="H13" s="17" t="str">
        <f aca="false">IF(F13=0,"PASS","FAIL")</f>
        <v>PASS</v>
      </c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7" t="s">
        <v>411</v>
      </c>
      <c r="B14" s="17" t="s">
        <v>412</v>
      </c>
      <c r="C14" s="17" t="s">
        <v>413</v>
      </c>
      <c r="D14" s="17" t="s">
        <v>399</v>
      </c>
      <c r="E14" s="17" t="s">
        <v>414</v>
      </c>
      <c r="F14" s="16" t="n">
        <v>0</v>
      </c>
      <c r="G14" s="17" t="s">
        <v>406</v>
      </c>
      <c r="H14" s="17" t="str">
        <f aca="false">IF(F14=0,"PASS","FAIL")</f>
        <v>PASS</v>
      </c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7" t="s">
        <v>415</v>
      </c>
      <c r="B15" s="17" t="s">
        <v>416</v>
      </c>
      <c r="C15" s="17" t="s">
        <v>417</v>
      </c>
      <c r="D15" s="17" t="s">
        <v>418</v>
      </c>
      <c r="E15" s="17" t="s">
        <v>419</v>
      </c>
      <c r="F15" s="16" t="n">
        <v>0</v>
      </c>
      <c r="G15" s="17" t="s">
        <v>388</v>
      </c>
      <c r="H15" s="17" t="str">
        <f aca="false">IF(F15=0,"PASS","FAIL")</f>
        <v>PASS</v>
      </c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7" t="s">
        <v>420</v>
      </c>
      <c r="B16" s="17" t="s">
        <v>421</v>
      </c>
      <c r="C16" s="17" t="s">
        <v>422</v>
      </c>
      <c r="D16" s="17" t="s">
        <v>423</v>
      </c>
      <c r="E16" s="17" t="s">
        <v>424</v>
      </c>
      <c r="F16" s="16" t="n">
        <v>0</v>
      </c>
      <c r="G16" s="17" t="s">
        <v>406</v>
      </c>
      <c r="H16" s="17" t="str">
        <f aca="false">IF(F16=0,"PASS","FAIL")</f>
        <v>PASS</v>
      </c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7" t="s">
        <v>425</v>
      </c>
      <c r="B17" s="17" t="s">
        <v>426</v>
      </c>
      <c r="C17" s="17" t="s">
        <v>427</v>
      </c>
      <c r="D17" s="17" t="s">
        <v>428</v>
      </c>
      <c r="E17" s="17" t="s">
        <v>429</v>
      </c>
      <c r="F17" s="16" t="n">
        <v>0</v>
      </c>
      <c r="G17" s="17" t="s">
        <v>406</v>
      </c>
      <c r="H17" s="17" t="str">
        <f aca="false">IF(F17=0,"PASS","FAIL")</f>
        <v>PASS</v>
      </c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7" t="s">
        <v>430</v>
      </c>
      <c r="B18" s="17" t="s">
        <v>431</v>
      </c>
      <c r="C18" s="17" t="s">
        <v>432</v>
      </c>
      <c r="D18" s="17" t="s">
        <v>433</v>
      </c>
      <c r="E18" s="17" t="s">
        <v>434</v>
      </c>
      <c r="F18" s="16" t="n">
        <v>0</v>
      </c>
      <c r="G18" s="17" t="s">
        <v>435</v>
      </c>
      <c r="H18" s="17" t="str">
        <f aca="false">IF(F18=0,"PASS","FAIL")</f>
        <v>PASS</v>
      </c>
      <c r="I18" s="4"/>
      <c r="J18" s="4"/>
      <c r="K18" s="4"/>
      <c r="L18" s="4"/>
      <c r="M18" s="4"/>
      <c r="N18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7" min="4" style="0" width="15"/>
  </cols>
  <sheetData>
    <row r="2" customFormat="false" ht="18.55" hidden="false" customHeight="false" outlineLevel="0" collapsed="false">
      <c r="A2" s="1" t="s">
        <v>436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437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10" t="s">
        <v>438</v>
      </c>
      <c r="B6" s="10" t="s">
        <v>438</v>
      </c>
      <c r="C6" s="10" t="s">
        <v>438</v>
      </c>
      <c r="D6" s="10" t="s">
        <v>438</v>
      </c>
      <c r="E6" s="10" t="s">
        <v>438</v>
      </c>
      <c r="F6" s="10" t="s">
        <v>438</v>
      </c>
      <c r="G6" s="10" t="s">
        <v>438</v>
      </c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7" t="s">
        <v>4</v>
      </c>
      <c r="B8" s="17" t="n">
        <v>18</v>
      </c>
      <c r="C8" s="17"/>
      <c r="D8" s="17"/>
      <c r="E8" s="17"/>
      <c r="F8" s="17"/>
      <c r="G8" s="17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7" t="s">
        <v>5</v>
      </c>
      <c r="B9" s="17" t="n">
        <v>0</v>
      </c>
      <c r="C9" s="17"/>
      <c r="D9" s="17"/>
      <c r="E9" s="17"/>
      <c r="F9" s="17"/>
      <c r="G9" s="17"/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7" t="s">
        <v>56</v>
      </c>
      <c r="B10" s="17" t="n">
        <v>6</v>
      </c>
      <c r="C10" s="17"/>
      <c r="D10" s="17"/>
      <c r="E10" s="17"/>
      <c r="F10" s="17"/>
      <c r="G10" s="17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7" t="s">
        <v>6</v>
      </c>
      <c r="B11" s="17" t="n">
        <v>36</v>
      </c>
      <c r="C11" s="17"/>
      <c r="D11" s="17"/>
      <c r="E11" s="17"/>
      <c r="F11" s="17"/>
      <c r="G11" s="17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7" t="s">
        <v>7</v>
      </c>
      <c r="B12" s="17" t="n">
        <v>18</v>
      </c>
      <c r="C12" s="17"/>
      <c r="D12" s="17"/>
      <c r="E12" s="17"/>
      <c r="F12" s="17"/>
      <c r="G12" s="17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7" t="s">
        <v>439</v>
      </c>
      <c r="B13" s="17" t="n">
        <v>6</v>
      </c>
      <c r="C13" s="17"/>
      <c r="D13" s="17"/>
      <c r="E13" s="17"/>
      <c r="F13" s="17"/>
      <c r="G13" s="17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7" t="s">
        <v>440</v>
      </c>
      <c r="B14" s="17" t="n">
        <v>6</v>
      </c>
      <c r="C14" s="17"/>
      <c r="D14" s="17"/>
      <c r="E14" s="17"/>
      <c r="F14" s="17"/>
      <c r="G14" s="17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7" t="s">
        <v>441</v>
      </c>
      <c r="B15" s="17" t="n">
        <v>4</v>
      </c>
      <c r="C15" s="17"/>
      <c r="D15" s="17"/>
      <c r="E15" s="17"/>
      <c r="F15" s="17"/>
      <c r="G15" s="17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7" t="s">
        <v>442</v>
      </c>
      <c r="B16" s="17" t="n">
        <v>30</v>
      </c>
      <c r="C16" s="17"/>
      <c r="D16" s="17"/>
      <c r="E16" s="17"/>
      <c r="F16" s="17"/>
      <c r="G16" s="17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9" t="s">
        <v>443</v>
      </c>
      <c r="B19" s="19" t="s">
        <v>443</v>
      </c>
      <c r="C19" s="19" t="s">
        <v>443</v>
      </c>
      <c r="D19" s="19" t="s">
        <v>443</v>
      </c>
      <c r="E19" s="19" t="s">
        <v>443</v>
      </c>
      <c r="F19" s="19" t="s">
        <v>443</v>
      </c>
      <c r="G19" s="17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6" t="s">
        <v>91</v>
      </c>
      <c r="B21" s="7" t="s">
        <v>444</v>
      </c>
      <c r="C21" s="8" t="s">
        <v>445</v>
      </c>
      <c r="D21" s="17"/>
      <c r="E21" s="17"/>
      <c r="F21" s="17"/>
      <c r="G21" s="17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7" t="str">
        <f aca="false">Inputs!C32</f>
        <v>Host and failure-domain hardening</v>
      </c>
      <c r="B22" s="20" t="n">
        <f aca="false">Inputs!E32</f>
        <v>189</v>
      </c>
      <c r="C22" s="17" t="str">
        <f aca="false">Inputs!F32</f>
        <v>CO-USE / NOT ADDITIVE</v>
      </c>
      <c r="D22" s="17"/>
      <c r="E22" s="17"/>
      <c r="F22" s="17"/>
      <c r="G22" s="17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7" t="str">
        <f aca="false">Inputs!C33</f>
        <v>Role-separated enclave compute</v>
      </c>
      <c r="B23" s="20" t="n">
        <f aca="false">Inputs!E33</f>
        <v>135</v>
      </c>
      <c r="C23" s="17" t="str">
        <f aca="false">Inputs!F33</f>
        <v>CO-USE / NOT ADDITIVE</v>
      </c>
      <c r="D23" s="17"/>
      <c r="E23" s="17"/>
      <c r="F23" s="17"/>
      <c r="G23" s="17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7" t="str">
        <f aca="false">Inputs!C34</f>
        <v>Offline custody and threshold escrow</v>
      </c>
      <c r="B24" s="20" t="n">
        <f aca="false">Inputs!E34</f>
        <v>81</v>
      </c>
      <c r="C24" s="17" t="str">
        <f aca="false">Inputs!F34</f>
        <v>CO-USE / NOT ADDITIVE</v>
      </c>
      <c r="D24" s="17"/>
      <c r="E24" s="17"/>
      <c r="F24" s="17"/>
      <c r="G24" s="17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7" t="str">
        <f aca="false">Inputs!C35</f>
        <v>Court seats and key ceremony</v>
      </c>
      <c r="B25" s="20" t="n">
        <f aca="false">Inputs!E35</f>
        <v>54</v>
      </c>
      <c r="C25" s="17" t="str">
        <f aca="false">Inputs!F35</f>
        <v>CO-USE / NOT ADDITIVE</v>
      </c>
      <c r="D25" s="17"/>
      <c r="E25" s="17"/>
      <c r="F25" s="17"/>
      <c r="G25" s="17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7" t="str">
        <f aca="false">Inputs!C36</f>
        <v>Cross-region network and restoration</v>
      </c>
      <c r="B26" s="20" t="n">
        <f aca="false">Inputs!E36</f>
        <v>54</v>
      </c>
      <c r="C26" s="17" t="str">
        <f aca="false">Inputs!F36</f>
        <v>CO-USE / NOT ADDITIVE</v>
      </c>
      <c r="D26" s="17"/>
      <c r="E26" s="17"/>
      <c r="F26" s="17"/>
      <c r="G26" s="17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7" t="str">
        <f aca="false">Inputs!C37</f>
        <v>Uncommitted recovery reserve</v>
      </c>
      <c r="B27" s="20" t="n">
        <f aca="false">Inputs!E37</f>
        <v>27</v>
      </c>
      <c r="C27" s="17" t="str">
        <f aca="false">Inputs!F37</f>
        <v>HELD</v>
      </c>
      <c r="D27" s="17"/>
      <c r="E27" s="17"/>
      <c r="F27" s="17"/>
      <c r="G27" s="17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7" t="s">
        <v>446</v>
      </c>
      <c r="B28" s="20" t="n">
        <f aca="false">SUM(B22:B27)</f>
        <v>540</v>
      </c>
      <c r="C28" s="17"/>
      <c r="D28" s="17"/>
      <c r="E28" s="17"/>
      <c r="F28" s="17"/>
      <c r="G28" s="17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19" t="s">
        <v>447</v>
      </c>
      <c r="B31" s="19" t="s">
        <v>447</v>
      </c>
      <c r="C31" s="19" t="s">
        <v>447</v>
      </c>
      <c r="D31" s="19" t="s">
        <v>447</v>
      </c>
      <c r="E31" s="19" t="s">
        <v>447</v>
      </c>
      <c r="F31" s="19" t="s">
        <v>447</v>
      </c>
      <c r="G31" s="17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6" t="s">
        <v>91</v>
      </c>
      <c r="B33" s="8" t="s">
        <v>444</v>
      </c>
      <c r="C33" s="17"/>
      <c r="D33" s="17"/>
      <c r="E33" s="17"/>
      <c r="F33" s="17"/>
      <c r="G33" s="17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7" t="str">
        <f aca="false">Inputs!C43</f>
        <v>Clean-room rebuild cells</v>
      </c>
      <c r="B34" s="20" t="n">
        <f aca="false">Inputs!E43</f>
        <v>14.79775</v>
      </c>
      <c r="C34" s="17"/>
      <c r="D34" s="17"/>
      <c r="E34" s="17"/>
      <c r="F34" s="17"/>
      <c r="G34" s="17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17" t="str">
        <f aca="false">Inputs!C44</f>
        <v>Root-native instruments and qualification</v>
      </c>
      <c r="B35" s="20" t="n">
        <f aca="false">Inputs!E44</f>
        <v>6.72625</v>
      </c>
      <c r="C35" s="17"/>
      <c r="D35" s="17"/>
      <c r="E35" s="17"/>
      <c r="F35" s="17"/>
      <c r="G35" s="17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17" t="str">
        <f aca="false">Inputs!C45</f>
        <v>Divergence reserve</v>
      </c>
      <c r="B36" s="20" t="n">
        <f aca="false">Inputs!E45</f>
        <v>5.381</v>
      </c>
      <c r="C36" s="17"/>
      <c r="D36" s="17"/>
      <c r="E36" s="17"/>
      <c r="F36" s="17"/>
      <c r="G36" s="17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17" t="str">
        <f aca="false">Inputs!C46</f>
        <v>Public Artifact Exchange</v>
      </c>
      <c r="B37" s="20" t="n">
        <f aca="false">Inputs!E46</f>
        <v>6.457199999985</v>
      </c>
      <c r="C37" s="17"/>
      <c r="D37" s="17"/>
      <c r="E37" s="17"/>
      <c r="F37" s="17"/>
      <c r="G37" s="17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17" t="str">
        <f aca="false">Inputs!C47</f>
        <v>Disconnected archive</v>
      </c>
      <c r="B38" s="20" t="n">
        <f aca="false">Inputs!E47</f>
        <v>4.30479999999</v>
      </c>
      <c r="C38" s="17"/>
      <c r="D38" s="17"/>
      <c r="E38" s="17"/>
      <c r="F38" s="17"/>
      <c r="G38" s="17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17" t="str">
        <f aca="false">Inputs!C48</f>
        <v>Cryptographic lineage</v>
      </c>
      <c r="B39" s="20" t="n">
        <f aca="false">Inputs!E48</f>
        <v>2.152399999995</v>
      </c>
      <c r="C39" s="17"/>
      <c r="D39" s="17"/>
      <c r="E39" s="17"/>
      <c r="F39" s="17"/>
      <c r="G39" s="17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17" t="str">
        <f aca="false">Inputs!C49</f>
        <v>Semantic kernel stewardship</v>
      </c>
      <c r="B40" s="20" t="n">
        <f aca="false">Inputs!E49</f>
        <v>1.43493333333</v>
      </c>
      <c r="C40" s="17"/>
      <c r="D40" s="17"/>
      <c r="E40" s="17"/>
      <c r="F40" s="17"/>
      <c r="G40" s="17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17" t="s">
        <v>446</v>
      </c>
      <c r="B41" s="20" t="n">
        <f aca="false">SUM(B34:B40)</f>
        <v>41.2543333333</v>
      </c>
      <c r="C41" s="17"/>
      <c r="D41" s="17"/>
      <c r="E41" s="17"/>
      <c r="F41" s="17"/>
      <c r="G41" s="17"/>
      <c r="H41" s="4"/>
      <c r="I41" s="4"/>
      <c r="J41" s="4"/>
      <c r="K41" s="4"/>
      <c r="L41" s="4"/>
      <c r="M41" s="4"/>
      <c r="N41" s="4"/>
    </row>
  </sheetData>
  <mergeCells count="5">
    <mergeCell ref="A2:N2"/>
    <mergeCell ref="A4:N4"/>
    <mergeCell ref="A6:G6"/>
    <mergeCell ref="A19:F19"/>
    <mergeCell ref="A31:F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1"/>
    <col collapsed="false" customWidth="true" hidden="false" outlineLevel="0" max="3" min="3" style="0" width="33"/>
    <col collapsed="false" customWidth="true" hidden="false" outlineLevel="0" max="4" min="4" style="0" width="34"/>
    <col collapsed="false" customWidth="true" hidden="false" outlineLevel="0" max="5" min="5" style="0" width="27"/>
    <col collapsed="false" customWidth="true" hidden="false" outlineLevel="0" max="6" min="6" style="0" width="16"/>
    <col collapsed="false" customWidth="true" hidden="false" outlineLevel="0" max="7" min="7" style="0" width="23"/>
  </cols>
  <sheetData>
    <row r="2" customFormat="false" ht="18.55" hidden="false" customHeight="false" outlineLevel="0" collapsed="false">
      <c r="A2" s="1" t="s">
        <v>448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449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186</v>
      </c>
      <c r="B6" s="7" t="s">
        <v>450</v>
      </c>
      <c r="C6" s="7" t="s">
        <v>451</v>
      </c>
      <c r="D6" s="7" t="s">
        <v>452</v>
      </c>
      <c r="E6" s="7" t="s">
        <v>453</v>
      </c>
      <c r="F6" s="7" t="s">
        <v>454</v>
      </c>
      <c r="G6" s="8" t="s">
        <v>271</v>
      </c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7" t="s">
        <v>455</v>
      </c>
      <c r="B7" s="17" t="s">
        <v>456</v>
      </c>
      <c r="C7" s="17" t="s">
        <v>457</v>
      </c>
      <c r="D7" s="17" t="s">
        <v>458</v>
      </c>
      <c r="E7" s="17" t="s">
        <v>459</v>
      </c>
      <c r="F7" s="17" t="s">
        <v>460</v>
      </c>
      <c r="G7" s="17" t="s">
        <v>461</v>
      </c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7" t="s">
        <v>460</v>
      </c>
      <c r="B8" s="17" t="s">
        <v>462</v>
      </c>
      <c r="C8" s="17" t="s">
        <v>463</v>
      </c>
      <c r="D8" s="17" t="s">
        <v>464</v>
      </c>
      <c r="E8" s="17" t="s">
        <v>465</v>
      </c>
      <c r="F8" s="17" t="s">
        <v>466</v>
      </c>
      <c r="G8" s="17" t="s">
        <v>467</v>
      </c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7" t="s">
        <v>466</v>
      </c>
      <c r="B9" s="17" t="s">
        <v>468</v>
      </c>
      <c r="C9" s="17" t="s">
        <v>469</v>
      </c>
      <c r="D9" s="17" t="s">
        <v>470</v>
      </c>
      <c r="E9" s="17" t="s">
        <v>471</v>
      </c>
      <c r="F9" s="17" t="s">
        <v>472</v>
      </c>
      <c r="G9" s="17" t="s">
        <v>473</v>
      </c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7" t="s">
        <v>472</v>
      </c>
      <c r="B10" s="17" t="s">
        <v>474</v>
      </c>
      <c r="C10" s="17" t="s">
        <v>475</v>
      </c>
      <c r="D10" s="17" t="s">
        <v>476</v>
      </c>
      <c r="E10" s="17" t="s">
        <v>477</v>
      </c>
      <c r="F10" s="17" t="s">
        <v>478</v>
      </c>
      <c r="G10" s="17" t="s">
        <v>479</v>
      </c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7" t="s">
        <v>478</v>
      </c>
      <c r="B11" s="17" t="s">
        <v>480</v>
      </c>
      <c r="C11" s="17" t="s">
        <v>481</v>
      </c>
      <c r="D11" s="17" t="s">
        <v>482</v>
      </c>
      <c r="E11" s="17" t="s">
        <v>483</v>
      </c>
      <c r="F11" s="17" t="s">
        <v>484</v>
      </c>
      <c r="G11" s="17" t="s">
        <v>398</v>
      </c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7" t="s">
        <v>484</v>
      </c>
      <c r="B12" s="17" t="s">
        <v>485</v>
      </c>
      <c r="C12" s="17" t="s">
        <v>486</v>
      </c>
      <c r="D12" s="17" t="s">
        <v>487</v>
      </c>
      <c r="E12" s="17" t="s">
        <v>488</v>
      </c>
      <c r="F12" s="17" t="s">
        <v>489</v>
      </c>
      <c r="G12" s="17" t="s">
        <v>398</v>
      </c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7" t="s">
        <v>489</v>
      </c>
      <c r="B13" s="17" t="s">
        <v>490</v>
      </c>
      <c r="C13" s="17" t="s">
        <v>491</v>
      </c>
      <c r="D13" s="17" t="s">
        <v>492</v>
      </c>
      <c r="E13" s="17" t="s">
        <v>493</v>
      </c>
      <c r="F13" s="17" t="s">
        <v>484</v>
      </c>
      <c r="G13" s="17" t="s">
        <v>494</v>
      </c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7" t="s">
        <v>89</v>
      </c>
      <c r="B14" s="17" t="s">
        <v>495</v>
      </c>
      <c r="C14" s="17" t="s">
        <v>496</v>
      </c>
      <c r="D14" s="17" t="s">
        <v>497</v>
      </c>
      <c r="E14" s="17" t="s">
        <v>498</v>
      </c>
      <c r="F14" s="17" t="s">
        <v>478</v>
      </c>
      <c r="G14" s="17" t="s">
        <v>398</v>
      </c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7" t="s">
        <v>499</v>
      </c>
      <c r="B15" s="17" t="s">
        <v>500</v>
      </c>
      <c r="C15" s="17" t="s">
        <v>501</v>
      </c>
      <c r="D15" s="17" t="s">
        <v>502</v>
      </c>
      <c r="E15" s="17" t="s">
        <v>503</v>
      </c>
      <c r="F15" s="17" t="s">
        <v>455</v>
      </c>
      <c r="G15" s="17" t="s">
        <v>504</v>
      </c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7" t="s">
        <v>505</v>
      </c>
      <c r="B16" s="17" t="s">
        <v>506</v>
      </c>
      <c r="C16" s="17" t="s">
        <v>507</v>
      </c>
      <c r="D16" s="17" t="s">
        <v>508</v>
      </c>
      <c r="E16" s="17" t="s">
        <v>509</v>
      </c>
      <c r="F16" s="17" t="s">
        <v>455</v>
      </c>
      <c r="G16" s="17" t="s">
        <v>510</v>
      </c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9" t="s">
        <v>511</v>
      </c>
      <c r="B19" s="19" t="s">
        <v>511</v>
      </c>
      <c r="C19" s="19" t="s">
        <v>511</v>
      </c>
      <c r="D19" s="19" t="s">
        <v>511</v>
      </c>
      <c r="E19" s="19" t="s">
        <v>511</v>
      </c>
      <c r="F19" s="19" t="s">
        <v>511</v>
      </c>
      <c r="G19" s="17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6" t="s">
        <v>512</v>
      </c>
      <c r="B21" s="7" t="s">
        <v>513</v>
      </c>
      <c r="C21" s="7" t="s">
        <v>514</v>
      </c>
      <c r="D21" s="7" t="s">
        <v>515</v>
      </c>
      <c r="E21" s="8" t="s">
        <v>382</v>
      </c>
      <c r="F21" s="17"/>
      <c r="G21" s="17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7" t="s">
        <v>516</v>
      </c>
      <c r="B22" s="17" t="s">
        <v>517</v>
      </c>
      <c r="C22" s="17" t="s">
        <v>518</v>
      </c>
      <c r="D22" s="17" t="s">
        <v>519</v>
      </c>
      <c r="E22" s="17" t="s">
        <v>520</v>
      </c>
      <c r="F22" s="17"/>
      <c r="G22" s="17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7" t="s">
        <v>521</v>
      </c>
      <c r="B23" s="17" t="s">
        <v>522</v>
      </c>
      <c r="C23" s="17" t="s">
        <v>108</v>
      </c>
      <c r="D23" s="17" t="s">
        <v>523</v>
      </c>
      <c r="E23" s="17" t="s">
        <v>524</v>
      </c>
      <c r="F23" s="17"/>
      <c r="G23" s="17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7" t="s">
        <v>525</v>
      </c>
      <c r="B24" s="17" t="s">
        <v>526</v>
      </c>
      <c r="C24" s="17" t="s">
        <v>527</v>
      </c>
      <c r="D24" s="17" t="s">
        <v>528</v>
      </c>
      <c r="E24" s="17" t="s">
        <v>529</v>
      </c>
      <c r="F24" s="17"/>
      <c r="G24" s="17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7" t="s">
        <v>530</v>
      </c>
      <c r="B25" s="17" t="s">
        <v>531</v>
      </c>
      <c r="C25" s="17" t="s">
        <v>532</v>
      </c>
      <c r="D25" s="17" t="s">
        <v>533</v>
      </c>
      <c r="E25" s="17" t="s">
        <v>534</v>
      </c>
      <c r="F25" s="17"/>
      <c r="G25" s="17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7" t="s">
        <v>535</v>
      </c>
      <c r="B26" s="17" t="s">
        <v>57</v>
      </c>
      <c r="C26" s="17" t="s">
        <v>536</v>
      </c>
      <c r="D26" s="17" t="s">
        <v>537</v>
      </c>
      <c r="E26" s="17" t="s">
        <v>534</v>
      </c>
      <c r="F26" s="17"/>
      <c r="G26" s="17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7" t="s">
        <v>538</v>
      </c>
      <c r="B27" s="17" t="s">
        <v>539</v>
      </c>
      <c r="C27" s="17" t="s">
        <v>540</v>
      </c>
      <c r="D27" s="17" t="s">
        <v>541</v>
      </c>
      <c r="E27" s="17" t="s">
        <v>534</v>
      </c>
      <c r="F27" s="17"/>
      <c r="G27" s="17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7" t="s">
        <v>542</v>
      </c>
      <c r="B28" s="17" t="s">
        <v>543</v>
      </c>
      <c r="C28" s="17" t="s">
        <v>544</v>
      </c>
      <c r="D28" s="17" t="s">
        <v>545</v>
      </c>
      <c r="E28" s="17" t="s">
        <v>546</v>
      </c>
      <c r="F28" s="17"/>
      <c r="G28" s="17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7" t="s">
        <v>547</v>
      </c>
      <c r="B29" s="17" t="s">
        <v>32</v>
      </c>
      <c r="C29" s="17" t="s">
        <v>548</v>
      </c>
      <c r="D29" s="17" t="s">
        <v>549</v>
      </c>
      <c r="E29" s="17" t="s">
        <v>546</v>
      </c>
      <c r="F29" s="17"/>
      <c r="G29" s="17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7" t="s">
        <v>550</v>
      </c>
      <c r="B30" s="17" t="s">
        <v>294</v>
      </c>
      <c r="C30" s="17" t="s">
        <v>551</v>
      </c>
      <c r="D30" s="17" t="s">
        <v>552</v>
      </c>
      <c r="E30" s="17" t="s">
        <v>524</v>
      </c>
      <c r="F30" s="17"/>
      <c r="G30" s="17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17" t="s">
        <v>553</v>
      </c>
      <c r="B31" s="17" t="s">
        <v>554</v>
      </c>
      <c r="C31" s="17" t="s">
        <v>555</v>
      </c>
      <c r="D31" s="17" t="s">
        <v>556</v>
      </c>
      <c r="E31" s="17" t="s">
        <v>534</v>
      </c>
      <c r="F31" s="17"/>
      <c r="G31" s="17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7" t="s">
        <v>557</v>
      </c>
      <c r="B32" s="17" t="s">
        <v>107</v>
      </c>
      <c r="C32" s="17" t="s">
        <v>558</v>
      </c>
      <c r="D32" s="17" t="s">
        <v>559</v>
      </c>
      <c r="E32" s="17" t="s">
        <v>534</v>
      </c>
      <c r="F32" s="17"/>
      <c r="G32" s="17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7" t="s">
        <v>560</v>
      </c>
      <c r="B33" s="17" t="s">
        <v>561</v>
      </c>
      <c r="C33" s="17" t="s">
        <v>562</v>
      </c>
      <c r="D33" s="17" t="s">
        <v>563</v>
      </c>
      <c r="E33" s="17" t="s">
        <v>546</v>
      </c>
      <c r="F33" s="17"/>
      <c r="G33" s="17"/>
      <c r="H33" s="4"/>
      <c r="I33" s="4"/>
      <c r="J33" s="4"/>
      <c r="K33" s="4"/>
      <c r="L33" s="4"/>
      <c r="M33" s="4"/>
      <c r="N33" s="4"/>
    </row>
  </sheetData>
  <mergeCells count="3">
    <mergeCell ref="A2:N2"/>
    <mergeCell ref="A4:N4"/>
    <mergeCell ref="A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5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7" min="6" style="0" width="15"/>
  </cols>
  <sheetData>
    <row r="2" customFormat="false" ht="18.55" hidden="false" customHeight="false" outlineLevel="0" collapsed="false">
      <c r="A2" s="1" t="s">
        <v>564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565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566</v>
      </c>
      <c r="B6" s="7" t="s">
        <v>567</v>
      </c>
      <c r="C6" s="7" t="s">
        <v>568</v>
      </c>
      <c r="D6" s="7" t="s">
        <v>569</v>
      </c>
      <c r="E6" s="7" t="s">
        <v>570</v>
      </c>
      <c r="F6" s="7" t="s">
        <v>571</v>
      </c>
      <c r="G6" s="8" t="s">
        <v>572</v>
      </c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7" t="s">
        <v>573</v>
      </c>
      <c r="B7" s="17" t="s">
        <v>574</v>
      </c>
      <c r="C7" s="17" t="n">
        <v>6</v>
      </c>
      <c r="D7" s="17" t="n">
        <v>5</v>
      </c>
      <c r="E7" s="17" t="s">
        <v>575</v>
      </c>
      <c r="F7" s="17" t="s">
        <v>576</v>
      </c>
      <c r="G7" s="17" t="s">
        <v>576</v>
      </c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7" t="s">
        <v>577</v>
      </c>
      <c r="B8" s="17" t="s">
        <v>578</v>
      </c>
      <c r="C8" s="17" t="n">
        <v>3</v>
      </c>
      <c r="D8" s="17" t="n">
        <v>2</v>
      </c>
      <c r="E8" s="17" t="s">
        <v>579</v>
      </c>
      <c r="F8" s="17" t="s">
        <v>576</v>
      </c>
      <c r="G8" s="17" t="s">
        <v>576</v>
      </c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7" t="s">
        <v>580</v>
      </c>
      <c r="B9" s="17" t="s">
        <v>581</v>
      </c>
      <c r="C9" s="17" t="n">
        <v>6</v>
      </c>
      <c r="D9" s="17" t="n">
        <v>5</v>
      </c>
      <c r="E9" s="17" t="s">
        <v>582</v>
      </c>
      <c r="F9" s="17" t="s">
        <v>576</v>
      </c>
      <c r="G9" s="17" t="s">
        <v>576</v>
      </c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7" t="s">
        <v>583</v>
      </c>
      <c r="B10" s="17" t="s">
        <v>584</v>
      </c>
      <c r="C10" s="17" t="n">
        <v>2</v>
      </c>
      <c r="D10" s="17" t="n">
        <v>3</v>
      </c>
      <c r="E10" s="17" t="s">
        <v>585</v>
      </c>
      <c r="F10" s="17" t="s">
        <v>576</v>
      </c>
      <c r="G10" s="17" t="s">
        <v>576</v>
      </c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7" t="s">
        <v>586</v>
      </c>
      <c r="B11" s="17" t="s">
        <v>587</v>
      </c>
      <c r="C11" s="17" t="n">
        <v>2</v>
      </c>
      <c r="D11" s="17" t="n">
        <v>1</v>
      </c>
      <c r="E11" s="17" t="s">
        <v>588</v>
      </c>
      <c r="F11" s="17" t="s">
        <v>576</v>
      </c>
      <c r="G11" s="17" t="s">
        <v>576</v>
      </c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7" t="s">
        <v>589</v>
      </c>
      <c r="B12" s="17" t="s">
        <v>590</v>
      </c>
      <c r="C12" s="17" t="n">
        <v>4</v>
      </c>
      <c r="D12" s="17" t="n">
        <v>6</v>
      </c>
      <c r="E12" s="17" t="s">
        <v>591</v>
      </c>
      <c r="F12" s="17" t="s">
        <v>576</v>
      </c>
      <c r="G12" s="17" t="s">
        <v>576</v>
      </c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7" t="s">
        <v>592</v>
      </c>
      <c r="B13" s="17" t="s">
        <v>593</v>
      </c>
      <c r="C13" s="17" t="n">
        <v>6</v>
      </c>
      <c r="D13" s="17" t="n">
        <v>5</v>
      </c>
      <c r="E13" s="17" t="s">
        <v>594</v>
      </c>
      <c r="F13" s="17" t="s">
        <v>576</v>
      </c>
      <c r="G13" s="17" t="s">
        <v>576</v>
      </c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7" t="s">
        <v>595</v>
      </c>
      <c r="B14" s="17" t="s">
        <v>596</v>
      </c>
      <c r="C14" s="17" t="n">
        <v>0</v>
      </c>
      <c r="D14" s="17" t="n">
        <v>1</v>
      </c>
      <c r="E14" s="17" t="s">
        <v>597</v>
      </c>
      <c r="F14" s="17" t="s">
        <v>576</v>
      </c>
      <c r="G14" s="17" t="s">
        <v>576</v>
      </c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7" t="s">
        <v>598</v>
      </c>
      <c r="B15" s="17" t="s">
        <v>599</v>
      </c>
      <c r="C15" s="17" t="n">
        <v>0</v>
      </c>
      <c r="D15" s="17" t="n">
        <v>1</v>
      </c>
      <c r="E15" s="17" t="s">
        <v>600</v>
      </c>
      <c r="F15" s="17" t="s">
        <v>576</v>
      </c>
      <c r="G15" s="17" t="s">
        <v>576</v>
      </c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7" t="s">
        <v>601</v>
      </c>
      <c r="B16" s="17" t="s">
        <v>602</v>
      </c>
      <c r="C16" s="17" t="n">
        <v>0</v>
      </c>
      <c r="D16" s="17" t="n">
        <v>1</v>
      </c>
      <c r="E16" s="17" t="s">
        <v>603</v>
      </c>
      <c r="F16" s="17" t="s">
        <v>576</v>
      </c>
      <c r="G16" s="17" t="s">
        <v>576</v>
      </c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7" t="s">
        <v>604</v>
      </c>
      <c r="B17" s="17" t="s">
        <v>605</v>
      </c>
      <c r="C17" s="17" t="n">
        <v>0</v>
      </c>
      <c r="D17" s="17" t="n">
        <v>1</v>
      </c>
      <c r="E17" s="17" t="s">
        <v>606</v>
      </c>
      <c r="F17" s="17" t="s">
        <v>576</v>
      </c>
      <c r="G17" s="17" t="s">
        <v>576</v>
      </c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7" t="s">
        <v>607</v>
      </c>
      <c r="B18" s="17" t="s">
        <v>608</v>
      </c>
      <c r="C18" s="17" t="n">
        <v>0</v>
      </c>
      <c r="D18" s="17" t="n">
        <v>1</v>
      </c>
      <c r="E18" s="17" t="s">
        <v>609</v>
      </c>
      <c r="F18" s="17" t="s">
        <v>576</v>
      </c>
      <c r="G18" s="17" t="s">
        <v>576</v>
      </c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7" t="s">
        <v>610</v>
      </c>
      <c r="B19" s="17" t="s">
        <v>611</v>
      </c>
      <c r="C19" s="17" t="n">
        <v>0</v>
      </c>
      <c r="D19" s="17" t="n">
        <v>1</v>
      </c>
      <c r="E19" s="17" t="s">
        <v>612</v>
      </c>
      <c r="F19" s="17" t="s">
        <v>576</v>
      </c>
      <c r="G19" s="17" t="s">
        <v>576</v>
      </c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7" t="s">
        <v>613</v>
      </c>
      <c r="B20" s="17" t="s">
        <v>614</v>
      </c>
      <c r="C20" s="17" t="n">
        <v>0</v>
      </c>
      <c r="D20" s="17" t="n">
        <v>1</v>
      </c>
      <c r="E20" s="17" t="s">
        <v>615</v>
      </c>
      <c r="F20" s="17" t="s">
        <v>576</v>
      </c>
      <c r="G20" s="17" t="s">
        <v>576</v>
      </c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17" t="s">
        <v>616</v>
      </c>
      <c r="B21" s="17" t="s">
        <v>617</v>
      </c>
      <c r="C21" s="17" t="n">
        <v>0</v>
      </c>
      <c r="D21" s="17" t="n">
        <v>1</v>
      </c>
      <c r="E21" s="17" t="s">
        <v>618</v>
      </c>
      <c r="F21" s="17" t="s">
        <v>576</v>
      </c>
      <c r="G21" s="17" t="s">
        <v>576</v>
      </c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7" t="s">
        <v>619</v>
      </c>
      <c r="B22" s="17" t="s">
        <v>620</v>
      </c>
      <c r="C22" s="17" t="n">
        <v>0</v>
      </c>
      <c r="D22" s="17" t="n">
        <v>1</v>
      </c>
      <c r="E22" s="17" t="s">
        <v>621</v>
      </c>
      <c r="F22" s="17" t="s">
        <v>576</v>
      </c>
      <c r="G22" s="17" t="s">
        <v>576</v>
      </c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7" t="s">
        <v>622</v>
      </c>
      <c r="B23" s="17" t="s">
        <v>623</v>
      </c>
      <c r="C23" s="17" t="n">
        <v>0</v>
      </c>
      <c r="D23" s="17" t="n">
        <v>1</v>
      </c>
      <c r="E23" s="17" t="s">
        <v>624</v>
      </c>
      <c r="F23" s="17" t="s">
        <v>576</v>
      </c>
      <c r="G23" s="17" t="s">
        <v>576</v>
      </c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7" t="s">
        <v>625</v>
      </c>
      <c r="B24" s="17" t="s">
        <v>626</v>
      </c>
      <c r="C24" s="17" t="n">
        <v>0</v>
      </c>
      <c r="D24" s="17" t="n">
        <v>1</v>
      </c>
      <c r="E24" s="17" t="s">
        <v>627</v>
      </c>
      <c r="F24" s="17" t="s">
        <v>576</v>
      </c>
      <c r="G24" s="17" t="s">
        <v>576</v>
      </c>
      <c r="H24" s="4"/>
      <c r="I24" s="4"/>
      <c r="J24" s="4"/>
      <c r="K24" s="4"/>
      <c r="L24" s="4"/>
      <c r="M24" s="4"/>
      <c r="N24" s="4"/>
    </row>
  </sheetData>
  <mergeCells count="2">
    <mergeCell ref="A2:N2"/>
    <mergeCell ref="A4:N4"/>
  </mergeCells>
  <conditionalFormatting sqref="F7:G24">
    <cfRule type="containsText" priority="2" operator="containsText" aboveAverage="0" equalAverage="0" bottom="0" percent="0" rank="0" text="NO" dxfId="1">
      <formula>NOT(ISERROR(SEARCH("NO",F7)))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E6E6"/>
    <pageSetUpPr fitToPage="false"/>
  </sheetPr>
  <dimension ref="A2: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5" min="3" style="0" width="15"/>
  </cols>
  <sheetData>
    <row r="2" customFormat="false" ht="18.55" hidden="false" customHeight="false" outlineLevel="0" collapsed="false">
      <c r="A2" s="1" t="s">
        <v>628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629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6" t="s">
        <v>630</v>
      </c>
      <c r="B6" s="7" t="s">
        <v>631</v>
      </c>
      <c r="C6" s="7" t="s">
        <v>632</v>
      </c>
      <c r="D6" s="7" t="s">
        <v>633</v>
      </c>
      <c r="E6" s="8" t="s">
        <v>634</v>
      </c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17" t="s">
        <v>575</v>
      </c>
      <c r="B7" s="17" t="s">
        <v>635</v>
      </c>
      <c r="C7" s="17" t="n">
        <f aca="false">Inputs!B7</f>
        <v>6</v>
      </c>
      <c r="D7" s="17" t="n">
        <v>6</v>
      </c>
      <c r="E7" s="17" t="str">
        <f aca="false">IF(ABS(C7-D7)&lt;=Inputs!$B$26,"PASS","FAIL")</f>
        <v>PASS</v>
      </c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17" t="s">
        <v>636</v>
      </c>
      <c r="B8" s="17" t="s">
        <v>637</v>
      </c>
      <c r="C8" s="17" t="n">
        <f aca="false">COUNTA('Site Lattice'!A7:A24)</f>
        <v>18</v>
      </c>
      <c r="D8" s="17" t="n">
        <v>18</v>
      </c>
      <c r="E8" s="17" t="str">
        <f aca="false">IF(ABS(C8-D8)&lt;=Inputs!$B$26,"PASS","FAIL")</f>
        <v>PASS</v>
      </c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17" t="s">
        <v>582</v>
      </c>
      <c r="B9" s="17" t="s">
        <v>638</v>
      </c>
      <c r="C9" s="17" t="n">
        <f aca="false">Inputs!B9</f>
        <v>6</v>
      </c>
      <c r="D9" s="17" t="n">
        <v>6</v>
      </c>
      <c r="E9" s="17" t="str">
        <f aca="false">IF(ABS(C9-D9)&lt;=Inputs!$B$26,"PASS","FAIL")</f>
        <v>PASS</v>
      </c>
      <c r="F9" s="4"/>
      <c r="G9" s="4"/>
      <c r="H9" s="4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17" t="s">
        <v>579</v>
      </c>
      <c r="B10" s="17" t="s">
        <v>639</v>
      </c>
      <c r="C10" s="17" t="n">
        <f aca="false">Inputs!B8</f>
        <v>3</v>
      </c>
      <c r="D10" s="17" t="n">
        <v>3</v>
      </c>
      <c r="E10" s="17" t="str">
        <f aca="false">IF(ABS(C10-D10)&lt;=Inputs!$B$26,"PASS","FAIL")</f>
        <v>PASS</v>
      </c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17" t="s">
        <v>640</v>
      </c>
      <c r="B11" s="17" t="s">
        <v>641</v>
      </c>
      <c r="C11" s="17" t="n">
        <f aca="false">COUNTIF('Site Lattice'!B7:B24,"ET-A")</f>
        <v>3</v>
      </c>
      <c r="D11" s="17" t="n">
        <v>3</v>
      </c>
      <c r="E11" s="17" t="str">
        <f aca="false">IF(ABS(C11-D11)&lt;=Inputs!$B$26,"PASS","FAIL")</f>
        <v>PASS</v>
      </c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17" t="s">
        <v>642</v>
      </c>
      <c r="B12" s="17" t="s">
        <v>643</v>
      </c>
      <c r="C12" s="17" t="n">
        <f aca="false">COUNTIF('Site Lattice'!D7:D24,"FD-A")</f>
        <v>3</v>
      </c>
      <c r="D12" s="17" t="n">
        <v>3</v>
      </c>
      <c r="E12" s="17" t="str">
        <f aca="false">IF(ABS(C12-D12)&lt;=Inputs!$B$26,"PASS","FAIL")</f>
        <v>PASS</v>
      </c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7" t="s">
        <v>644</v>
      </c>
      <c r="B13" s="17" t="s">
        <v>645</v>
      </c>
      <c r="C13" s="17" t="n">
        <f aca="false">COUNTA('Role Enclaves'!A7:A42)</f>
        <v>36</v>
      </c>
      <c r="D13" s="17" t="n">
        <v>36</v>
      </c>
      <c r="E13" s="17" t="str">
        <f aca="false">IF(ABS(C13-D13)&lt;=Inputs!$B$26,"PASS","FAIL")</f>
        <v>PASS</v>
      </c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7" t="s">
        <v>588</v>
      </c>
      <c r="B14" s="17" t="s">
        <v>646</v>
      </c>
      <c r="C14" s="17" t="n">
        <f aca="false">Inputs!B11</f>
        <v>2</v>
      </c>
      <c r="D14" s="17" t="n">
        <v>2</v>
      </c>
      <c r="E14" s="17" t="str">
        <f aca="false">IF(ABS(C14-D14)&lt;=Inputs!$B$26,"PASS","FAIL")</f>
        <v>PASS</v>
      </c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7" t="s">
        <v>647</v>
      </c>
      <c r="B15" s="17" t="s">
        <v>648</v>
      </c>
      <c r="C15" s="17" t="n">
        <f aca="false">COUNTIF('Role Enclaves'!E7:E42,"Native")</f>
        <v>12</v>
      </c>
      <c r="D15" s="17" t="n">
        <v>12</v>
      </c>
      <c r="E15" s="17" t="str">
        <f aca="false">IF(ABS(C15-D15)&lt;=Inputs!$B$26,"PASS","FAIL")</f>
        <v>PASS</v>
      </c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7" t="s">
        <v>649</v>
      </c>
      <c r="B16" s="17" t="s">
        <v>650</v>
      </c>
      <c r="C16" s="17" t="n">
        <f aca="false">COUNTIF('Role Enclaves'!E7:E42,"Clean")</f>
        <v>12</v>
      </c>
      <c r="D16" s="17" t="n">
        <v>12</v>
      </c>
      <c r="E16" s="17" t="str">
        <f aca="false">IF(ABS(C16-D16)&lt;=Inputs!$B$26,"PASS","FAIL")</f>
        <v>PASS</v>
      </c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7" t="s">
        <v>651</v>
      </c>
      <c r="B17" s="17" t="s">
        <v>652</v>
      </c>
      <c r="C17" s="17" t="n">
        <f aca="false">COUNTIF('Role Enclaves'!E7:E42,"Divergence")</f>
        <v>12</v>
      </c>
      <c r="D17" s="17" t="n">
        <v>12</v>
      </c>
      <c r="E17" s="17" t="str">
        <f aca="false">IF(ABS(C17-D17)&lt;=Inputs!$B$26,"PASS","FAIL")</f>
        <v>PASS</v>
      </c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17" t="s">
        <v>653</v>
      </c>
      <c r="B18" s="17" t="s">
        <v>654</v>
      </c>
      <c r="C18" s="17" t="n">
        <f aca="false">COUNTA('Court Quorum'!A7:A24)</f>
        <v>18</v>
      </c>
      <c r="D18" s="17" t="n">
        <v>18</v>
      </c>
      <c r="E18" s="17" t="str">
        <f aca="false">IF(ABS(C18-D18)&lt;=Inputs!$B$26,"PASS","FAIL")</f>
        <v>PASS</v>
      </c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" hidden="false" customHeight="false" outlineLevel="0" collapsed="false">
      <c r="A19" s="17" t="s">
        <v>655</v>
      </c>
      <c r="B19" s="17" t="s">
        <v>656</v>
      </c>
      <c r="C19" s="17" t="n">
        <f aca="false">COUNTIF('Court Quorum'!B7:B24,"ET-A")</f>
        <v>3</v>
      </c>
      <c r="D19" s="17" t="n">
        <v>3</v>
      </c>
      <c r="E19" s="17" t="str">
        <f aca="false">IF(ABS(C19-D19)&lt;=Inputs!$B$26,"PASS","FAIL")</f>
        <v>PASS</v>
      </c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17" t="s">
        <v>657</v>
      </c>
      <c r="B20" s="17" t="s">
        <v>658</v>
      </c>
      <c r="C20" s="17" t="n">
        <f aca="false">COUNTA('Exchange Custody'!A7:A12)</f>
        <v>6</v>
      </c>
      <c r="D20" s="17" t="n">
        <v>6</v>
      </c>
      <c r="E20" s="17" t="str">
        <f aca="false">IF(ABS(C20-D20)&lt;=Inputs!$B$26,"PASS","FAIL")</f>
        <v>PASS</v>
      </c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" hidden="false" customHeight="false" outlineLevel="0" collapsed="false">
      <c r="A21" s="17" t="s">
        <v>659</v>
      </c>
      <c r="B21" s="17" t="s">
        <v>660</v>
      </c>
      <c r="C21" s="17" t="n">
        <f aca="false">SUM('Exchange Custody'!D7:D12)</f>
        <v>6</v>
      </c>
      <c r="D21" s="17" t="n">
        <v>6</v>
      </c>
      <c r="E21" s="17" t="str">
        <f aca="false">IF(ABS(C21-D21)&lt;=Inputs!$B$26,"PASS","FAIL")</f>
        <v>PASS</v>
      </c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17" t="s">
        <v>661</v>
      </c>
      <c r="B22" s="17" t="s">
        <v>662</v>
      </c>
      <c r="C22" s="17" t="n">
        <f aca="false">SUM('Exchange Custody'!E7:E12)</f>
        <v>6</v>
      </c>
      <c r="D22" s="17" t="n">
        <v>6</v>
      </c>
      <c r="E22" s="17" t="str">
        <f aca="false">IF(ABS(C22-D22)&lt;=Inputs!$B$26,"PASS","FAIL")</f>
        <v>PASS</v>
      </c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7" t="s">
        <v>663</v>
      </c>
      <c r="B23" s="17" t="s">
        <v>664</v>
      </c>
      <c r="C23" s="17" t="n">
        <f aca="false">SUM('Exchange Custody'!F7:F12)</f>
        <v>6</v>
      </c>
      <c r="D23" s="17" t="n">
        <v>6</v>
      </c>
      <c r="E23" s="17" t="str">
        <f aca="false">IF(ABS(C23-D23)&lt;=Inputs!$B$26,"PASS","FAIL")</f>
        <v>PASS</v>
      </c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7" t="s">
        <v>665</v>
      </c>
      <c r="B24" s="17" t="s">
        <v>666</v>
      </c>
      <c r="C24" s="17" t="n">
        <f aca="false">COUNTA('Failure Worlds'!A7:A36)</f>
        <v>30</v>
      </c>
      <c r="D24" s="17" t="n">
        <v>30</v>
      </c>
      <c r="E24" s="17" t="str">
        <f aca="false">IF(ABS(C24-D24)&lt;=Inputs!$B$26,"PASS","FAIL")</f>
        <v>PASS</v>
      </c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7" t="s">
        <v>627</v>
      </c>
      <c r="B25" s="17" t="s">
        <v>667</v>
      </c>
      <c r="C25" s="17" t="n">
        <f aca="false">COUNTIF('Control Separation'!H7:H18,"FAIL")</f>
        <v>0</v>
      </c>
      <c r="D25" s="17" t="n">
        <v>0</v>
      </c>
      <c r="E25" s="17" t="str">
        <f aca="false">IF(ABS(C25-D25)&lt;=Inputs!$B$26,"PASS","FAIL")</f>
        <v>PASS</v>
      </c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7" t="s">
        <v>668</v>
      </c>
      <c r="B26" s="17" t="s">
        <v>669</v>
      </c>
      <c r="C26" s="17" t="n">
        <f aca="false">COUNTIF('Failure Detail'!J7:J546,"PASS")</f>
        <v>540</v>
      </c>
      <c r="D26" s="17" t="n">
        <v>540</v>
      </c>
      <c r="E26" s="17" t="str">
        <f aca="false">IF(ABS(C26-D26)&lt;=Inputs!$B$26,"PASS","FAIL")</f>
        <v>PASS</v>
      </c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17" t="s">
        <v>670</v>
      </c>
      <c r="B27" s="17" t="s">
        <v>671</v>
      </c>
      <c r="C27" s="17" t="n">
        <f aca="false">COUNTIF('Failure Worlds'!L7:L36,"SURVIVE")</f>
        <v>30</v>
      </c>
      <c r="D27" s="17" t="n">
        <v>30</v>
      </c>
      <c r="E27" s="17" t="str">
        <f aca="false">IF(ABS(C27-D27)&lt;=Inputs!$B$26,"PASS","FAIL")</f>
        <v>PASS</v>
      </c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" hidden="false" customHeight="false" outlineLevel="0" collapsed="false">
      <c r="A28" s="17" t="s">
        <v>585</v>
      </c>
      <c r="B28" s="17" t="s">
        <v>672</v>
      </c>
      <c r="C28" s="17" t="n">
        <f aca="false">Inputs!B10</f>
        <v>2</v>
      </c>
      <c r="D28" s="17" t="n">
        <v>2</v>
      </c>
      <c r="E28" s="17" t="str">
        <f aca="false">IF(ABS(C28-D28)&lt;=Inputs!$B$26,"PASS","FAIL")</f>
        <v>PASS</v>
      </c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" hidden="false" customHeight="false" outlineLevel="0" collapsed="false">
      <c r="A29" s="17" t="s">
        <v>591</v>
      </c>
      <c r="B29" s="17" t="s">
        <v>673</v>
      </c>
      <c r="C29" s="17" t="n">
        <f aca="false">Inputs!B12</f>
        <v>4</v>
      </c>
      <c r="D29" s="17" t="n">
        <v>4</v>
      </c>
      <c r="E29" s="17" t="str">
        <f aca="false">IF(ABS(C29-D29)&lt;=Inputs!$B$26,"PASS","FAIL")</f>
        <v>PASS</v>
      </c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" hidden="false" customHeight="false" outlineLevel="0" collapsed="false">
      <c r="A30" s="17" t="s">
        <v>594</v>
      </c>
      <c r="B30" s="17" t="s">
        <v>674</v>
      </c>
      <c r="C30" s="17" t="n">
        <f aca="false">Inputs!B13</f>
        <v>6</v>
      </c>
      <c r="D30" s="17" t="n">
        <v>6</v>
      </c>
      <c r="E30" s="17" t="str">
        <f aca="false">IF(ABS(C30-D30)&lt;=Inputs!$B$26,"PASS","FAIL")</f>
        <v>PASS</v>
      </c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" hidden="false" customHeight="false" outlineLevel="0" collapsed="false">
      <c r="A31" s="17" t="s">
        <v>600</v>
      </c>
      <c r="B31" s="17" t="s">
        <v>675</v>
      </c>
      <c r="C31" s="17" t="n">
        <f aca="false">Inputs!B15</f>
        <v>0</v>
      </c>
      <c r="D31" s="17" t="n">
        <v>0</v>
      </c>
      <c r="E31" s="17" t="str">
        <f aca="false">IF(ABS(C31-D31)&lt;=Inputs!$B$26,"PASS","FAIL")</f>
        <v>PASS</v>
      </c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false" outlineLevel="0" collapsed="false">
      <c r="A32" s="17" t="s">
        <v>603</v>
      </c>
      <c r="B32" s="17" t="s">
        <v>676</v>
      </c>
      <c r="C32" s="17" t="n">
        <f aca="false">Inputs!B16</f>
        <v>0</v>
      </c>
      <c r="D32" s="17" t="n">
        <v>0</v>
      </c>
      <c r="E32" s="17" t="str">
        <f aca="false">IF(ABS(C32-D32)&lt;=Inputs!$B$26,"PASS","FAIL")</f>
        <v>PASS</v>
      </c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7" t="s">
        <v>606</v>
      </c>
      <c r="B33" s="17" t="s">
        <v>677</v>
      </c>
      <c r="C33" s="17" t="n">
        <f aca="false">Inputs!B17</f>
        <v>0</v>
      </c>
      <c r="D33" s="17" t="n">
        <v>0</v>
      </c>
      <c r="E33" s="17" t="str">
        <f aca="false">IF(ABS(C33-D33)&lt;=Inputs!$B$26,"PASS","FAIL")</f>
        <v>PASS</v>
      </c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" hidden="false" customHeight="false" outlineLevel="0" collapsed="false">
      <c r="A34" s="17" t="s">
        <v>609</v>
      </c>
      <c r="B34" s="17" t="s">
        <v>678</v>
      </c>
      <c r="C34" s="17" t="n">
        <f aca="false">Inputs!B18</f>
        <v>0</v>
      </c>
      <c r="D34" s="17" t="n">
        <v>0</v>
      </c>
      <c r="E34" s="17" t="str">
        <f aca="false">IF(ABS(C34-D34)&lt;=Inputs!$B$26,"PASS","FAIL")</f>
        <v>PASS</v>
      </c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" hidden="false" customHeight="false" outlineLevel="0" collapsed="false">
      <c r="A35" s="17" t="s">
        <v>612</v>
      </c>
      <c r="B35" s="17" t="s">
        <v>679</v>
      </c>
      <c r="C35" s="17" t="n">
        <f aca="false">Inputs!B19</f>
        <v>0</v>
      </c>
      <c r="D35" s="17" t="n">
        <v>0</v>
      </c>
      <c r="E35" s="17" t="str">
        <f aca="false">IF(ABS(C35-D35)&lt;=Inputs!$B$26,"PASS","FAIL")</f>
        <v>PASS</v>
      </c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" hidden="false" customHeight="false" outlineLevel="0" collapsed="false">
      <c r="A36" s="17" t="s">
        <v>615</v>
      </c>
      <c r="B36" s="17" t="s">
        <v>680</v>
      </c>
      <c r="C36" s="17" t="n">
        <f aca="false">Inputs!B20</f>
        <v>0</v>
      </c>
      <c r="D36" s="17" t="n">
        <v>0</v>
      </c>
      <c r="E36" s="17" t="str">
        <f aca="false">IF(ABS(C36-D36)&lt;=Inputs!$B$26,"PASS","FAIL")</f>
        <v>PASS</v>
      </c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17" t="s">
        <v>618</v>
      </c>
      <c r="B37" s="17" t="s">
        <v>681</v>
      </c>
      <c r="C37" s="17" t="n">
        <f aca="false">Inputs!B21</f>
        <v>0</v>
      </c>
      <c r="D37" s="17" t="n">
        <v>0</v>
      </c>
      <c r="E37" s="17" t="str">
        <f aca="false">IF(ABS(C37-D37)&lt;=Inputs!$B$26,"PASS","FAIL")</f>
        <v>PASS</v>
      </c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" hidden="false" customHeight="false" outlineLevel="0" collapsed="false">
      <c r="A38" s="17" t="s">
        <v>621</v>
      </c>
      <c r="B38" s="17" t="s">
        <v>682</v>
      </c>
      <c r="C38" s="17" t="n">
        <f aca="false">Inputs!B22</f>
        <v>0</v>
      </c>
      <c r="D38" s="17" t="n">
        <v>0</v>
      </c>
      <c r="E38" s="17" t="str">
        <f aca="false">IF(ABS(C38-D38)&lt;=Inputs!$B$26,"PASS","FAIL")</f>
        <v>PASS</v>
      </c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" hidden="false" customHeight="false" outlineLevel="0" collapsed="false">
      <c r="A39" s="17" t="s">
        <v>624</v>
      </c>
      <c r="B39" s="17" t="s">
        <v>683</v>
      </c>
      <c r="C39" s="17" t="n">
        <f aca="false">Inputs!B23</f>
        <v>0</v>
      </c>
      <c r="D39" s="17" t="n">
        <v>0</v>
      </c>
      <c r="E39" s="17" t="str">
        <f aca="false">IF(ABS(C39-D39)&lt;=Inputs!$B$26,"PASS","FAIL")</f>
        <v>PASS</v>
      </c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" hidden="false" customHeight="false" outlineLevel="0" collapsed="false">
      <c r="A40" s="17" t="s">
        <v>597</v>
      </c>
      <c r="B40" s="17" t="s">
        <v>684</v>
      </c>
      <c r="C40" s="17" t="n">
        <f aca="false">Inputs!B14</f>
        <v>0</v>
      </c>
      <c r="D40" s="17" t="n">
        <v>0</v>
      </c>
      <c r="E40" s="17" t="str">
        <f aca="false">IF(ABS(C40-D40)&lt;=Inputs!$B$26,"PASS","FAIL")</f>
        <v>PASS</v>
      </c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5" hidden="false" customHeight="false" outlineLevel="0" collapsed="false">
      <c r="A41" s="17" t="s">
        <v>685</v>
      </c>
      <c r="B41" s="17" t="s">
        <v>686</v>
      </c>
      <c r="C41" s="17" t="n">
        <f aca="false">ROUND(SUM(Inputs!D32:D37),6)</f>
        <v>1</v>
      </c>
      <c r="D41" s="17" t="n">
        <v>1</v>
      </c>
      <c r="E41" s="17" t="str">
        <f aca="false">IF(ABS(C41-D41)&lt;=Inputs!$B$26,"PASS","FAIL")</f>
        <v>PASS</v>
      </c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" hidden="false" customHeight="false" outlineLevel="0" collapsed="false">
      <c r="A42" s="17" t="s">
        <v>687</v>
      </c>
      <c r="B42" s="17" t="s">
        <v>688</v>
      </c>
      <c r="C42" s="23" t="n">
        <f aca="false">ROUND(SUM(Inputs!E32:E37),6)</f>
        <v>540</v>
      </c>
      <c r="D42" s="23" t="n">
        <v>540</v>
      </c>
      <c r="E42" s="17" t="str">
        <f aca="false">IF(ABS(C42-D42)&lt;=Inputs!$B$26,"PASS","FAIL")</f>
        <v>PASS</v>
      </c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5" hidden="false" customHeight="false" outlineLevel="0" collapsed="false">
      <c r="A43" s="17" t="s">
        <v>689</v>
      </c>
      <c r="B43" s="17" t="s">
        <v>690</v>
      </c>
      <c r="C43" s="23" t="n">
        <f aca="false">ROUND(SUM(Inputs!E43:E45),6)</f>
        <v>26.905</v>
      </c>
      <c r="D43" s="23" t="n">
        <v>26.905</v>
      </c>
      <c r="E43" s="17" t="str">
        <f aca="false">IF(ABS(C43-D43)&lt;=Inputs!$B$26,"PASS","FAIL")</f>
        <v>PASS</v>
      </c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5" hidden="false" customHeight="false" outlineLevel="0" collapsed="false">
      <c r="A44" s="17" t="s">
        <v>691</v>
      </c>
      <c r="B44" s="17" t="s">
        <v>692</v>
      </c>
      <c r="C44" s="23" t="n">
        <f aca="false">ROUND(SUM(Inputs!E46:E49),6)</f>
        <v>14.349333</v>
      </c>
      <c r="D44" s="23" t="n">
        <v>14.349333</v>
      </c>
      <c r="E44" s="17" t="str">
        <f aca="false">IF(ABS(C44-D44)&lt;=Inputs!$B$26,"PASS","FAIL")</f>
        <v>PASS</v>
      </c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" hidden="false" customHeight="false" outlineLevel="0" collapsed="false">
      <c r="A45" s="17" t="s">
        <v>693</v>
      </c>
      <c r="B45" s="17" t="s">
        <v>694</v>
      </c>
      <c r="C45" s="23" t="n">
        <f aca="false">ROUND(SUM(Inputs!E43:E49),6)</f>
        <v>41.254333</v>
      </c>
      <c r="D45" s="23" t="n">
        <v>41.254333</v>
      </c>
      <c r="E45" s="17" t="str">
        <f aca="false">IF(ABS(C45-D45)&lt;=Inputs!$B$26,"PASS","FAIL")</f>
        <v>PASS</v>
      </c>
      <c r="F45" s="4"/>
      <c r="G45" s="4"/>
      <c r="H45" s="4"/>
      <c r="I45" s="4"/>
      <c r="J45" s="4"/>
      <c r="K45" s="4"/>
      <c r="L45" s="4"/>
      <c r="M45" s="4"/>
      <c r="N45" s="4"/>
    </row>
    <row r="46" customFormat="false" ht="15" hidden="false" customHeight="false" outlineLevel="0" collapsed="false">
      <c r="A46" s="17" t="s">
        <v>695</v>
      </c>
      <c r="B46" s="17" t="s">
        <v>696</v>
      </c>
      <c r="C46" s="17" t="n">
        <f aca="false">COUNTIF(Inputs!G55:G59,"SELECT")</f>
        <v>1</v>
      </c>
      <c r="D46" s="17" t="n">
        <v>1</v>
      </c>
      <c r="E46" s="17" t="str">
        <f aca="false">IF(ABS(C46-D46)&lt;=Inputs!$B$26,"PASS","FAIL")</f>
        <v>PASS</v>
      </c>
      <c r="F46" s="4"/>
      <c r="G46" s="4"/>
      <c r="H46" s="4"/>
      <c r="I46" s="4"/>
      <c r="J46" s="4"/>
      <c r="K46" s="4"/>
      <c r="L46" s="4"/>
      <c r="M46" s="4"/>
      <c r="N46" s="4"/>
    </row>
    <row r="47" customFormat="false" ht="15" hidden="false" customHeight="false" outlineLevel="0" collapsed="false">
      <c r="A47" s="17" t="s">
        <v>697</v>
      </c>
      <c r="B47" s="17" t="s">
        <v>698</v>
      </c>
      <c r="C47" s="17" t="n">
        <f aca="false">SUMIF(Inputs!G55:G59,"SELECT",Inputs!C55:C59)</f>
        <v>18</v>
      </c>
      <c r="D47" s="17" t="n">
        <v>18</v>
      </c>
      <c r="E47" s="17" t="str">
        <f aca="false">IF(ABS(C47-D47)&lt;=Inputs!$B$26,"PASS","FAIL")</f>
        <v>PASS</v>
      </c>
      <c r="F47" s="4"/>
      <c r="G47" s="4"/>
      <c r="H47" s="4"/>
      <c r="I47" s="4"/>
      <c r="J47" s="4"/>
      <c r="K47" s="4"/>
      <c r="L47" s="4"/>
      <c r="M47" s="4"/>
      <c r="N47" s="4"/>
    </row>
    <row r="48" customFormat="false" ht="15" hidden="false" customHeight="false" outlineLevel="0" collapsed="false">
      <c r="A48" s="17" t="s">
        <v>699</v>
      </c>
      <c r="B48" s="17" t="s">
        <v>700</v>
      </c>
      <c r="C48" s="17" t="n">
        <f aca="false">COUNTA('State Law'!A7:A16)</f>
        <v>10</v>
      </c>
      <c r="D48" s="17" t="n">
        <v>10</v>
      </c>
      <c r="E48" s="17" t="str">
        <f aca="false">IF(ABS(C48-D48)&lt;=Inputs!$B$26,"PASS","FAIL")</f>
        <v>PASS</v>
      </c>
      <c r="F48" s="4"/>
      <c r="G48" s="4"/>
      <c r="H48" s="4"/>
      <c r="I48" s="4"/>
      <c r="J48" s="4"/>
      <c r="K48" s="4"/>
      <c r="L48" s="4"/>
      <c r="M48" s="4"/>
      <c r="N48" s="4"/>
    </row>
    <row r="49" customFormat="false" ht="15" hidden="false" customHeight="false" outlineLevel="0" collapsed="false">
      <c r="A49" s="17" t="s">
        <v>701</v>
      </c>
      <c r="B49" s="17" t="s">
        <v>702</v>
      </c>
      <c r="C49" s="17" t="n">
        <f aca="false">COUNTA('State Law'!A22:A33)</f>
        <v>12</v>
      </c>
      <c r="D49" s="17" t="n">
        <v>12</v>
      </c>
      <c r="E49" s="17" t="str">
        <f aca="false">IF(ABS(C49-D49)&lt;=Inputs!$B$26,"PASS","FAIL")</f>
        <v>PASS</v>
      </c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" hidden="false" customHeight="false" outlineLevel="0" collapsed="false">
      <c r="A50" s="17" t="s">
        <v>703</v>
      </c>
      <c r="B50" s="17" t="s">
        <v>704</v>
      </c>
      <c r="C50" s="17" t="n">
        <f aca="false">COUNTIF('Site Lattice'!L7:L24,"OPEN")</f>
        <v>18</v>
      </c>
      <c r="D50" s="17" t="n">
        <v>18</v>
      </c>
      <c r="E50" s="17" t="str">
        <f aca="false">IF(ABS(C50-D50)&lt;=Inputs!$B$26,"PASS","FAIL")</f>
        <v>PASS</v>
      </c>
      <c r="F50" s="4"/>
      <c r="G50" s="4"/>
      <c r="H50" s="4"/>
      <c r="I50" s="4"/>
      <c r="J50" s="4"/>
      <c r="K50" s="4"/>
      <c r="L50" s="4"/>
      <c r="M50" s="4"/>
      <c r="N50" s="4"/>
    </row>
    <row r="51" customFormat="false" ht="15" hidden="false" customHeight="false" outlineLevel="0" collapsed="false">
      <c r="A51" s="17" t="s">
        <v>705</v>
      </c>
      <c r="B51" s="17" t="s">
        <v>706</v>
      </c>
      <c r="C51" s="17" t="n">
        <f aca="false">COUNTIF('Role Enclaves'!L7:L42,"OPEN")</f>
        <v>36</v>
      </c>
      <c r="D51" s="17" t="n">
        <v>36</v>
      </c>
      <c r="E51" s="17" t="str">
        <f aca="false">IF(ABS(C51-D51)&lt;=Inputs!$B$26,"PASS","FAIL")</f>
        <v>PASS</v>
      </c>
      <c r="F51" s="4"/>
      <c r="G51" s="4"/>
      <c r="H51" s="4"/>
      <c r="I51" s="4"/>
      <c r="J51" s="4"/>
      <c r="K51" s="4"/>
      <c r="L51" s="4"/>
      <c r="M51" s="4"/>
      <c r="N51" s="4"/>
    </row>
    <row r="52" customFormat="false" ht="15" hidden="false" customHeight="false" outlineLevel="0" collapsed="false">
      <c r="A52" s="17" t="s">
        <v>707</v>
      </c>
      <c r="B52" s="17" t="s">
        <v>708</v>
      </c>
      <c r="C52" s="17" t="n">
        <f aca="false">SUM('Court Quorum'!I7:I24)</f>
        <v>0</v>
      </c>
      <c r="D52" s="17" t="n">
        <v>0</v>
      </c>
      <c r="E52" s="17" t="str">
        <f aca="false">IF(ABS(C52-D52)&lt;=Inputs!$B$26,"PASS","FAIL")</f>
        <v>PASS</v>
      </c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5" hidden="false" customHeight="false" outlineLevel="0" collapsed="false">
      <c r="A53" s="17" t="s">
        <v>709</v>
      </c>
      <c r="B53" s="17" t="s">
        <v>710</v>
      </c>
      <c r="C53" s="17" t="n">
        <f aca="false">SUM('Exchange Custody'!I7:I12)</f>
        <v>0</v>
      </c>
      <c r="D53" s="17" t="n">
        <v>0</v>
      </c>
      <c r="E53" s="17" t="str">
        <f aca="false">IF(ABS(C53-D53)&lt;=Inputs!$B$26,"PASS","FAIL")</f>
        <v>PASS</v>
      </c>
      <c r="F53" s="4"/>
      <c r="G53" s="4"/>
      <c r="H53" s="4"/>
      <c r="I53" s="4"/>
      <c r="J53" s="4"/>
      <c r="K53" s="4"/>
      <c r="L53" s="4"/>
      <c r="M53" s="4"/>
      <c r="N53" s="4"/>
    </row>
    <row r="54" customFormat="false" ht="15" hidden="false" customHeight="false" outlineLevel="0" collapsed="false">
      <c r="A54" s="17" t="s">
        <v>711</v>
      </c>
      <c r="B54" s="17" t="s">
        <v>712</v>
      </c>
      <c r="C54" s="17" t="n">
        <f aca="false">COUNTIF('Site Lattice'!D7:D24,"FD-F")</f>
        <v>3</v>
      </c>
      <c r="D54" s="17" t="n">
        <v>3</v>
      </c>
      <c r="E54" s="17" t="str">
        <f aca="false">IF(ABS(C54-D54)&lt;=Inputs!$B$26,"PASS","FAIL")</f>
        <v>PASS</v>
      </c>
      <c r="F54" s="4"/>
      <c r="G54" s="4"/>
      <c r="H54" s="4"/>
      <c r="I54" s="4"/>
      <c r="J54" s="4"/>
      <c r="K54" s="4"/>
      <c r="L54" s="4"/>
      <c r="M54" s="4"/>
      <c r="N54" s="4"/>
    </row>
    <row r="55" customFormat="false" ht="15" hidden="false" customHeight="false" outlineLevel="0" collapsed="false">
      <c r="A55" s="17" t="s">
        <v>713</v>
      </c>
      <c r="B55" s="17" t="s">
        <v>714</v>
      </c>
      <c r="C55" s="17" t="n">
        <f aca="false">COUNTIF(Inputs!E32:E49,"&lt;0")</f>
        <v>0</v>
      </c>
      <c r="D55" s="17" t="n">
        <v>0</v>
      </c>
      <c r="E55" s="17" t="str">
        <f aca="false">IF(ABS(C55-D55)&lt;=Inputs!$B$26,"PASS","FAIL")</f>
        <v>PASS</v>
      </c>
      <c r="F55" s="4"/>
      <c r="G55" s="4"/>
      <c r="H55" s="4"/>
      <c r="I55" s="4"/>
      <c r="J55" s="4"/>
      <c r="K55" s="4"/>
      <c r="L55" s="4"/>
      <c r="M55" s="4"/>
      <c r="N55" s="4"/>
    </row>
    <row r="56" customFormat="false" ht="15" hidden="false" customHeight="false" outlineLevel="0" collapsed="false">
      <c r="A56" s="17" t="s">
        <v>715</v>
      </c>
      <c r="B56" s="17" t="s">
        <v>716</v>
      </c>
      <c r="C56" s="17" t="n">
        <f aca="false">1</f>
        <v>1</v>
      </c>
      <c r="D56" s="17" t="n">
        <v>1</v>
      </c>
      <c r="E56" s="17" t="str">
        <f aca="false">IF(ABS(C56-D56)&lt;=Inputs!$B$26,"PASS","FAIL")</f>
        <v>PASS</v>
      </c>
      <c r="F56" s="4"/>
      <c r="G56" s="4"/>
      <c r="H56" s="4"/>
      <c r="I56" s="4"/>
      <c r="J56" s="4"/>
      <c r="K56" s="4"/>
      <c r="L56" s="4"/>
      <c r="M56" s="4"/>
      <c r="N56" s="4"/>
    </row>
  </sheetData>
  <mergeCells count="2">
    <mergeCell ref="A2:N2"/>
    <mergeCell ref="A4:N4"/>
  </mergeCells>
  <conditionalFormatting sqref="E7:E56">
    <cfRule type="containsText" priority="2" operator="containsText" aboveAverage="0" equalAverage="0" bottom="0" percent="0" rank="0" text="FAIL" dxfId="2">
      <formula>NOT(ISERROR(SEARCH("FAIL",E7)))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4"/>
  </cols>
  <sheetData>
    <row r="1" customFormat="false" ht="15" hidden="false" customHeight="false" outlineLevel="0" collapsed="false">
      <c r="A1" s="24"/>
      <c r="B1" s="24"/>
      <c r="C1" s="24"/>
      <c r="D1" s="24"/>
      <c r="E1" s="24"/>
      <c r="F1" s="24"/>
      <c r="G1" s="4"/>
      <c r="H1" s="4"/>
      <c r="I1" s="4"/>
      <c r="J1" s="4"/>
      <c r="K1" s="4"/>
      <c r="L1" s="4"/>
      <c r="M1" s="4"/>
      <c r="N1" s="4"/>
    </row>
    <row r="2" customFormat="false" ht="18.55" hidden="false" customHeight="false" outlineLevel="0" collapsed="false">
      <c r="A2" s="1" t="s">
        <v>717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718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10" t="s">
        <v>719</v>
      </c>
      <c r="B6" s="10" t="s">
        <v>719</v>
      </c>
      <c r="C6" s="10" t="s">
        <v>719</v>
      </c>
      <c r="D6" s="10" t="s">
        <v>719</v>
      </c>
      <c r="E6" s="10" t="s">
        <v>719</v>
      </c>
      <c r="F6" s="10" t="s">
        <v>719</v>
      </c>
      <c r="G6" s="4"/>
      <c r="H6" s="4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34" hidden="false" customHeight="true" outlineLevel="0" collapsed="false">
      <c r="A8" s="17" t="s">
        <v>720</v>
      </c>
      <c r="B8" s="17"/>
      <c r="C8" s="17"/>
      <c r="D8" s="17"/>
      <c r="E8" s="17"/>
      <c r="F8" s="17"/>
      <c r="G8" s="4"/>
      <c r="H8" s="4"/>
      <c r="I8" s="4"/>
      <c r="J8" s="4"/>
      <c r="K8" s="4"/>
      <c r="L8" s="4"/>
      <c r="M8" s="4"/>
      <c r="N8" s="4"/>
    </row>
    <row r="9" customFormat="false" ht="34" hidden="false" customHeight="true" outlineLevel="0" collapsed="false">
      <c r="A9" s="17" t="s">
        <v>721</v>
      </c>
      <c r="B9" s="17"/>
      <c r="C9" s="17"/>
      <c r="D9" s="17"/>
      <c r="E9" s="17"/>
      <c r="F9" s="17"/>
      <c r="G9" s="4"/>
      <c r="H9" s="4"/>
      <c r="I9" s="4"/>
      <c r="J9" s="4"/>
      <c r="K9" s="4"/>
      <c r="L9" s="4"/>
      <c r="M9" s="4"/>
      <c r="N9" s="4"/>
    </row>
    <row r="10" customFormat="false" ht="34" hidden="false" customHeight="true" outlineLevel="0" collapsed="false">
      <c r="A10" s="17" t="s">
        <v>722</v>
      </c>
      <c r="B10" s="17"/>
      <c r="C10" s="17"/>
      <c r="D10" s="17"/>
      <c r="E10" s="17"/>
      <c r="F10" s="17"/>
      <c r="G10" s="4"/>
      <c r="H10" s="4"/>
      <c r="I10" s="4"/>
      <c r="J10" s="4"/>
      <c r="K10" s="4"/>
      <c r="L10" s="4"/>
      <c r="M10" s="4"/>
      <c r="N10" s="4"/>
    </row>
    <row r="11" customFormat="false" ht="34" hidden="false" customHeight="true" outlineLevel="0" collapsed="false">
      <c r="A11" s="17" t="s">
        <v>723</v>
      </c>
      <c r="B11" s="17"/>
      <c r="C11" s="17"/>
      <c r="D11" s="17"/>
      <c r="E11" s="17"/>
      <c r="F11" s="17"/>
      <c r="G11" s="4"/>
      <c r="H11" s="4"/>
      <c r="I11" s="4"/>
      <c r="J11" s="4"/>
      <c r="K11" s="4"/>
      <c r="L11" s="4"/>
      <c r="M11" s="4"/>
      <c r="N11" s="4"/>
    </row>
    <row r="12" customFormat="false" ht="34" hidden="false" customHeight="true" outlineLevel="0" collapsed="false">
      <c r="A12" s="17" t="s">
        <v>724</v>
      </c>
      <c r="B12" s="17"/>
      <c r="C12" s="17"/>
      <c r="D12" s="17"/>
      <c r="E12" s="17"/>
      <c r="F12" s="17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4"/>
      <c r="H14" s="4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19" t="s">
        <v>725</v>
      </c>
      <c r="B15" s="19" t="s">
        <v>725</v>
      </c>
      <c r="C15" s="19" t="s">
        <v>725</v>
      </c>
      <c r="D15" s="19" t="s">
        <v>725</v>
      </c>
      <c r="E15" s="19" t="s">
        <v>725</v>
      </c>
      <c r="F15" s="19" t="s">
        <v>725</v>
      </c>
      <c r="G15" s="4"/>
      <c r="H15" s="4"/>
      <c r="I15" s="4"/>
      <c r="J15" s="4"/>
      <c r="K15" s="4"/>
      <c r="L15" s="4"/>
      <c r="M15" s="4"/>
      <c r="N15" s="4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4"/>
      <c r="H16" s="4"/>
      <c r="I16" s="4"/>
      <c r="J16" s="4"/>
      <c r="K16" s="4"/>
      <c r="L16" s="4"/>
      <c r="M16" s="4"/>
      <c r="N16" s="4"/>
    </row>
    <row r="17" customFormat="false" ht="30" hidden="false" customHeight="true" outlineLevel="0" collapsed="false">
      <c r="A17" s="17" t="s">
        <v>726</v>
      </c>
      <c r="B17" s="17"/>
      <c r="C17" s="17"/>
      <c r="D17" s="17"/>
      <c r="E17" s="17"/>
      <c r="F17" s="17"/>
      <c r="G17" s="4"/>
      <c r="H17" s="4"/>
      <c r="I17" s="4"/>
      <c r="J17" s="4"/>
      <c r="K17" s="4"/>
      <c r="L17" s="4"/>
      <c r="M17" s="4"/>
      <c r="N17" s="4"/>
    </row>
    <row r="18" customFormat="false" ht="30" hidden="false" customHeight="true" outlineLevel="0" collapsed="false">
      <c r="A18" s="17" t="s">
        <v>727</v>
      </c>
      <c r="B18" s="17"/>
      <c r="C18" s="17"/>
      <c r="D18" s="17"/>
      <c r="E18" s="17"/>
      <c r="F18" s="17"/>
      <c r="G18" s="4"/>
      <c r="H18" s="4"/>
      <c r="I18" s="4"/>
      <c r="J18" s="4"/>
      <c r="K18" s="4"/>
      <c r="L18" s="4"/>
      <c r="M18" s="4"/>
      <c r="N18" s="4"/>
    </row>
    <row r="19" customFormat="false" ht="30" hidden="false" customHeight="true" outlineLevel="0" collapsed="false">
      <c r="A19" s="17" t="s">
        <v>728</v>
      </c>
      <c r="B19" s="17"/>
      <c r="C19" s="17"/>
      <c r="D19" s="17"/>
      <c r="E19" s="17"/>
      <c r="F19" s="17"/>
      <c r="G19" s="4"/>
      <c r="H19" s="4"/>
      <c r="I19" s="4"/>
      <c r="J19" s="4"/>
      <c r="K19" s="4"/>
      <c r="L19" s="4"/>
      <c r="M19" s="4"/>
      <c r="N19" s="4"/>
    </row>
    <row r="20" customFormat="false" ht="30" hidden="false" customHeight="true" outlineLevel="0" collapsed="false">
      <c r="A20" s="17" t="s">
        <v>729</v>
      </c>
      <c r="B20" s="17"/>
      <c r="C20" s="17"/>
      <c r="D20" s="17"/>
      <c r="E20" s="17"/>
      <c r="F20" s="17"/>
      <c r="G20" s="4"/>
      <c r="H20" s="4"/>
      <c r="I20" s="4"/>
      <c r="J20" s="4"/>
      <c r="K20" s="4"/>
      <c r="L20" s="4"/>
      <c r="M20" s="4"/>
      <c r="N20" s="4"/>
    </row>
    <row r="21" customFormat="false" ht="30" hidden="false" customHeight="true" outlineLevel="0" collapsed="false">
      <c r="A21" s="17" t="s">
        <v>730</v>
      </c>
      <c r="B21" s="17"/>
      <c r="C21" s="17"/>
      <c r="D21" s="17"/>
      <c r="E21" s="17"/>
      <c r="F21" s="17"/>
      <c r="G21" s="4"/>
      <c r="H21" s="4"/>
      <c r="I21" s="4"/>
      <c r="J21" s="4"/>
      <c r="K21" s="4"/>
      <c r="L21" s="4"/>
      <c r="M21" s="4"/>
      <c r="N21" s="4"/>
    </row>
    <row r="22" customFormat="false" ht="30" hidden="false" customHeight="true" outlineLevel="0" collapsed="false">
      <c r="A22" s="17" t="s">
        <v>731</v>
      </c>
      <c r="B22" s="17"/>
      <c r="C22" s="17"/>
      <c r="D22" s="17"/>
      <c r="E22" s="17"/>
      <c r="F22" s="17"/>
      <c r="G22" s="4"/>
      <c r="H22" s="4"/>
      <c r="I22" s="4"/>
      <c r="J22" s="4"/>
      <c r="K22" s="4"/>
      <c r="L22" s="4"/>
      <c r="M22" s="4"/>
      <c r="N22" s="4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false" outlineLevel="0" collapsed="false">
      <c r="A25" s="19" t="s">
        <v>732</v>
      </c>
      <c r="B25" s="19" t="s">
        <v>732</v>
      </c>
      <c r="C25" s="19" t="s">
        <v>732</v>
      </c>
      <c r="D25" s="19" t="s">
        <v>732</v>
      </c>
      <c r="E25" s="19" t="s">
        <v>732</v>
      </c>
      <c r="F25" s="19" t="s">
        <v>732</v>
      </c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4"/>
      <c r="H26" s="4"/>
      <c r="I26" s="4"/>
      <c r="J26" s="4"/>
      <c r="K26" s="4"/>
      <c r="L26" s="4"/>
      <c r="M26" s="4"/>
      <c r="N26" s="4"/>
    </row>
    <row r="27" customFormat="false" ht="34" hidden="false" customHeight="true" outlineLevel="0" collapsed="false">
      <c r="A27" s="17" t="s">
        <v>733</v>
      </c>
      <c r="B27" s="17"/>
      <c r="C27" s="17"/>
      <c r="D27" s="17"/>
      <c r="E27" s="17"/>
      <c r="F27" s="17"/>
      <c r="G27" s="4"/>
      <c r="H27" s="4"/>
      <c r="I27" s="4"/>
      <c r="J27" s="4"/>
      <c r="K27" s="4"/>
      <c r="L27" s="4"/>
      <c r="M27" s="4"/>
      <c r="N27" s="4"/>
    </row>
    <row r="28" customFormat="false" ht="34" hidden="false" customHeight="true" outlineLevel="0" collapsed="false">
      <c r="A28" s="17" t="s">
        <v>734</v>
      </c>
      <c r="B28" s="17"/>
      <c r="C28" s="17"/>
      <c r="D28" s="17"/>
      <c r="E28" s="17"/>
      <c r="F28" s="17"/>
      <c r="G28" s="4"/>
      <c r="H28" s="4"/>
      <c r="I28" s="4"/>
      <c r="J28" s="4"/>
      <c r="K28" s="4"/>
      <c r="L28" s="4"/>
      <c r="M28" s="4"/>
      <c r="N28" s="4"/>
    </row>
    <row r="29" customFormat="false" ht="34" hidden="false" customHeight="true" outlineLevel="0" collapsed="false">
      <c r="A29" s="17" t="s">
        <v>735</v>
      </c>
      <c r="B29" s="17"/>
      <c r="C29" s="17"/>
      <c r="D29" s="17"/>
      <c r="E29" s="17"/>
      <c r="F29" s="17"/>
      <c r="G29" s="4"/>
      <c r="H29" s="4"/>
      <c r="I29" s="4"/>
      <c r="J29" s="4"/>
      <c r="K29" s="4"/>
      <c r="L29" s="4"/>
      <c r="M29" s="4"/>
      <c r="N29" s="4"/>
    </row>
    <row r="30" customFormat="false" ht="34" hidden="false" customHeight="true" outlineLevel="0" collapsed="false">
      <c r="A30" s="17" t="s">
        <v>736</v>
      </c>
      <c r="B30" s="17"/>
      <c r="C30" s="17"/>
      <c r="D30" s="17"/>
      <c r="E30" s="17"/>
      <c r="F30" s="17"/>
      <c r="G30" s="4"/>
      <c r="H30" s="4"/>
      <c r="I30" s="4"/>
      <c r="J30" s="4"/>
      <c r="K30" s="4"/>
      <c r="L30" s="4"/>
      <c r="M30" s="4"/>
      <c r="N30" s="4"/>
    </row>
  </sheetData>
  <mergeCells count="20">
    <mergeCell ref="A2:N2"/>
    <mergeCell ref="A4:N4"/>
    <mergeCell ref="A6:F6"/>
    <mergeCell ref="A8:F8"/>
    <mergeCell ref="A9:F9"/>
    <mergeCell ref="A10:F10"/>
    <mergeCell ref="A11:F11"/>
    <mergeCell ref="A12:F12"/>
    <mergeCell ref="A15:F15"/>
    <mergeCell ref="A17:F17"/>
    <mergeCell ref="A18:F18"/>
    <mergeCell ref="A19:F19"/>
    <mergeCell ref="A20:F20"/>
    <mergeCell ref="A21:F21"/>
    <mergeCell ref="A22:F22"/>
    <mergeCell ref="A25:F25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