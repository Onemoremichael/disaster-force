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Decision Tests" sheetId="2" state="visible" r:id="rId4"/>
    <sheet name="Precedence" sheetId="3" state="visible" r:id="rId5"/>
    <sheet name="Package Register" sheetId="4" state="visible" r:id="rId6"/>
    <sheet name="Validity Gates" sheetId="5" state="visible" r:id="rId7"/>
    <sheet name="Claim Register" sheetId="6" state="visible" r:id="rId8"/>
    <sheet name="Authority Separation" sheetId="7" state="visible" r:id="rId9"/>
    <sheet name="Nonconversions" sheetId="8" state="visible" r:id="rId10"/>
    <sheet name="Expiry Routes" sheetId="9" state="visible" r:id="rId11"/>
    <sheet name="Rollback Routes" sheetId="10" state="visible" r:id="rId12"/>
    <sheet name="Termination Routes" sheetId="11" state="visible" r:id="rId13"/>
    <sheet name="Stress Worlds" sheetId="12" state="visible" r:id="rId14"/>
    <sheet name="Finance" sheetId="13" state="visible" r:id="rId15"/>
    <sheet name="Return Ledger" sheetId="14" state="visible" r:id="rId16"/>
    <sheet name="Inputs" sheetId="15" state="visible" r:id="rId17"/>
    <sheet name="Mutations" sheetId="16" state="visible" r:id="rId18"/>
    <sheet name="Audit" sheetId="17" state="visible" r:id="rId19"/>
    <sheet name="ReadMe" sheetId="18" state="visible" r:id="rId2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<sst xmlns="http://schemas.openxmlformats.org/spreadsheetml/2006/main" count="4574" uniqueCount="1939">
  <si>
    <t xml:space="preserve">Artifact Validity Authority Terminal Compact</t>
  </si>
  <si>
    <t xml:space="preserve">AVA-TC reconciles funded design, reconstructability, estate availability, commissioning, validity and payment without creating evidence or production authority.</t>
  </si>
  <si>
    <t xml:space="preserve">Terminal decision</t>
  </si>
  <si>
    <t xml:space="preserve">Authority record</t>
  </si>
  <si>
    <t xml:space="preserve">Current count</t>
  </si>
  <si>
    <t xml:space="preserve">Issued learning warrants</t>
  </si>
  <si>
    <t xml:space="preserve">Selected compact</t>
  </si>
  <si>
    <t xml:space="preserve">AVA-TC</t>
  </si>
  <si>
    <t xml:space="preserve">Active form cells</t>
  </si>
  <si>
    <t xml:space="preserve">Verdict</t>
  </si>
  <si>
    <t xml:space="preserve">RETURN</t>
  </si>
  <si>
    <t xml:space="preserve">Active packages</t>
  </si>
  <si>
    <t xml:space="preserve">AVA branch</t>
  </si>
  <si>
    <t xml:space="preserve">5 of 5</t>
  </si>
  <si>
    <t xml:space="preserve">Artifact Validity Warrants</t>
  </si>
  <si>
    <t xml:space="preserve">Finance Disbursement Warrants</t>
  </si>
  <si>
    <t xml:space="preserve">Validity gate records</t>
  </si>
  <si>
    <t xml:space="preserve">Accepted observations</t>
  </si>
  <si>
    <t xml:space="preserve">Current gates passed</t>
  </si>
  <si>
    <t xml:space="preserve">Selected forms</t>
  </si>
  <si>
    <t xml:space="preserve">Current AVWs</t>
  </si>
  <si>
    <t xml:space="preserve">MAKE warrants</t>
  </si>
  <si>
    <t xml:space="preserve">Current FDWs</t>
  </si>
  <si>
    <t xml:space="preserve">REP-4 records</t>
  </si>
  <si>
    <t xml:space="preserve">Current payments</t>
  </si>
  <si>
    <t xml:space="preserve">Running open items</t>
  </si>
  <si>
    <t xml:space="preserve">Controlling boundary</t>
  </si>
  <si>
    <t xml:space="preserve">Unit of validity</t>
  </si>
  <si>
    <t xml:space="preserve">one package; never a whole form</t>
  </si>
  <si>
    <t xml:space="preserve">Validity condition</t>
  </si>
  <si>
    <t xml:space="preserve">twelve gates plus dual reconstruction plus available estate and NDW</t>
  </si>
  <si>
    <t xml:space="preserve">Payment condition</t>
  </si>
  <si>
    <t xml:space="preserve">package AVW plus accepted milestone plus separate FDW</t>
  </si>
  <si>
    <t xml:space="preserve">Fatal condition</t>
  </si>
  <si>
    <t xml:space="preserve">common control, leakage, truth displacement or prohibited conversion</t>
  </si>
  <si>
    <t xml:space="preserve">Finance</t>
  </si>
  <si>
    <t xml:space="preserve">USD179M obligation; USD359M sibling reserve; USD540M nested capital ceiling</t>
  </si>
  <si>
    <t xml:space="preserve">Present fact</t>
  </si>
  <si>
    <t xml:space="preserve">thirty packages are funded work; no artifact, payment, evidence, MAKE or REP-4 exists</t>
  </si>
  <si>
    <t xml:space="preserve">Model status</t>
  </si>
  <si>
    <t xml:space="preserve">Candidate compacts</t>
  </si>
  <si>
    <t xml:space="preserve">Selected candidates</t>
  </si>
  <si>
    <t xml:space="preserve">Separation rules</t>
  </si>
  <si>
    <t xml:space="preserve">Nonconversions</t>
  </si>
  <si>
    <t xml:space="preserve">Expiry routes</t>
  </si>
  <si>
    <t xml:space="preserve">Rollback routes</t>
  </si>
  <si>
    <t xml:space="preserve">Termination routes</t>
  </si>
  <si>
    <t xml:space="preserve">Stress worlds</t>
  </si>
  <si>
    <t xml:space="preserve">Stress results passing</t>
  </si>
  <si>
    <t xml:space="preserve">Terminal compact decision</t>
  </si>
  <si>
    <t xml:space="preserve">A candidate must pass every hard gate. Scores do not compensate for a failed constitutional boundary.</t>
  </si>
  <si>
    <t xml:space="preserve">Candidate</t>
  </si>
  <si>
    <t xml:space="preserve">Architecture</t>
  </si>
  <si>
    <t xml:space="preserve">Package-level validity</t>
  </si>
  <si>
    <t xml:space="preserve">Dual reconstruction</t>
  </si>
  <si>
    <t xml:space="preserve">Root-native courts</t>
  </si>
  <si>
    <t xml:space="preserve">Commissioned estate</t>
  </si>
  <si>
    <t xml:space="preserve">Separated payment</t>
  </si>
  <si>
    <t xml:space="preserve">Zero evidence conversion</t>
  </si>
  <si>
    <t xml:space="preserve">Common-control termination</t>
  </si>
  <si>
    <t xml:space="preserve">Explicit expiry</t>
  </si>
  <si>
    <t xml:space="preserve">Sibling reserve</t>
  </si>
  <si>
    <t xml:space="preserve">Terminal return</t>
  </si>
  <si>
    <t xml:space="preserve">Passed</t>
  </si>
  <si>
    <t xml:space="preserve">Disposition</t>
  </si>
  <si>
    <t xml:space="preserve">C1</t>
  </si>
  <si>
    <t xml:space="preserve">Unified artifact office</t>
  </si>
  <si>
    <t xml:space="preserve">C2</t>
  </si>
  <si>
    <t xml:space="preserve">Contract acceptance chain</t>
  </si>
  <si>
    <t xml:space="preserve">C3</t>
  </si>
  <si>
    <t xml:space="preserve">Automated hash gate</t>
  </si>
  <si>
    <t xml:space="preserve">C4</t>
  </si>
  <si>
    <t xml:space="preserve">Validity-to-evidence bridge</t>
  </si>
  <si>
    <t xml:space="preserve">C5</t>
  </si>
  <si>
    <t xml:space="preserve">Federated typed-warrant compact</t>
  </si>
  <si>
    <t xml:space="preserve">Controlling interpretation</t>
  </si>
  <si>
    <t xml:space="preserve">Selected object</t>
  </si>
  <si>
    <t xml:space="preserve">Integration rule</t>
  </si>
  <si>
    <t xml:space="preserve">Typed precedence</t>
  </si>
  <si>
    <t xml:space="preserve">A predecessor may be a prerequisite but never transfers its authority</t>
  </si>
  <si>
    <t xml:space="preserve">Terminal boundary</t>
  </si>
  <si>
    <t xml:space="preserve">The branch closes its only item, opens none and returns to the registered cohort-one parent</t>
  </si>
  <si>
    <t xml:space="preserve">Current effect</t>
  </si>
  <si>
    <t xml:space="preserve">ZERO</t>
  </si>
  <si>
    <t xml:space="preserve">No artifact, payment, observation, selection, MAKE or REP-4 authority advances</t>
  </si>
  <si>
    <t xml:space="preserve">Typed precedence and warrant stack</t>
  </si>
  <si>
    <t xml:space="preserve">An instrument may consume a predecessor as a prerequisite. It cannot inherit any authority the predecessor did not possess.</t>
  </si>
  <si>
    <t xml:space="preserve">Order</t>
  </si>
  <si>
    <t xml:space="preserve">Instrument</t>
  </si>
  <si>
    <t xml:space="preserve">Source</t>
  </si>
  <si>
    <t xml:space="preserve">Unit</t>
  </si>
  <si>
    <t xml:space="preserve">Prerequisite</t>
  </si>
  <si>
    <t xml:space="preserve">Authority created</t>
  </si>
  <si>
    <t xml:space="preserve">Cannot create</t>
  </si>
  <si>
    <t xml:space="preserve">Expiry basis</t>
  </si>
  <si>
    <t xml:space="preserve">Current state</t>
  </si>
  <si>
    <t xml:space="preserve">Selection covenant</t>
  </si>
  <si>
    <t xml:space="preserve">Pass 225</t>
  </si>
  <si>
    <t xml:space="preserve">18 forms</t>
  </si>
  <si>
    <t xml:space="preserve">registered form</t>
  </si>
  <si>
    <t xml:space="preserve">future evidence disposition</t>
  </si>
  <si>
    <t xml:space="preserve">artifact validity or payment</t>
  </si>
  <si>
    <t xml:space="preserve">supersession</t>
  </si>
  <si>
    <t xml:space="preserve">CONSTITUTED</t>
  </si>
  <si>
    <t xml:space="preserve">Parallel FRAME authority</t>
  </si>
  <si>
    <t xml:space="preserve">Pass 226</t>
  </si>
  <si>
    <t xml:space="preserve">selection covenant</t>
  </si>
  <si>
    <t xml:space="preserve">bounded design eligibility</t>
  </si>
  <si>
    <t xml:space="preserve">obligation or selection</t>
  </si>
  <si>
    <t xml:space="preserve">warrant expiry</t>
  </si>
  <si>
    <t xml:space="preserve">ISSUED</t>
  </si>
  <si>
    <t xml:space="preserve">Balanced cohort schedule</t>
  </si>
  <si>
    <t xml:space="preserve">Pass 227</t>
  </si>
  <si>
    <t xml:space="preserve">3 cohorts</t>
  </si>
  <si>
    <t xml:space="preserve">issued warrants</t>
  </si>
  <si>
    <t xml:space="preserve">activation order</t>
  </si>
  <si>
    <t xml:space="preserve">performance priority</t>
  </si>
  <si>
    <t xml:space="preserve">schedule supersession</t>
  </si>
  <si>
    <t xml:space="preserve">ACTIVE</t>
  </si>
  <si>
    <t xml:space="preserve">Root safety-change route</t>
  </si>
  <si>
    <t xml:space="preserve">Pass 228</t>
  </si>
  <si>
    <t xml:space="preserve">6 roots</t>
  </si>
  <si>
    <t xml:space="preserve">source-blind burden</t>
  </si>
  <si>
    <t xml:space="preserve">root epoch translation</t>
  </si>
  <si>
    <t xml:space="preserve">relative performance</t>
  </si>
  <si>
    <t xml:space="preserve">epoch supersession</t>
  </si>
  <si>
    <t xml:space="preserve">CEW-1</t>
  </si>
  <si>
    <t xml:space="preserve">Pass 229</t>
  </si>
  <si>
    <t xml:space="preserve">30 packages</t>
  </si>
  <si>
    <t xml:space="preserve">twelve form gates</t>
  </si>
  <si>
    <t xml:space="preserve">work and obligation</t>
  </si>
  <si>
    <t xml:space="preserve">cohort termination</t>
  </si>
  <si>
    <t xml:space="preserve">FSA-TC</t>
  </si>
  <si>
    <t xml:space="preserve">Pass 230</t>
  </si>
  <si>
    <t xml:space="preserve">1 compact</t>
  </si>
  <si>
    <t xml:space="preserve">five FSA decisions</t>
  </si>
  <si>
    <t xml:space="preserve">pre-evidence precedence</t>
  </si>
  <si>
    <t xml:space="preserve">evidence or selection</t>
  </si>
  <si>
    <t xml:space="preserve">parent supersession</t>
  </si>
  <si>
    <t xml:space="preserve">AUTHORITATIVE</t>
  </si>
  <si>
    <t xml:space="preserve">AVC-1</t>
  </si>
  <si>
    <t xml:space="preserve">Pass 231</t>
  </si>
  <si>
    <t xml:space="preserve">active package</t>
  </si>
  <si>
    <t xml:space="preserve">validity and finance grammar</t>
  </si>
  <si>
    <t xml:space="preserve">physical correctness</t>
  </si>
  <si>
    <t xml:space="preserve">compact supersession</t>
  </si>
  <si>
    <t xml:space="preserve">DRG-1</t>
  </si>
  <si>
    <t xml:space="preserve">Pass 232</t>
  </si>
  <si>
    <t xml:space="preserve">source capsule</t>
  </si>
  <si>
    <t xml:space="preserve">dual reconstruction</t>
  </si>
  <si>
    <t xml:space="preserve">physical evidence</t>
  </si>
  <si>
    <t xml:space="preserve">capsule supersession</t>
  </si>
  <si>
    <t xml:space="preserve">FAE-1</t>
  </si>
  <si>
    <t xml:space="preserve">Pass 233</t>
  </si>
  <si>
    <t xml:space="preserve">estate topology</t>
  </si>
  <si>
    <t xml:space="preserve">failure-tolerant venue</t>
  </si>
  <si>
    <t xml:space="preserve">commissioning</t>
  </si>
  <si>
    <t xml:space="preserve">topology supersession</t>
  </si>
  <si>
    <t xml:space="preserve">CNW-1</t>
  </si>
  <si>
    <t xml:space="preserve">Pass 234</t>
  </si>
  <si>
    <t xml:space="preserve">18 sites</t>
  </si>
  <si>
    <t xml:space="preserve">site docket</t>
  </si>
  <si>
    <t xml:space="preserve">commissioning route</t>
  </si>
  <si>
    <t xml:space="preserve">artifact validity</t>
  </si>
  <si>
    <t xml:space="preserve">NDW expiry</t>
  </si>
  <si>
    <t xml:space="preserve">Site admission</t>
  </si>
  <si>
    <t xml:space="preserve">admitted place</t>
  </si>
  <si>
    <t xml:space="preserve">site identity</t>
  </si>
  <si>
    <t xml:space="preserve">independence</t>
  </si>
  <si>
    <t xml:space="preserve">site change</t>
  </si>
  <si>
    <t xml:space="preserve">OPEN</t>
  </si>
  <si>
    <t xml:space="preserve">Role appointment</t>
  </si>
  <si>
    <t xml:space="preserve">96 posts</t>
  </si>
  <si>
    <t xml:space="preserve">control clearance</t>
  </si>
  <si>
    <t xml:space="preserve">bounded office</t>
  </si>
  <si>
    <t xml:space="preserve">key validity</t>
  </si>
  <si>
    <t xml:space="preserve">appointment expiry</t>
  </si>
  <si>
    <t xml:space="preserve">Key ceremony</t>
  </si>
  <si>
    <t xml:space="preserve">78 records</t>
  </si>
  <si>
    <t xml:space="preserve">separated roles</t>
  </si>
  <si>
    <t xml:space="preserve">purpose-bound custody</t>
  </si>
  <si>
    <t xml:space="preserve">key compromise</t>
  </si>
  <si>
    <t xml:space="preserve">Non-displacement warrant</t>
  </si>
  <si>
    <t xml:space="preserve">measured trial</t>
  </si>
  <si>
    <t xml:space="preserve">capacity reservation</t>
  </si>
  <si>
    <t xml:space="preserve">root availability</t>
  </si>
  <si>
    <t xml:space="preserve">capacity change</t>
  </si>
  <si>
    <t xml:space="preserve">Root availability warrant</t>
  </si>
  <si>
    <t xml:space="preserve">three site warrants</t>
  </si>
  <si>
    <t xml:space="preserve">estate activation</t>
  </si>
  <si>
    <t xml:space="preserve">package validity</t>
  </si>
  <si>
    <t xml:space="preserve">site warrant expiry</t>
  </si>
  <si>
    <t xml:space="preserve">Source-capsule receipt</t>
  </si>
  <si>
    <t xml:space="preserve">eighteen fields</t>
  </si>
  <si>
    <t xml:space="preserve">custody admission</t>
  </si>
  <si>
    <t xml:space="preserve">reproducibility</t>
  </si>
  <si>
    <t xml:space="preserve">Native replay record</t>
  </si>
  <si>
    <t xml:space="preserve">sealed capsule</t>
  </si>
  <si>
    <t xml:space="preserve">deterministic identity</t>
  </si>
  <si>
    <t xml:space="preserve">clean independence</t>
  </si>
  <si>
    <t xml:space="preserve">dependency change</t>
  </si>
  <si>
    <t xml:space="preserve">Clean reconstruction record</t>
  </si>
  <si>
    <t xml:space="preserve">public contract</t>
  </si>
  <si>
    <t xml:space="preserve">independent meaning</t>
  </si>
  <si>
    <t xml:space="preserve">native identity</t>
  </si>
  <si>
    <t xml:space="preserve">toolchain change</t>
  </si>
  <si>
    <t xml:space="preserve">Divergence disposition</t>
  </si>
  <si>
    <t xml:space="preserve">two committed paths</t>
  </si>
  <si>
    <t xml:space="preserve">semantic resolution</t>
  </si>
  <si>
    <t xml:space="preserve">material divergence</t>
  </si>
  <si>
    <t xml:space="preserve">Artifact Validity Warrant</t>
  </si>
  <si>
    <t xml:space="preserve">all validity conditions</t>
  </si>
  <si>
    <t xml:space="preserve">reproducible artifact</t>
  </si>
  <si>
    <t xml:space="preserve">observation or selection</t>
  </si>
  <si>
    <t xml:space="preserve">configuration change</t>
  </si>
  <si>
    <t xml:space="preserve">Milestone acceptance</t>
  </si>
  <si>
    <t xml:space="preserve">180 claims</t>
  </si>
  <si>
    <t xml:space="preserve">valid artifact</t>
  </si>
  <si>
    <t xml:space="preserve">finance review input</t>
  </si>
  <si>
    <t xml:space="preserve">payment</t>
  </si>
  <si>
    <t xml:space="preserve">claim expiry</t>
  </si>
  <si>
    <t xml:space="preserve">Finance Disbursement Warrant</t>
  </si>
  <si>
    <t xml:space="preserve">AVW and milestone</t>
  </si>
  <si>
    <t xml:space="preserve">payment eligibility</t>
  </si>
  <si>
    <t xml:space="preserve">evidence</t>
  </si>
  <si>
    <t xml:space="preserve">ceiling change</t>
  </si>
  <si>
    <t xml:space="preserve">Payment instruction</t>
  </si>
  <si>
    <t xml:space="preserve">AVW and FDW</t>
  </si>
  <si>
    <t xml:space="preserve">cash finality</t>
  </si>
  <si>
    <t xml:space="preserve">technical credit</t>
  </si>
  <si>
    <t xml:space="preserve">payment execution</t>
  </si>
  <si>
    <t xml:space="preserve">Evidence admission</t>
  </si>
  <si>
    <t xml:space="preserve">Parent authority</t>
  </si>
  <si>
    <t xml:space="preserve">future events</t>
  </si>
  <si>
    <t xml:space="preserve">Evidence Court warrant</t>
  </si>
  <si>
    <t xml:space="preserve">observation record</t>
  </si>
  <si>
    <t xml:space="preserve">event disposition</t>
  </si>
  <si>
    <t xml:space="preserve">HELD</t>
  </si>
  <si>
    <t xml:space="preserve">Form selection</t>
  </si>
  <si>
    <t xml:space="preserve">complete evidence</t>
  </si>
  <si>
    <t xml:space="preserve">comparative disposition</t>
  </si>
  <si>
    <t xml:space="preserve">production</t>
  </si>
  <si>
    <t xml:space="preserve">selection expiry</t>
  </si>
  <si>
    <t xml:space="preserve">MAKE warrant</t>
  </si>
  <si>
    <t xml:space="preserve">future articles</t>
  </si>
  <si>
    <t xml:space="preserve">separate construction authority</t>
  </si>
  <si>
    <t xml:space="preserve">physical build</t>
  </si>
  <si>
    <t xml:space="preserve">REP-4 record</t>
  </si>
  <si>
    <t xml:space="preserve">as-built metrology authority</t>
  </si>
  <si>
    <t xml:space="preserve">bounded representation</t>
  </si>
  <si>
    <t xml:space="preserve">readiness</t>
  </si>
  <si>
    <t xml:space="preserve">record supersession</t>
  </si>
  <si>
    <t xml:space="preserve">Cohort-one package register</t>
  </si>
  <si>
    <t xml:space="preserve">Thirty funded packages are active work. None is currently a valid artifact or payable claim.</t>
  </si>
  <si>
    <t xml:space="preserve">Package</t>
  </si>
  <si>
    <t xml:space="preserve">Form</t>
  </si>
  <si>
    <t xml:space="preserve">Root</t>
  </si>
  <si>
    <t xml:space="preserve">Family</t>
  </si>
  <si>
    <t xml:space="preserve">Work package</t>
  </si>
  <si>
    <t xml:space="preserve">Ceiling (USD M)</t>
  </si>
  <si>
    <t xml:space="preserve">Obligated</t>
  </si>
  <si>
    <t xml:space="preserve">Gates passed</t>
  </si>
  <si>
    <t xml:space="preserve">Capsule fields</t>
  </si>
  <si>
    <t xml:space="preserve">Native stages</t>
  </si>
  <si>
    <t xml:space="preserve">Clean stages</t>
  </si>
  <si>
    <t xml:space="preserve">Invariants</t>
  </si>
  <si>
    <t xml:space="preserve">AVW</t>
  </si>
  <si>
    <t xml:space="preserve">Package state</t>
  </si>
  <si>
    <t xml:space="preserve">P01</t>
  </si>
  <si>
    <t xml:space="preserve">ET-A-A</t>
  </si>
  <si>
    <t xml:space="preserve">ET-A</t>
  </si>
  <si>
    <t xml:space="preserve">METHOD</t>
  </si>
  <si>
    <t xml:space="preserve">Event method and denominator</t>
  </si>
  <si>
    <t xml:space="preserve">P02</t>
  </si>
  <si>
    <t xml:space="preserve">MEASURE</t>
  </si>
  <si>
    <t xml:space="preserve">Instrumentation, custody and validity</t>
  </si>
  <si>
    <t xml:space="preserve">P03</t>
  </si>
  <si>
    <t xml:space="preserve">CIVIL</t>
  </si>
  <si>
    <t xml:space="preserve">Rights, receiver and residual closure</t>
  </si>
  <si>
    <t xml:space="preserve">P04</t>
  </si>
  <si>
    <t xml:space="preserve">ARTICLE</t>
  </si>
  <si>
    <t xml:space="preserve">Destructive-article engineering</t>
  </si>
  <si>
    <t xml:space="preserve">P05</t>
  </si>
  <si>
    <t xml:space="preserve">REBUILD</t>
  </si>
  <si>
    <t xml:space="preserve">Cold reconstruction and challenge</t>
  </si>
  <si>
    <t xml:space="preserve">P06</t>
  </si>
  <si>
    <t xml:space="preserve">CT-C-B</t>
  </si>
  <si>
    <t xml:space="preserve">CT-C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</si>
  <si>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</si>
  <si>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</si>
  <si>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</si>
  <si>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</si>
  <si>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</si>
  <si>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HC-A-C</t>
  </si>
  <si>
    <t xml:space="preserve">HC-A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</si>
  <si>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</si>
  <si>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</si>
  <si>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</si>
  <si>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</si>
  <si>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</si>
  <si>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LF-B-A</t>
  </si>
  <si>
    <t xml:space="preserve">LF-B</t>
  </si>
  <si>
    <t xml:space="preserve">P17</t>
  </si>
  <si>
    <t xml:space="preserve">P18</t>
  </si>
  <si>
    <t xml:space="preserve">P19</t>
  </si>
  <si>
    <t xml:space="preserve">P20</t>
  </si>
  <si>
    <t xml:space="preserve">P21</t>
  </si>
  <si>
    <t xml:space="preserve">HU-A-B</t>
  </si>
  <si>
    <t xml:space="preserve">HU-A</t>
  </si>
  <si>
    <t xml:space="preserve">P22</t>
  </si>
  <si>
    <t xml:space="preserve">P23</t>
  </si>
  <si>
    <t xml:space="preserve">P24</t>
  </si>
  <si>
    <t xml:space="preserve">P25</t>
  </si>
  <si>
    <t xml:space="preserve">P26</t>
  </si>
  <si>
    <t xml:space="preserve">RT-B-C</t>
  </si>
  <si>
    <t xml:space="preserve">RT-B</t>
  </si>
  <si>
    <t xml:space="preserve">P27</t>
  </si>
  <si>
    <t xml:space="preserve">P28</t>
  </si>
  <si>
    <t xml:space="preserve">P29</t>
  </si>
  <si>
    <t xml:space="preserve">P30</t>
  </si>
  <si>
    <t xml:space="preserve">Package validity gates</t>
  </si>
  <si>
    <t xml:space="preserve">Twelve gates are noncompensatory. Only the sixty inherited constitutional gates pass; all package-content gates remain open.</t>
  </si>
  <si>
    <t xml:space="preserve">Record</t>
  </si>
  <si>
    <t xml:space="preserve">Gate</t>
  </si>
  <si>
    <t xml:space="preserve">Requirement</t>
  </si>
  <si>
    <t xml:space="preserve">Required</t>
  </si>
  <si>
    <t xml:space="preserve">Current</t>
  </si>
  <si>
    <t xml:space="preserve">Status</t>
  </si>
  <si>
    <t xml:space="preserve">VG001</t>
  </si>
  <si>
    <t xml:space="preserve">G01</t>
  </si>
  <si>
    <t xml:space="preserve">Source manifest</t>
  </si>
  <si>
    <t xml:space="preserve">VG002</t>
  </si>
  <si>
    <t xml:space="preserve">G02</t>
  </si>
  <si>
    <t xml:space="preserve">Frozen configuration hash</t>
  </si>
  <si>
    <t xml:space="preserve">VG003</t>
  </si>
  <si>
    <t xml:space="preserve">G03</t>
  </si>
  <si>
    <t xml:space="preserve">Executable native artifact</t>
  </si>
  <si>
    <t xml:space="preserve">VG004</t>
  </si>
  <si>
    <t xml:space="preserve">G04</t>
  </si>
  <si>
    <t xml:space="preserve">Dependency, tool and material ledger</t>
  </si>
  <si>
    <t xml:space="preserve">VG005</t>
  </si>
  <si>
    <t xml:space="preserve">G05</t>
  </si>
  <si>
    <t xml:space="preserve">Assumptions and unknowns</t>
  </si>
  <si>
    <t xml:space="preserve">VG006</t>
  </si>
  <si>
    <t xml:space="preserve">G06</t>
  </si>
  <si>
    <t xml:space="preserve">Independent clean-room replay</t>
  </si>
  <si>
    <t xml:space="preserve">AVC-1 / DRG-1</t>
  </si>
  <si>
    <t xml:space="preserve">VG007</t>
  </si>
  <si>
    <t xml:space="preserve">G07</t>
  </si>
  <si>
    <t xml:space="preserve">Interface and destructive-test trace</t>
  </si>
  <si>
    <t xml:space="preserve">VG008</t>
  </si>
  <si>
    <t xml:space="preserve">G08</t>
  </si>
  <si>
    <t xml:space="preserve">Rights and safe-state closure</t>
  </si>
  <si>
    <t xml:space="preserve">VG009</t>
  </si>
  <si>
    <t xml:space="preserve">G09</t>
  </si>
  <si>
    <t xml:space="preserve">Receiver and residual closure</t>
  </si>
  <si>
    <t xml:space="preserve">VG010</t>
  </si>
  <si>
    <t xml:space="preserve">G10</t>
  </si>
  <si>
    <t xml:space="preserve">Challenge response and terminal archive</t>
  </si>
  <si>
    <t xml:space="preserve">VG011</t>
  </si>
  <si>
    <t xml:space="preserve">G11</t>
  </si>
  <si>
    <t xml:space="preserve">No sibling performance exposure</t>
  </si>
  <si>
    <t xml:space="preserve">AVC-1 / FSA-TC</t>
  </si>
  <si>
    <t xml:space="preserve">VG012</t>
  </si>
  <si>
    <t xml:space="preserve">G12</t>
  </si>
  <si>
    <t xml:space="preserve">Separated builder-validity control</t>
  </si>
  <si>
    <t xml:space="preserve">VG013</t>
  </si>
  <si>
    <t xml:space="preserve">VG014</t>
  </si>
  <si>
    <t xml:space="preserve">VG015</t>
  </si>
  <si>
    <t xml:space="preserve">VG016</t>
  </si>
  <si>
    <t xml:space="preserve">VG017</t>
  </si>
  <si>
    <t xml:space="preserve">VG018</t>
  </si>
  <si>
    <t xml:space="preserve">VG019</t>
  </si>
  <si>
    <t xml:space="preserve">VG020</t>
  </si>
  <si>
    <t xml:space="preserve">VG021</t>
  </si>
  <si>
    <t xml:space="preserve">VG022</t>
  </si>
  <si>
    <t xml:space="preserve">VG023</t>
  </si>
  <si>
    <t xml:space="preserve">VG024</t>
  </si>
  <si>
    <t xml:space="preserve">VG025</t>
  </si>
  <si>
    <t xml:space="preserve">VG026</t>
  </si>
  <si>
    <t xml:space="preserve">VG027</t>
  </si>
  <si>
    <t xml:space="preserve">VG028</t>
  </si>
  <si>
    <t xml:space="preserve">VG029</t>
  </si>
  <si>
    <t xml:space="preserve">VG030</t>
  </si>
  <si>
    <t xml:space="preserve">VG031</t>
  </si>
  <si>
    <t xml:space="preserve">VG032</t>
  </si>
  <si>
    <t xml:space="preserve">VG033</t>
  </si>
  <si>
    <t xml:space="preserve">VG034</t>
  </si>
  <si>
    <t xml:space="preserve">VG035</t>
  </si>
  <si>
    <t xml:space="preserve">VG036</t>
  </si>
  <si>
    <t xml:space="preserve">VG037</t>
  </si>
  <si>
    <t xml:space="preserve">VG038</t>
  </si>
  <si>
    <t xml:space="preserve">VG039</t>
  </si>
  <si>
    <t xml:space="preserve">VG040</t>
  </si>
  <si>
    <t xml:space="preserve">VG041</t>
  </si>
  <si>
    <t xml:space="preserve">VG042</t>
  </si>
  <si>
    <t xml:space="preserve">VG043</t>
  </si>
  <si>
    <t xml:space="preserve">VG044</t>
  </si>
  <si>
    <t xml:space="preserve">VG045</t>
  </si>
  <si>
    <t xml:space="preserve">VG046</t>
  </si>
  <si>
    <t xml:space="preserve">VG047</t>
  </si>
  <si>
    <t xml:space="preserve">VG048</t>
  </si>
  <si>
    <t xml:space="preserve">VG049</t>
  </si>
  <si>
    <t xml:space="preserve">VG050</t>
  </si>
  <si>
    <t xml:space="preserve">VG051</t>
  </si>
  <si>
    <t xml:space="preserve">VG052</t>
  </si>
  <si>
    <t xml:space="preserve">VG053</t>
  </si>
  <si>
    <t xml:space="preserve">VG054</t>
  </si>
  <si>
    <t xml:space="preserve">VG055</t>
  </si>
  <si>
    <t xml:space="preserve">VG056</t>
  </si>
  <si>
    <t xml:space="preserve">VG057</t>
  </si>
  <si>
    <t xml:space="preserve">VG058</t>
  </si>
  <si>
    <t xml:space="preserve">VG059</t>
  </si>
  <si>
    <t xml:space="preserve">VG060</t>
  </si>
  <si>
    <t xml:space="preserve">VG061</t>
  </si>
  <si>
    <t xml:space="preserve">VG062</t>
  </si>
  <si>
    <t xml:space="preserve">VG063</t>
  </si>
  <si>
    <t xml:space="preserve">VG064</t>
  </si>
  <si>
    <t xml:space="preserve">VG065</t>
  </si>
  <si>
    <t xml:space="preserve">VG066</t>
  </si>
  <si>
    <t xml:space="preserve">VG067</t>
  </si>
  <si>
    <t xml:space="preserve">VG068</t>
  </si>
  <si>
    <t xml:space="preserve">VG069</t>
  </si>
  <si>
    <t xml:space="preserve">VG070</t>
  </si>
  <si>
    <t xml:space="preserve">VG071</t>
  </si>
  <si>
    <t xml:space="preserve">VG072</t>
  </si>
  <si>
    <t xml:space="preserve">VG073</t>
  </si>
  <si>
    <t xml:space="preserve">VG074</t>
  </si>
  <si>
    <t xml:space="preserve">VG075</t>
  </si>
  <si>
    <t xml:space="preserve">VG076</t>
  </si>
  <si>
    <t xml:space="preserve">VG077</t>
  </si>
  <si>
    <t xml:space="preserve">VG078</t>
  </si>
  <si>
    <t xml:space="preserve">VG079</t>
  </si>
  <si>
    <t xml:space="preserve">VG080</t>
  </si>
  <si>
    <t xml:space="preserve">VG081</t>
  </si>
  <si>
    <t xml:space="preserve">VG082</t>
  </si>
  <si>
    <t xml:space="preserve">VG083</t>
  </si>
  <si>
    <t xml:space="preserve">VG084</t>
  </si>
  <si>
    <t xml:space="preserve">VG085</t>
  </si>
  <si>
    <t xml:space="preserve">VG086</t>
  </si>
  <si>
    <t xml:space="preserve">VG087</t>
  </si>
  <si>
    <t xml:space="preserve">VG088</t>
  </si>
  <si>
    <t xml:space="preserve">VG089</t>
  </si>
  <si>
    <t xml:space="preserve">VG090</t>
  </si>
  <si>
    <t xml:space="preserve">VG091</t>
  </si>
  <si>
    <t xml:space="preserve">VG092</t>
  </si>
  <si>
    <t xml:space="preserve">VG093</t>
  </si>
  <si>
    <t xml:space="preserve">VG094</t>
  </si>
  <si>
    <t xml:space="preserve">VG095</t>
  </si>
  <si>
    <t xml:space="preserve">VG096</t>
  </si>
  <si>
    <t xml:space="preserve">VG097</t>
  </si>
  <si>
    <t xml:space="preserve">VG098</t>
  </si>
  <si>
    <t xml:space="preserve">VG099</t>
  </si>
  <si>
    <t xml:space="preserve">VG100</t>
  </si>
  <si>
    <t xml:space="preserve">VG101</t>
  </si>
  <si>
    <t xml:space="preserve">VG102</t>
  </si>
  <si>
    <t xml:space="preserve">VG103</t>
  </si>
  <si>
    <t xml:space="preserve">VG104</t>
  </si>
  <si>
    <t xml:space="preserve">VG105</t>
  </si>
  <si>
    <t xml:space="preserve">VG106</t>
  </si>
  <si>
    <t xml:space="preserve">VG107</t>
  </si>
  <si>
    <t xml:space="preserve">VG108</t>
  </si>
  <si>
    <t xml:space="preserve">VG109</t>
  </si>
  <si>
    <t xml:space="preserve">VG110</t>
  </si>
  <si>
    <t xml:space="preserve">VG111</t>
  </si>
  <si>
    <t xml:space="preserve">VG112</t>
  </si>
  <si>
    <t xml:space="preserve">VG113</t>
  </si>
  <si>
    <t xml:space="preserve">VG114</t>
  </si>
  <si>
    <t xml:space="preserve">VG115</t>
  </si>
  <si>
    <t xml:space="preserve">VG116</t>
  </si>
  <si>
    <t xml:space="preserve">VG117</t>
  </si>
  <si>
    <t xml:space="preserve">VG118</t>
  </si>
  <si>
    <t xml:space="preserve">VG119</t>
  </si>
  <si>
    <t xml:space="preserve">VG120</t>
  </si>
  <si>
    <t xml:space="preserve">VG121</t>
  </si>
  <si>
    <t xml:space="preserve">VG122</t>
  </si>
  <si>
    <t xml:space="preserve">VG123</t>
  </si>
  <si>
    <t xml:space="preserve">VG124</t>
  </si>
  <si>
    <t xml:space="preserve">VG125</t>
  </si>
  <si>
    <t xml:space="preserve">VG126</t>
  </si>
  <si>
    <t xml:space="preserve">VG127</t>
  </si>
  <si>
    <t xml:space="preserve">VG128</t>
  </si>
  <si>
    <t xml:space="preserve">VG129</t>
  </si>
  <si>
    <t xml:space="preserve">VG130</t>
  </si>
  <si>
    <t xml:space="preserve">VG131</t>
  </si>
  <si>
    <t xml:space="preserve">VG132</t>
  </si>
  <si>
    <t xml:space="preserve">VG133</t>
  </si>
  <si>
    <t xml:space="preserve">VG134</t>
  </si>
  <si>
    <t xml:space="preserve">VG135</t>
  </si>
  <si>
    <t xml:space="preserve">VG136</t>
  </si>
  <si>
    <t xml:space="preserve">VG137</t>
  </si>
  <si>
    <t xml:space="preserve">VG138</t>
  </si>
  <si>
    <t xml:space="preserve">VG139</t>
  </si>
  <si>
    <t xml:space="preserve">VG140</t>
  </si>
  <si>
    <t xml:space="preserve">VG141</t>
  </si>
  <si>
    <t xml:space="preserve">VG142</t>
  </si>
  <si>
    <t xml:space="preserve">VG143</t>
  </si>
  <si>
    <t xml:space="preserve">VG144</t>
  </si>
  <si>
    <t xml:space="preserve">VG145</t>
  </si>
  <si>
    <t xml:space="preserve">VG146</t>
  </si>
  <si>
    <t xml:space="preserve">VG147</t>
  </si>
  <si>
    <t xml:space="preserve">VG148</t>
  </si>
  <si>
    <t xml:space="preserve">VG149</t>
  </si>
  <si>
    <t xml:space="preserve">VG150</t>
  </si>
  <si>
    <t xml:space="preserve">VG151</t>
  </si>
  <si>
    <t xml:space="preserve">VG152</t>
  </si>
  <si>
    <t xml:space="preserve">VG153</t>
  </si>
  <si>
    <t xml:space="preserve">VG154</t>
  </si>
  <si>
    <t xml:space="preserve">VG155</t>
  </si>
  <si>
    <t xml:space="preserve">VG156</t>
  </si>
  <si>
    <t xml:space="preserve">VG157</t>
  </si>
  <si>
    <t xml:space="preserve">VG158</t>
  </si>
  <si>
    <t xml:space="preserve">VG159</t>
  </si>
  <si>
    <t xml:space="preserve">VG160</t>
  </si>
  <si>
    <t xml:space="preserve">VG161</t>
  </si>
  <si>
    <t xml:space="preserve">VG162</t>
  </si>
  <si>
    <t xml:space="preserve">VG163</t>
  </si>
  <si>
    <t xml:space="preserve">VG164</t>
  </si>
  <si>
    <t xml:space="preserve">VG165</t>
  </si>
  <si>
    <t xml:space="preserve">VG166</t>
  </si>
  <si>
    <t xml:space="preserve">VG167</t>
  </si>
  <si>
    <t xml:space="preserve">VG168</t>
  </si>
  <si>
    <t xml:space="preserve">VG169</t>
  </si>
  <si>
    <t xml:space="preserve">VG170</t>
  </si>
  <si>
    <t xml:space="preserve">VG171</t>
  </si>
  <si>
    <t xml:space="preserve">VG172</t>
  </si>
  <si>
    <t xml:space="preserve">VG173</t>
  </si>
  <si>
    <t xml:space="preserve">VG174</t>
  </si>
  <si>
    <t xml:space="preserve">VG175</t>
  </si>
  <si>
    <t xml:space="preserve">VG176</t>
  </si>
  <si>
    <t xml:space="preserve">VG177</t>
  </si>
  <si>
    <t xml:space="preserve">VG178</t>
  </si>
  <si>
    <t xml:space="preserve">VG179</t>
  </si>
  <si>
    <t xml:space="preserve">VG180</t>
  </si>
  <si>
    <t xml:space="preserve">VG181</t>
  </si>
  <si>
    <t xml:space="preserve">VG182</t>
  </si>
  <si>
    <t xml:space="preserve">VG183</t>
  </si>
  <si>
    <t xml:space="preserve">VG184</t>
  </si>
  <si>
    <t xml:space="preserve">VG185</t>
  </si>
  <si>
    <t xml:space="preserve">VG186</t>
  </si>
  <si>
    <t xml:space="preserve">VG187</t>
  </si>
  <si>
    <t xml:space="preserve">VG188</t>
  </si>
  <si>
    <t xml:space="preserve">VG189</t>
  </si>
  <si>
    <t xml:space="preserve">VG190</t>
  </si>
  <si>
    <t xml:space="preserve">VG191</t>
  </si>
  <si>
    <t xml:space="preserve">VG192</t>
  </si>
  <si>
    <t xml:space="preserve">VG193</t>
  </si>
  <si>
    <t xml:space="preserve">VG194</t>
  </si>
  <si>
    <t xml:space="preserve">VG195</t>
  </si>
  <si>
    <t xml:space="preserve">VG196</t>
  </si>
  <si>
    <t xml:space="preserve">VG197</t>
  </si>
  <si>
    <t xml:space="preserve">VG198</t>
  </si>
  <si>
    <t xml:space="preserve">VG199</t>
  </si>
  <si>
    <t xml:space="preserve">VG200</t>
  </si>
  <si>
    <t xml:space="preserve">VG201</t>
  </si>
  <si>
    <t xml:space="preserve">VG202</t>
  </si>
  <si>
    <t xml:space="preserve">VG203</t>
  </si>
  <si>
    <t xml:space="preserve">VG204</t>
  </si>
  <si>
    <t xml:space="preserve">VG205</t>
  </si>
  <si>
    <t xml:space="preserve">VG206</t>
  </si>
  <si>
    <t xml:space="preserve">VG207</t>
  </si>
  <si>
    <t xml:space="preserve">VG208</t>
  </si>
  <si>
    <t xml:space="preserve">VG209</t>
  </si>
  <si>
    <t xml:space="preserve">VG210</t>
  </si>
  <si>
    <t xml:space="preserve">VG211</t>
  </si>
  <si>
    <t xml:space="preserve">VG212</t>
  </si>
  <si>
    <t xml:space="preserve">VG213</t>
  </si>
  <si>
    <t xml:space="preserve">VG214</t>
  </si>
  <si>
    <t xml:space="preserve">VG215</t>
  </si>
  <si>
    <t xml:space="preserve">VG216</t>
  </si>
  <si>
    <t xml:space="preserve">VG217</t>
  </si>
  <si>
    <t xml:space="preserve">VG218</t>
  </si>
  <si>
    <t xml:space="preserve">VG219</t>
  </si>
  <si>
    <t xml:space="preserve">VG220</t>
  </si>
  <si>
    <t xml:space="preserve">VG221</t>
  </si>
  <si>
    <t xml:space="preserve">VG222</t>
  </si>
  <si>
    <t xml:space="preserve">VG223</t>
  </si>
  <si>
    <t xml:space="preserve">VG224</t>
  </si>
  <si>
    <t xml:space="preserve">VG225</t>
  </si>
  <si>
    <t xml:space="preserve">VG226</t>
  </si>
  <si>
    <t xml:space="preserve">VG227</t>
  </si>
  <si>
    <t xml:space="preserve">VG228</t>
  </si>
  <si>
    <t xml:space="preserve">VG229</t>
  </si>
  <si>
    <t xml:space="preserve">VG230</t>
  </si>
  <si>
    <t xml:space="preserve">VG231</t>
  </si>
  <si>
    <t xml:space="preserve">VG232</t>
  </si>
  <si>
    <t xml:space="preserve">VG233</t>
  </si>
  <si>
    <t xml:space="preserve">VG234</t>
  </si>
  <si>
    <t xml:space="preserve">VG235</t>
  </si>
  <si>
    <t xml:space="preserve">VG236</t>
  </si>
  <si>
    <t xml:space="preserve">VG237</t>
  </si>
  <si>
    <t xml:space="preserve">VG238</t>
  </si>
  <si>
    <t xml:space="preserve">VG239</t>
  </si>
  <si>
    <t xml:space="preserve">VG240</t>
  </si>
  <si>
    <t xml:space="preserve">VG241</t>
  </si>
  <si>
    <t xml:space="preserve">VG242</t>
  </si>
  <si>
    <t xml:space="preserve">VG243</t>
  </si>
  <si>
    <t xml:space="preserve">VG244</t>
  </si>
  <si>
    <t xml:space="preserve">VG245</t>
  </si>
  <si>
    <t xml:space="preserve">VG246</t>
  </si>
  <si>
    <t xml:space="preserve">VG247</t>
  </si>
  <si>
    <t xml:space="preserve">VG248</t>
  </si>
  <si>
    <t xml:space="preserve">VG249</t>
  </si>
  <si>
    <t xml:space="preserve">VG250</t>
  </si>
  <si>
    <t xml:space="preserve">VG251</t>
  </si>
  <si>
    <t xml:space="preserve">VG252</t>
  </si>
  <si>
    <t xml:space="preserve">VG253</t>
  </si>
  <si>
    <t xml:space="preserve">VG254</t>
  </si>
  <si>
    <t xml:space="preserve">VG255</t>
  </si>
  <si>
    <t xml:space="preserve">VG256</t>
  </si>
  <si>
    <t xml:space="preserve">VG257</t>
  </si>
  <si>
    <t xml:space="preserve">VG258</t>
  </si>
  <si>
    <t xml:space="preserve">VG259</t>
  </si>
  <si>
    <t xml:space="preserve">VG260</t>
  </si>
  <si>
    <t xml:space="preserve">VG261</t>
  </si>
  <si>
    <t xml:space="preserve">VG262</t>
  </si>
  <si>
    <t xml:space="preserve">VG263</t>
  </si>
  <si>
    <t xml:space="preserve">VG264</t>
  </si>
  <si>
    <t xml:space="preserve">VG265</t>
  </si>
  <si>
    <t xml:space="preserve">VG266</t>
  </si>
  <si>
    <t xml:space="preserve">VG267</t>
  </si>
  <si>
    <t xml:space="preserve">VG268</t>
  </si>
  <si>
    <t xml:space="preserve">VG269</t>
  </si>
  <si>
    <t xml:space="preserve">VG270</t>
  </si>
  <si>
    <t xml:space="preserve">VG271</t>
  </si>
  <si>
    <t xml:space="preserve">VG272</t>
  </si>
  <si>
    <t xml:space="preserve">VG273</t>
  </si>
  <si>
    <t xml:space="preserve">VG274</t>
  </si>
  <si>
    <t xml:space="preserve">VG275</t>
  </si>
  <si>
    <t xml:space="preserve">VG276</t>
  </si>
  <si>
    <t xml:space="preserve">VG277</t>
  </si>
  <si>
    <t xml:space="preserve">VG278</t>
  </si>
  <si>
    <t xml:space="preserve">VG279</t>
  </si>
  <si>
    <t xml:space="preserve">VG280</t>
  </si>
  <si>
    <t xml:space="preserve">VG281</t>
  </si>
  <si>
    <t xml:space="preserve">VG282</t>
  </si>
  <si>
    <t xml:space="preserve">VG283</t>
  </si>
  <si>
    <t xml:space="preserve">VG284</t>
  </si>
  <si>
    <t xml:space="preserve">VG285</t>
  </si>
  <si>
    <t xml:space="preserve">VG286</t>
  </si>
  <si>
    <t xml:space="preserve">VG287</t>
  </si>
  <si>
    <t xml:space="preserve">VG288</t>
  </si>
  <si>
    <t xml:space="preserve">VG289</t>
  </si>
  <si>
    <t xml:space="preserve">VG290</t>
  </si>
  <si>
    <t xml:space="preserve">VG291</t>
  </si>
  <si>
    <t xml:space="preserve">VG292</t>
  </si>
  <si>
    <t xml:space="preserve">VG293</t>
  </si>
  <si>
    <t xml:space="preserve">VG294</t>
  </si>
  <si>
    <t xml:space="preserve">VG295</t>
  </si>
  <si>
    <t xml:space="preserve">VG296</t>
  </si>
  <si>
    <t xml:space="preserve">VG297</t>
  </si>
  <si>
    <t xml:space="preserve">VG298</t>
  </si>
  <si>
    <t xml:space="preserve">VG299</t>
  </si>
  <si>
    <t xml:space="preserve">VG300</t>
  </si>
  <si>
    <t xml:space="preserve">VG301</t>
  </si>
  <si>
    <t xml:space="preserve">VG302</t>
  </si>
  <si>
    <t xml:space="preserve">VG303</t>
  </si>
  <si>
    <t xml:space="preserve">VG304</t>
  </si>
  <si>
    <t xml:space="preserve">VG305</t>
  </si>
  <si>
    <t xml:space="preserve">VG306</t>
  </si>
  <si>
    <t xml:space="preserve">VG307</t>
  </si>
  <si>
    <t xml:space="preserve">VG308</t>
  </si>
  <si>
    <t xml:space="preserve">VG309</t>
  </si>
  <si>
    <t xml:space="preserve">VG310</t>
  </si>
  <si>
    <t xml:space="preserve">VG311</t>
  </si>
  <si>
    <t xml:space="preserve">VG312</t>
  </si>
  <si>
    <t xml:space="preserve">VG313</t>
  </si>
  <si>
    <t xml:space="preserve">VG314</t>
  </si>
  <si>
    <t xml:space="preserve">VG315</t>
  </si>
  <si>
    <t xml:space="preserve">VG316</t>
  </si>
  <si>
    <t xml:space="preserve">VG317</t>
  </si>
  <si>
    <t xml:space="preserve">VG318</t>
  </si>
  <si>
    <t xml:space="preserve">VG319</t>
  </si>
  <si>
    <t xml:space="preserve">VG320</t>
  </si>
  <si>
    <t xml:space="preserve">VG321</t>
  </si>
  <si>
    <t xml:space="preserve">VG322</t>
  </si>
  <si>
    <t xml:space="preserve">VG323</t>
  </si>
  <si>
    <t xml:space="preserve">VG324</t>
  </si>
  <si>
    <t xml:space="preserve">VG325</t>
  </si>
  <si>
    <t xml:space="preserve">VG326</t>
  </si>
  <si>
    <t xml:space="preserve">VG327</t>
  </si>
  <si>
    <t xml:space="preserve">VG328</t>
  </si>
  <si>
    <t xml:space="preserve">VG329</t>
  </si>
  <si>
    <t xml:space="preserve">VG330</t>
  </si>
  <si>
    <t xml:space="preserve">VG331</t>
  </si>
  <si>
    <t xml:space="preserve">VG332</t>
  </si>
  <si>
    <t xml:space="preserve">VG333</t>
  </si>
  <si>
    <t xml:space="preserve">VG334</t>
  </si>
  <si>
    <t xml:space="preserve">VG335</t>
  </si>
  <si>
    <t xml:space="preserve">VG336</t>
  </si>
  <si>
    <t xml:space="preserve">VG337</t>
  </si>
  <si>
    <t xml:space="preserve">VG338</t>
  </si>
  <si>
    <t xml:space="preserve">VG339</t>
  </si>
  <si>
    <t xml:space="preserve">VG340</t>
  </si>
  <si>
    <t xml:space="preserve">VG341</t>
  </si>
  <si>
    <t xml:space="preserve">VG342</t>
  </si>
  <si>
    <t xml:space="preserve">VG343</t>
  </si>
  <si>
    <t xml:space="preserve">VG344</t>
  </si>
  <si>
    <t xml:space="preserve">VG345</t>
  </si>
  <si>
    <t xml:space="preserve">VG346</t>
  </si>
  <si>
    <t xml:space="preserve">VG347</t>
  </si>
  <si>
    <t xml:space="preserve">VG348</t>
  </si>
  <si>
    <t xml:space="preserve">VG349</t>
  </si>
  <si>
    <t xml:space="preserve">VG350</t>
  </si>
  <si>
    <t xml:space="preserve">VG351</t>
  </si>
  <si>
    <t xml:space="preserve">VG352</t>
  </si>
  <si>
    <t xml:space="preserve">VG353</t>
  </si>
  <si>
    <t xml:space="preserve">VG354</t>
  </si>
  <si>
    <t xml:space="preserve">VG355</t>
  </si>
  <si>
    <t xml:space="preserve">VG356</t>
  </si>
  <si>
    <t xml:space="preserve">VG357</t>
  </si>
  <si>
    <t xml:space="preserve">VG358</t>
  </si>
  <si>
    <t xml:space="preserve">VG359</t>
  </si>
  <si>
    <t xml:space="preserve">VG360</t>
  </si>
  <si>
    <t xml:space="preserve">Artifact payment claims</t>
  </si>
  <si>
    <t xml:space="preserve">A claim is payable only when submission, AVW, milestone acceptance and FDW are all present. Payment creates cash finality only.</t>
  </si>
  <si>
    <t xml:space="preserve">Claim</t>
  </si>
  <si>
    <t xml:space="preserve">Milestone</t>
  </si>
  <si>
    <t xml:space="preserve">Description</t>
  </si>
  <si>
    <t xml:space="preserve">Share</t>
  </si>
  <si>
    <t xml:space="preserve">Package ceiling</t>
  </si>
  <si>
    <t xml:space="preserve">Claim amount</t>
  </si>
  <si>
    <t xml:space="preserve">Submitted</t>
  </si>
  <si>
    <t xml:space="preserve">Accepted</t>
  </si>
  <si>
    <t xml:space="preserve">FDW</t>
  </si>
  <si>
    <t xml:space="preserve">Paid</t>
  </si>
  <si>
    <t xml:space="preserve">State</t>
  </si>
  <si>
    <t xml:space="preserve">C001</t>
  </si>
  <si>
    <t xml:space="preserve">M1</t>
  </si>
  <si>
    <t xml:space="preserve">Source capsule</t>
  </si>
  <si>
    <t xml:space="preserve">C002</t>
  </si>
  <si>
    <t xml:space="preserve">M2</t>
  </si>
  <si>
    <t xml:space="preserve">Executable causal ledger</t>
  </si>
  <si>
    <t xml:space="preserve">C003</t>
  </si>
  <si>
    <t xml:space="preserve">M3</t>
  </si>
  <si>
    <t xml:space="preserve">Dependency and unknown register</t>
  </si>
  <si>
    <t xml:space="preserve">C004</t>
  </si>
  <si>
    <t xml:space="preserve">M4</t>
  </si>
  <si>
    <t xml:space="preserve">C005</t>
  </si>
  <si>
    <t xml:space="preserve">M5</t>
  </si>
  <si>
    <t xml:space="preserve">C006</t>
  </si>
  <si>
    <t xml:space="preserve">M6</t>
  </si>
  <si>
    <t xml:space="preserve">Challenge closure and terminal archive</t>
  </si>
  <si>
    <t xml:space="preserve">C007</t>
  </si>
  <si>
    <t xml:space="preserve">C008</t>
  </si>
  <si>
    <t xml:space="preserve">C009</t>
  </si>
  <si>
    <t xml:space="preserve">C010</t>
  </si>
  <si>
    <t xml:space="preserve">C011</t>
  </si>
  <si>
    <t xml:space="preserve">C012</t>
  </si>
  <si>
    <t xml:space="preserve">C013</t>
  </si>
  <si>
    <t xml:space="preserve">C014</t>
  </si>
  <si>
    <t xml:space="preserve">C015</t>
  </si>
  <si>
    <t xml:space="preserve">C016</t>
  </si>
  <si>
    <t xml:space="preserve">C017</t>
  </si>
  <si>
    <t xml:space="preserve">C018</t>
  </si>
  <si>
    <t xml:space="preserve">C019</t>
  </si>
  <si>
    <t xml:space="preserve">C020</t>
  </si>
  <si>
    <t xml:space="preserve">C021</t>
  </si>
  <si>
    <t xml:space="preserve">C022</t>
  </si>
  <si>
    <t xml:space="preserve">C023</t>
  </si>
  <si>
    <t xml:space="preserve">C024</t>
  </si>
  <si>
    <t xml:space="preserve">C025</t>
  </si>
  <si>
    <t xml:space="preserve">C026</t>
  </si>
  <si>
    <t xml:space="preserve">C027</t>
  </si>
  <si>
    <t xml:space="preserve">C028</t>
  </si>
  <si>
    <t xml:space="preserve">C029</t>
  </si>
  <si>
    <t xml:space="preserve">C030</t>
  </si>
  <si>
    <t xml:space="preserve">C031</t>
  </si>
  <si>
    <t xml:space="preserve">C032</t>
  </si>
  <si>
    <t xml:space="preserve">C033</t>
  </si>
  <si>
    <t xml:space="preserve">C034</t>
  </si>
  <si>
    <t xml:space="preserve">C035</t>
  </si>
  <si>
    <t xml:space="preserve">C036</t>
  </si>
  <si>
    <t xml:space="preserve">C037</t>
  </si>
  <si>
    <t xml:space="preserve">C038</t>
  </si>
  <si>
    <t xml:space="preserve">C039</t>
  </si>
  <si>
    <t xml:space="preserve">C040</t>
  </si>
  <si>
    <t xml:space="preserve">C041</t>
  </si>
  <si>
    <t xml:space="preserve">C042</t>
  </si>
  <si>
    <t xml:space="preserve">C043</t>
  </si>
  <si>
    <t xml:space="preserve">C044</t>
  </si>
  <si>
    <t xml:space="preserve">C045</t>
  </si>
  <si>
    <t xml:space="preserve">C046</t>
  </si>
  <si>
    <t xml:space="preserve">C047</t>
  </si>
  <si>
    <t xml:space="preserve">C048</t>
  </si>
  <si>
    <t xml:space="preserve">C049</t>
  </si>
  <si>
    <t xml:space="preserve">C050</t>
  </si>
  <si>
    <t xml:space="preserve">C051</t>
  </si>
  <si>
    <t xml:space="preserve">C052</t>
  </si>
  <si>
    <t xml:space="preserve">C053</t>
  </si>
  <si>
    <t xml:space="preserve">C054</t>
  </si>
  <si>
    <t xml:space="preserve">C055</t>
  </si>
  <si>
    <t xml:space="preserve">C056</t>
  </si>
  <si>
    <t xml:space="preserve">C057</t>
  </si>
  <si>
    <t xml:space="preserve">C058</t>
  </si>
  <si>
    <t xml:space="preserve">C059</t>
  </si>
  <si>
    <t xml:space="preserve">C060</t>
  </si>
  <si>
    <t xml:space="preserve">C061</t>
  </si>
  <si>
    <t xml:space="preserve">C062</t>
  </si>
  <si>
    <t xml:space="preserve">C063</t>
  </si>
  <si>
    <t xml:space="preserve">C064</t>
  </si>
  <si>
    <t xml:space="preserve">C065</t>
  </si>
  <si>
    <t xml:space="preserve">C066</t>
  </si>
  <si>
    <t xml:space="preserve">C067</t>
  </si>
  <si>
    <t xml:space="preserve">C068</t>
  </si>
  <si>
    <t xml:space="preserve">C069</t>
  </si>
  <si>
    <t xml:space="preserve">C070</t>
  </si>
  <si>
    <t xml:space="preserve">C071</t>
  </si>
  <si>
    <t xml:space="preserve">C072</t>
  </si>
  <si>
    <t xml:space="preserve">C073</t>
  </si>
  <si>
    <t xml:space="preserve">C074</t>
  </si>
  <si>
    <t xml:space="preserve">C075</t>
  </si>
  <si>
    <t xml:space="preserve">C076</t>
  </si>
  <si>
    <t xml:space="preserve">C077</t>
  </si>
  <si>
    <t xml:space="preserve">C078</t>
  </si>
  <si>
    <t xml:space="preserve">C079</t>
  </si>
  <si>
    <t xml:space="preserve">C080</t>
  </si>
  <si>
    <t xml:space="preserve">C081</t>
  </si>
  <si>
    <t xml:space="preserve">C082</t>
  </si>
  <si>
    <t xml:space="preserve">C083</t>
  </si>
  <si>
    <t xml:space="preserve">C084</t>
  </si>
  <si>
    <t xml:space="preserve">C085</t>
  </si>
  <si>
    <t xml:space="preserve">C086</t>
  </si>
  <si>
    <t xml:space="preserve">C087</t>
  </si>
  <si>
    <t xml:space="preserve">C088</t>
  </si>
  <si>
    <t xml:space="preserve">C089</t>
  </si>
  <si>
    <t xml:space="preserve">C090</t>
  </si>
  <si>
    <t xml:space="preserve">C091</t>
  </si>
  <si>
    <t xml:space="preserve">C092</t>
  </si>
  <si>
    <t xml:space="preserve">C093</t>
  </si>
  <si>
    <t xml:space="preserve">C094</t>
  </si>
  <si>
    <t xml:space="preserve">C095</t>
  </si>
  <si>
    <t xml:space="preserve">C096</t>
  </si>
  <si>
    <t xml:space="preserve">C097</t>
  </si>
  <si>
    <t xml:space="preserve">C098</t>
  </si>
  <si>
    <t xml:space="preserve">C099</t>
  </si>
  <si>
    <t xml:space="preserve">C100</t>
  </si>
  <si>
    <t xml:space="preserve">C101</t>
  </si>
  <si>
    <t xml:space="preserve">C102</t>
  </si>
  <si>
    <t xml:space="preserve">C103</t>
  </si>
  <si>
    <t xml:space="preserve">C104</t>
  </si>
  <si>
    <t xml:space="preserve">C105</t>
  </si>
  <si>
    <t xml:space="preserve">C106</t>
  </si>
  <si>
    <t xml:space="preserve">C107</t>
  </si>
  <si>
    <t xml:space="preserve">C108</t>
  </si>
  <si>
    <t xml:space="preserve">C109</t>
  </si>
  <si>
    <t xml:space="preserve">C110</t>
  </si>
  <si>
    <t xml:space="preserve">C111</t>
  </si>
  <si>
    <t xml:space="preserve">C112</t>
  </si>
  <si>
    <t xml:space="preserve">C113</t>
  </si>
  <si>
    <t xml:space="preserve">C114</t>
  </si>
  <si>
    <t xml:space="preserve">C115</t>
  </si>
  <si>
    <t xml:space="preserve">C116</t>
  </si>
  <si>
    <t xml:space="preserve">C117</t>
  </si>
  <si>
    <t xml:space="preserve">C118</t>
  </si>
  <si>
    <t xml:space="preserve">C119</t>
  </si>
  <si>
    <t xml:space="preserve">C120</t>
  </si>
  <si>
    <t xml:space="preserve">C121</t>
  </si>
  <si>
    <t xml:space="preserve">C122</t>
  </si>
  <si>
    <t xml:space="preserve">C123</t>
  </si>
  <si>
    <t xml:space="preserve">C124</t>
  </si>
  <si>
    <t xml:space="preserve">C125</t>
  </si>
  <si>
    <t xml:space="preserve">C126</t>
  </si>
  <si>
    <t xml:space="preserve">C127</t>
  </si>
  <si>
    <t xml:space="preserve">C128</t>
  </si>
  <si>
    <t xml:space="preserve">C129</t>
  </si>
  <si>
    <t xml:space="preserve">C130</t>
  </si>
  <si>
    <t xml:space="preserve">C131</t>
  </si>
  <si>
    <t xml:space="preserve">C132</t>
  </si>
  <si>
    <t xml:space="preserve">C133</t>
  </si>
  <si>
    <t xml:space="preserve">C134</t>
  </si>
  <si>
    <t xml:space="preserve">C135</t>
  </si>
  <si>
    <t xml:space="preserve">C136</t>
  </si>
  <si>
    <t xml:space="preserve">C137</t>
  </si>
  <si>
    <t xml:space="preserve">C138</t>
  </si>
  <si>
    <t xml:space="preserve">C139</t>
  </si>
  <si>
    <t xml:space="preserve">C140</t>
  </si>
  <si>
    <t xml:space="preserve">C141</t>
  </si>
  <si>
    <t xml:space="preserve">C142</t>
  </si>
  <si>
    <t xml:space="preserve">C143</t>
  </si>
  <si>
    <t xml:space="preserve">C144</t>
  </si>
  <si>
    <t xml:space="preserve">C145</t>
  </si>
  <si>
    <t xml:space="preserve">C146</t>
  </si>
  <si>
    <t xml:space="preserve">C147</t>
  </si>
  <si>
    <t xml:space="preserve">C148</t>
  </si>
  <si>
    <t xml:space="preserve">C149</t>
  </si>
  <si>
    <t xml:space="preserve">C150</t>
  </si>
  <si>
    <t xml:space="preserve">C151</t>
  </si>
  <si>
    <t xml:space="preserve">C152</t>
  </si>
  <si>
    <t xml:space="preserve">C153</t>
  </si>
  <si>
    <t xml:space="preserve">C154</t>
  </si>
  <si>
    <t xml:space="preserve">C155</t>
  </si>
  <si>
    <t xml:space="preserve">C156</t>
  </si>
  <si>
    <t xml:space="preserve">C157</t>
  </si>
  <si>
    <t xml:space="preserve">C158</t>
  </si>
  <si>
    <t xml:space="preserve">C159</t>
  </si>
  <si>
    <t xml:space="preserve">C160</t>
  </si>
  <si>
    <t xml:space="preserve">C161</t>
  </si>
  <si>
    <t xml:space="preserve">C162</t>
  </si>
  <si>
    <t xml:space="preserve">C163</t>
  </si>
  <si>
    <t xml:space="preserve">C164</t>
  </si>
  <si>
    <t xml:space="preserve">C165</t>
  </si>
  <si>
    <t xml:space="preserve">C166</t>
  </si>
  <si>
    <t xml:space="preserve">C167</t>
  </si>
  <si>
    <t xml:space="preserve">C168</t>
  </si>
  <si>
    <t xml:space="preserve">C169</t>
  </si>
  <si>
    <t xml:space="preserve">C170</t>
  </si>
  <si>
    <t xml:space="preserve">C171</t>
  </si>
  <si>
    <t xml:space="preserve">C172</t>
  </si>
  <si>
    <t xml:space="preserve">C173</t>
  </si>
  <si>
    <t xml:space="preserve">C174</t>
  </si>
  <si>
    <t xml:space="preserve">C175</t>
  </si>
  <si>
    <t xml:space="preserve">C176</t>
  </si>
  <si>
    <t xml:space="preserve">C177</t>
  </si>
  <si>
    <t xml:space="preserve">C178</t>
  </si>
  <si>
    <t xml:space="preserve">C179</t>
  </si>
  <si>
    <t xml:space="preserve">C180</t>
  </si>
  <si>
    <t xml:space="preserve">Authority separation register</t>
  </si>
  <si>
    <t xml:space="preserve">A conflict is judged through beneficial control, people, keys, tools, debt, custody and accepting authority, not organization names.</t>
  </si>
  <si>
    <t xml:space="preserve">Rule</t>
  </si>
  <si>
    <t xml:space="preserve">First authority</t>
  </si>
  <si>
    <t xml:space="preserve">Second authority</t>
  </si>
  <si>
    <t xml:space="preserve">Forbidden combination</t>
  </si>
  <si>
    <t xml:space="preserve">Consequence</t>
  </si>
  <si>
    <t xml:space="preserve">Current conflict</t>
  </si>
  <si>
    <t xml:space="preserve">Compact source</t>
  </si>
  <si>
    <t xml:space="preserve">S01</t>
  </si>
  <si>
    <t xml:space="preserve">Form-cell builder</t>
  </si>
  <si>
    <t xml:space="preserve">Native replay operator</t>
  </si>
  <si>
    <t xml:space="preserve">perform and replay</t>
  </si>
  <si>
    <t xml:space="preserve">terminate package</t>
  </si>
  <si>
    <t xml:space="preserve">S02</t>
  </si>
  <si>
    <t xml:space="preserve">Clean reconstruction lead</t>
  </si>
  <si>
    <t xml:space="preserve">perform and reconstruct</t>
  </si>
  <si>
    <t xml:space="preserve">terminate form cell</t>
  </si>
  <si>
    <t xml:space="preserve">S03</t>
  </si>
  <si>
    <t xml:space="preserve">Divergence officer</t>
  </si>
  <si>
    <t xml:space="preserve">author and adjudicate</t>
  </si>
  <si>
    <t xml:space="preserve">S04</t>
  </si>
  <si>
    <t xml:space="preserve">Root Artifact Court</t>
  </si>
  <si>
    <t xml:space="preserve">author and validate</t>
  </si>
  <si>
    <t xml:space="preserve">S05</t>
  </si>
  <si>
    <t xml:space="preserve">Milestone acceptance officer</t>
  </si>
  <si>
    <t xml:space="preserve">perform and accept</t>
  </si>
  <si>
    <t xml:space="preserve">terminate claim</t>
  </si>
  <si>
    <t xml:space="preserve">S06</t>
  </si>
  <si>
    <t xml:space="preserve">FDW officer</t>
  </si>
  <si>
    <t xml:space="preserve">perform and release money</t>
  </si>
  <si>
    <t xml:space="preserve">S07</t>
  </si>
  <si>
    <t xml:space="preserve">Disbursing officer</t>
  </si>
  <si>
    <t xml:space="preserve">perform and pay</t>
  </si>
  <si>
    <t xml:space="preserve">S08</t>
  </si>
  <si>
    <t xml:space="preserve">Evidence Court</t>
  </si>
  <si>
    <t xml:space="preserve">design and admit evidence</t>
  </si>
  <si>
    <t xml:space="preserve">terminate compact</t>
  </si>
  <si>
    <t xml:space="preserve">S09</t>
  </si>
  <si>
    <t xml:space="preserve">Selection Court</t>
  </si>
  <si>
    <t xml:space="preserve">design and select</t>
  </si>
  <si>
    <t xml:space="preserve">S10</t>
  </si>
  <si>
    <t xml:space="preserve">common technical path</t>
  </si>
  <si>
    <t xml:space="preserve">S11</t>
  </si>
  <si>
    <t xml:space="preserve">produce and adjudicate</t>
  </si>
  <si>
    <t xml:space="preserve">S12</t>
  </si>
  <si>
    <t xml:space="preserve">S13</t>
  </si>
  <si>
    <t xml:space="preserve">Package custodian</t>
  </si>
  <si>
    <t xml:space="preserve">custody and authorship</t>
  </si>
  <si>
    <t xml:space="preserve">hold package</t>
  </si>
  <si>
    <t xml:space="preserve">S14</t>
  </si>
  <si>
    <t xml:space="preserve">custody and validity</t>
  </si>
  <si>
    <t xml:space="preserve">S15</t>
  </si>
  <si>
    <t xml:space="preserve">AVW registrar</t>
  </si>
  <si>
    <t xml:space="preserve">validity and finance</t>
  </si>
  <si>
    <t xml:space="preserve">S16</t>
  </si>
  <si>
    <t xml:space="preserve">validity and payment</t>
  </si>
  <si>
    <t xml:space="preserve">S17</t>
  </si>
  <si>
    <t xml:space="preserve">release and execute payment</t>
  </si>
  <si>
    <t xml:space="preserve">S18</t>
  </si>
  <si>
    <t xml:space="preserve">observe and select</t>
  </si>
  <si>
    <t xml:space="preserve">S19</t>
  </si>
  <si>
    <t xml:space="preserve">physical evidence and artifact validity</t>
  </si>
  <si>
    <t xml:space="preserve">S20</t>
  </si>
  <si>
    <t xml:space="preserve">Safety authority</t>
  </si>
  <si>
    <t xml:space="preserve">safety burden and rank</t>
  </si>
  <si>
    <t xml:space="preserve">hold root</t>
  </si>
  <si>
    <t xml:space="preserve">S21</t>
  </si>
  <si>
    <t xml:space="preserve">Capacity steward</t>
  </si>
  <si>
    <t xml:space="preserve">Artifact-estate operator</t>
  </si>
  <si>
    <t xml:space="preserve">reserve and consume capacity</t>
  </si>
  <si>
    <t xml:space="preserve">revoke NDW</t>
  </si>
  <si>
    <t xml:space="preserve">S22</t>
  </si>
  <si>
    <t xml:space="preserve">Site steward</t>
  </si>
  <si>
    <t xml:space="preserve">Commissioning officer</t>
  </si>
  <si>
    <t xml:space="preserve">host and admit site</t>
  </si>
  <si>
    <t xml:space="preserve">hold docket</t>
  </si>
  <si>
    <t xml:space="preserve">S23</t>
  </si>
  <si>
    <t xml:space="preserve">Commissioning vendor</t>
  </si>
  <si>
    <t xml:space="preserve">accept own build</t>
  </si>
  <si>
    <t xml:space="preserve">terminate docket</t>
  </si>
  <si>
    <t xml:space="preserve">S24</t>
  </si>
  <si>
    <t xml:space="preserve">Key custodian</t>
  </si>
  <si>
    <t xml:space="preserve">custody and adjudication</t>
  </si>
  <si>
    <t xml:space="preserve">rekey and recuse</t>
  </si>
  <si>
    <t xml:space="preserve">S25</t>
  </si>
  <si>
    <t xml:space="preserve">Exchange custodian</t>
  </si>
  <si>
    <t xml:space="preserve">escrow and validity</t>
  </si>
  <si>
    <t xml:space="preserve">S26</t>
  </si>
  <si>
    <t xml:space="preserve">Control registrar</t>
  </si>
  <si>
    <t xml:space="preserve">Contracting officer</t>
  </si>
  <si>
    <t xml:space="preserve">admit control and award</t>
  </si>
  <si>
    <t xml:space="preserve">terminate award</t>
  </si>
  <si>
    <t xml:space="preserve">S27</t>
  </si>
  <si>
    <t xml:space="preserve">Recovery observer</t>
  </si>
  <si>
    <t xml:space="preserve">Site operator</t>
  </si>
  <si>
    <t xml:space="preserve">operate and observe drill</t>
  </si>
  <si>
    <t xml:space="preserve">repeat drill</t>
  </si>
  <si>
    <t xml:space="preserve">S28</t>
  </si>
  <si>
    <t xml:space="preserve">Exchange witness</t>
  </si>
  <si>
    <t xml:space="preserve">quorum and witness</t>
  </si>
  <si>
    <t xml:space="preserve">hold warrant</t>
  </si>
  <si>
    <t xml:space="preserve">S29</t>
  </si>
  <si>
    <t xml:space="preserve">Court seat A</t>
  </si>
  <si>
    <t xml:space="preserve">Court seat B</t>
  </si>
  <si>
    <t xml:space="preserve">common control in one root</t>
  </si>
  <si>
    <t xml:space="preserve">terminate root court</t>
  </si>
  <si>
    <t xml:space="preserve">S30</t>
  </si>
  <si>
    <t xml:space="preserve">Exchange share A</t>
  </si>
  <si>
    <t xml:space="preserve">Exchange share B</t>
  </si>
  <si>
    <t xml:space="preserve">one actor above one share</t>
  </si>
  <si>
    <t xml:space="preserve">rekey Exchange</t>
  </si>
  <si>
    <t xml:space="preserve">S31</t>
  </si>
  <si>
    <t xml:space="preserve">Primary vendor</t>
  </si>
  <si>
    <t xml:space="preserve">Standby vendor</t>
  </si>
  <si>
    <t xml:space="preserve">common beneficial control</t>
  </si>
  <si>
    <t xml:space="preserve">S32</t>
  </si>
  <si>
    <t xml:space="preserve">vendor operating dependency</t>
  </si>
  <si>
    <t xml:space="preserve">terminate estate</t>
  </si>
  <si>
    <t xml:space="preserve">S33</t>
  </si>
  <si>
    <t xml:space="preserve">Root court A</t>
  </si>
  <si>
    <t xml:space="preserve">Root court B</t>
  </si>
  <si>
    <t xml:space="preserve">national technical owner</t>
  </si>
  <si>
    <t xml:space="preserve">S34</t>
  </si>
  <si>
    <t xml:space="preserve">Native toolchain</t>
  </si>
  <si>
    <t xml:space="preserve">Clean toolchain</t>
  </si>
  <si>
    <t xml:space="preserve">shared decisive implementation</t>
  </si>
  <si>
    <t xml:space="preserve">S35</t>
  </si>
  <si>
    <t xml:space="preserve">Active form cell</t>
  </si>
  <si>
    <t xml:space="preserve">Later sibling cell</t>
  </si>
  <si>
    <t xml:space="preserve">performance access</t>
  </si>
  <si>
    <t xml:space="preserve">S36</t>
  </si>
  <si>
    <t xml:space="preserve">Representation authority</t>
  </si>
  <si>
    <t xml:space="preserve">image issue and preference</t>
  </si>
  <si>
    <t xml:space="preserve">Thirty-two nonconversion laws</t>
  </si>
  <si>
    <t xml:space="preserve">Each source state remains narrow. A later act requires its own authority even when every prior record is complete.</t>
  </si>
  <si>
    <t xml:space="preserve">Source state</t>
  </si>
  <si>
    <t xml:space="preserve">Forbidden result</t>
  </si>
  <si>
    <t xml:space="preserve">Permitted next act</t>
  </si>
  <si>
    <t xml:space="preserve">Required independent instrument</t>
  </si>
  <si>
    <t xml:space="preserve">Violation route</t>
  </si>
  <si>
    <t xml:space="preserve">N01</t>
  </si>
  <si>
    <t xml:space="preserve">learning-warrant issue</t>
  </si>
  <si>
    <t xml:space="preserve">obligation</t>
  </si>
  <si>
    <t xml:space="preserve">reserve cohort</t>
  </si>
  <si>
    <t xml:space="preserve">hold</t>
  </si>
  <si>
    <t xml:space="preserve">N02</t>
  </si>
  <si>
    <t xml:space="preserve">cohort schedule</t>
  </si>
  <si>
    <t xml:space="preserve">execution</t>
  </si>
  <si>
    <t xml:space="preserve">activate gates</t>
  </si>
  <si>
    <t xml:space="preserve">N03</t>
  </si>
  <si>
    <t xml:space="preserve">perform bounded work</t>
  </si>
  <si>
    <t xml:space="preserve">AVW plus FDW</t>
  </si>
  <si>
    <t xml:space="preserve">rollback</t>
  </si>
  <si>
    <t xml:space="preserve">N04</t>
  </si>
  <si>
    <t xml:space="preserve">notice to proceed</t>
  </si>
  <si>
    <t xml:space="preserve">produce package</t>
  </si>
  <si>
    <t xml:space="preserve">rework</t>
  </si>
  <si>
    <t xml:space="preserve">N05</t>
  </si>
  <si>
    <t xml:space="preserve">active work</t>
  </si>
  <si>
    <t xml:space="preserve">observation</t>
  </si>
  <si>
    <t xml:space="preserve">submit artifact</t>
  </si>
  <si>
    <t xml:space="preserve">terminate</t>
  </si>
  <si>
    <t xml:space="preserve">N06</t>
  </si>
  <si>
    <t xml:space="preserve">source-capsule receipt</t>
  </si>
  <si>
    <t xml:space="preserve">native replay</t>
  </si>
  <si>
    <t xml:space="preserve">instantiate environment</t>
  </si>
  <si>
    <t xml:space="preserve">N07</t>
  </si>
  <si>
    <t xml:space="preserve">clean reconstruction</t>
  </si>
  <si>
    <t xml:space="preserve">open public contract</t>
  </si>
  <si>
    <t xml:space="preserve">N08</t>
  </si>
  <si>
    <t xml:space="preserve">semantic agreement</t>
  </si>
  <si>
    <t xml:space="preserve">commit comparison</t>
  </si>
  <si>
    <t xml:space="preserve">N09</t>
  </si>
  <si>
    <t xml:space="preserve">seek artifact validity</t>
  </si>
  <si>
    <t xml:space="preserve">zero evidence credit</t>
  </si>
  <si>
    <t xml:space="preserve">N10</t>
  </si>
  <si>
    <t xml:space="preserve">common kernel</t>
  </si>
  <si>
    <t xml:space="preserve">common solver</t>
  </si>
  <si>
    <t xml:space="preserve">transport public meaning</t>
  </si>
  <si>
    <t xml:space="preserve">none</t>
  </si>
  <si>
    <t xml:space="preserve">N11</t>
  </si>
  <si>
    <t xml:space="preserve">archive presence</t>
  </si>
  <si>
    <t xml:space="preserve">initiate reconstruction</t>
  </si>
  <si>
    <t xml:space="preserve">N12</t>
  </si>
  <si>
    <t xml:space="preserve">site topology</t>
  </si>
  <si>
    <t xml:space="preserve">site admission</t>
  </si>
  <si>
    <t xml:space="preserve">file docket</t>
  </si>
  <si>
    <t xml:space="preserve">Site Court admission</t>
  </si>
  <si>
    <t xml:space="preserve">N13</t>
  </si>
  <si>
    <t xml:space="preserve">commissioned build</t>
  </si>
  <si>
    <t xml:space="preserve">install separated estate</t>
  </si>
  <si>
    <t xml:space="preserve">Commissioning acceptance</t>
  </si>
  <si>
    <t xml:space="preserve">N14</t>
  </si>
  <si>
    <t xml:space="preserve">installed capacity</t>
  </si>
  <si>
    <t xml:space="preserve">reserved capacity</t>
  </si>
  <si>
    <t xml:space="preserve">instrument resource classes</t>
  </si>
  <si>
    <t xml:space="preserve">Capacity attestation</t>
  </si>
  <si>
    <t xml:space="preserve">N15</t>
  </si>
  <si>
    <t xml:space="preserve">capacity model pass</t>
  </si>
  <si>
    <t xml:space="preserve">measured non-displacement</t>
  </si>
  <si>
    <t xml:space="preserve">execute concurrent cold run</t>
  </si>
  <si>
    <t xml:space="preserve">NDW</t>
  </si>
  <si>
    <t xml:space="preserve">N16</t>
  </si>
  <si>
    <t xml:space="preserve">completed drill</t>
  </si>
  <si>
    <t xml:space="preserve">record recovery clocks</t>
  </si>
  <si>
    <t xml:space="preserve">package-specific AVW</t>
  </si>
  <si>
    <t xml:space="preserve">zero validity credit</t>
  </si>
  <si>
    <t xml:space="preserve">N17</t>
  </si>
  <si>
    <t xml:space="preserve">one-site survival</t>
  </si>
  <si>
    <t xml:space="preserve">two-site survival</t>
  </si>
  <si>
    <t xml:space="preserve">restore lost site</t>
  </si>
  <si>
    <t xml:space="preserve">new loss trial</t>
  </si>
  <si>
    <t xml:space="preserve">N18</t>
  </si>
  <si>
    <t xml:space="preserve">submit package</t>
  </si>
  <si>
    <t xml:space="preserve">N19</t>
  </si>
  <si>
    <t xml:space="preserve">valid package</t>
  </si>
  <si>
    <t xml:space="preserve">accepted milestone</t>
  </si>
  <si>
    <t xml:space="preserve">review claim</t>
  </si>
  <si>
    <t xml:space="preserve">N20</t>
  </si>
  <si>
    <t xml:space="preserve">review ceiling</t>
  </si>
  <si>
    <t xml:space="preserve">N21</t>
  </si>
  <si>
    <t xml:space="preserve">join finance warrant</t>
  </si>
  <si>
    <t xml:space="preserve">N22</t>
  </si>
  <si>
    <t xml:space="preserve">join validity warrant</t>
  </si>
  <si>
    <t xml:space="preserve">N23</t>
  </si>
  <si>
    <t xml:space="preserve">paid claim</t>
  </si>
  <si>
    <t xml:space="preserve">issue payment instruction</t>
  </si>
  <si>
    <t xml:space="preserve">Disbursing authority</t>
  </si>
  <si>
    <t xml:space="preserve">N24</t>
  </si>
  <si>
    <t xml:space="preserve">close cash record</t>
  </si>
  <si>
    <t xml:space="preserve">N25</t>
  </si>
  <si>
    <t xml:space="preserve">selection</t>
  </si>
  <si>
    <t xml:space="preserve">preserve package</t>
  </si>
  <si>
    <t xml:space="preserve">Selection warrant</t>
  </si>
  <si>
    <t xml:space="preserve">N26</t>
  </si>
  <si>
    <t xml:space="preserve">MAKE</t>
  </si>
  <si>
    <t xml:space="preserve">preserve design record</t>
  </si>
  <si>
    <t xml:space="preserve">N27</t>
  </si>
  <si>
    <t xml:space="preserve">REP-4</t>
  </si>
  <si>
    <t xml:space="preserve">retain REP-3 ceiling</t>
  </si>
  <si>
    <t xml:space="preserve">REP-4 authority</t>
  </si>
  <si>
    <t xml:space="preserve">N28</t>
  </si>
  <si>
    <t xml:space="preserve">favorable cost</t>
  </si>
  <si>
    <t xml:space="preserve">technical rank</t>
  </si>
  <si>
    <t xml:space="preserve">record finance variance</t>
  </si>
  <si>
    <t xml:space="preserve">N29</t>
  </si>
  <si>
    <t xml:space="preserve">schedule completion</t>
  </si>
  <si>
    <t xml:space="preserve">technical maturity</t>
  </si>
  <si>
    <t xml:space="preserve">record schedule state</t>
  </si>
  <si>
    <t xml:space="preserve">Evidence warrant</t>
  </si>
  <si>
    <t xml:space="preserve">N30</t>
  </si>
  <si>
    <t xml:space="preserve">safety burden</t>
  </si>
  <si>
    <t xml:space="preserve">translate source-blind rule</t>
  </si>
  <si>
    <t xml:space="preserve">RSCW</t>
  </si>
  <si>
    <t xml:space="preserve">N31</t>
  </si>
  <si>
    <t xml:space="preserve">permanent validity</t>
  </si>
  <si>
    <t xml:space="preserve">return to prior state</t>
  </si>
  <si>
    <t xml:space="preserve">reissued warrant</t>
  </si>
  <si>
    <t xml:space="preserve">revoke</t>
  </si>
  <si>
    <t xml:space="preserve">N32</t>
  </si>
  <si>
    <t xml:space="preserve">failover activation</t>
  </si>
  <si>
    <t xml:space="preserve">renewed validity</t>
  </si>
  <si>
    <t xml:space="preserve">operate lawful survivor</t>
  </si>
  <si>
    <t xml:space="preserve">new recovery warrant</t>
  </si>
  <si>
    <t xml:space="preserve">Expiry constitution</t>
  </si>
  <si>
    <t xml:space="preserve">Validity is leased to one configuration, ancestry, civic obligation and available estate. It is never permanent.</t>
  </si>
  <si>
    <t xml:space="preserve">Route</t>
  </si>
  <si>
    <t xml:space="preserve">Object</t>
  </si>
  <si>
    <t xml:space="preserve">Trigger</t>
  </si>
  <si>
    <t xml:space="preserve">Expiry clock</t>
  </si>
  <si>
    <t xml:space="preserve">Immediate action</t>
  </si>
  <si>
    <t xml:space="preserve">Re-entry requirement</t>
  </si>
  <si>
    <t xml:space="preserve">Money effect</t>
  </si>
  <si>
    <t xml:space="preserve">Current events</t>
  </si>
  <si>
    <t xml:space="preserve">E01</t>
  </si>
  <si>
    <t xml:space="preserve">configuration hash changes</t>
  </si>
  <si>
    <t xml:space="preserve">immediate</t>
  </si>
  <si>
    <t xml:space="preserve">revoke AVW</t>
  </si>
  <si>
    <t xml:space="preserve">new dual reconstruction</t>
  </si>
  <si>
    <t xml:space="preserve">freeze unpaid claims</t>
  </si>
  <si>
    <t xml:space="preserve">E02</t>
  </si>
  <si>
    <t xml:space="preserve">causal event or denominator changes</t>
  </si>
  <si>
    <t xml:space="preserve">new trace and reconstruction</t>
  </si>
  <si>
    <t xml:space="preserve">E03</t>
  </si>
  <si>
    <t xml:space="preserve">dependency or license bill changes</t>
  </si>
  <si>
    <t xml:space="preserve">before next use</t>
  </si>
  <si>
    <t xml:space="preserve">native and clean replay</t>
  </si>
  <si>
    <t xml:space="preserve">E04</t>
  </si>
  <si>
    <t xml:space="preserve">material or process assumption changes</t>
  </si>
  <si>
    <t xml:space="preserve">physical ledger revision</t>
  </si>
  <si>
    <t xml:space="preserve">E05</t>
  </si>
  <si>
    <t xml:space="preserve">root epoch advances</t>
  </si>
  <si>
    <t xml:space="preserve">epoch boundary</t>
  </si>
  <si>
    <t xml:space="preserve">source-blind translation plus replay</t>
  </si>
  <si>
    <t xml:space="preserve">competitive ceiling unchanged</t>
  </si>
  <si>
    <t xml:space="preserve">E06</t>
  </si>
  <si>
    <t xml:space="preserve">rights or access obligation changes</t>
  </si>
  <si>
    <t xml:space="preserve">civil closure review</t>
  </si>
  <si>
    <t xml:space="preserve">E07</t>
  </si>
  <si>
    <t xml:space="preserve">superseding capsule issues</t>
  </si>
  <si>
    <t xml:space="preserve">seal predecessor</t>
  </si>
  <si>
    <t xml:space="preserve">new content-addressed record</t>
  </si>
  <si>
    <t xml:space="preserve">E08</t>
  </si>
  <si>
    <t xml:space="preserve">Native replay</t>
  </si>
  <si>
    <t xml:space="preserve">sealed toolchain changes</t>
  </si>
  <si>
    <t xml:space="preserve">invalidate replay</t>
  </si>
  <si>
    <t xml:space="preserve">rerun frozen case</t>
  </si>
  <si>
    <t xml:space="preserve">E09</t>
  </si>
  <si>
    <t xml:space="preserve">Clean reconstruction</t>
  </si>
  <si>
    <t xml:space="preserve">decisive tool ancestry changes</t>
  </si>
  <si>
    <t xml:space="preserve">invalidate clean path</t>
  </si>
  <si>
    <t xml:space="preserve">new disjoint commitment</t>
  </si>
  <si>
    <t xml:space="preserve">E10</t>
  </si>
  <si>
    <t xml:space="preserve">semantic delta reopens</t>
  </si>
  <si>
    <t xml:space="preserve">new court disposition</t>
  </si>
  <si>
    <t xml:space="preserve">E11</t>
  </si>
  <si>
    <t xml:space="preserve">Court quorum</t>
  </si>
  <si>
    <t xml:space="preserve">seat conflict or loss</t>
  </si>
  <si>
    <t xml:space="preserve">suspend issue</t>
  </si>
  <si>
    <t xml:space="preserve">reconstitute two-of-three quorum</t>
  </si>
  <si>
    <t xml:space="preserve">E12</t>
  </si>
  <si>
    <t xml:space="preserve">truth schedule or capacity changes</t>
  </si>
  <si>
    <t xml:space="preserve">before co-use</t>
  </si>
  <si>
    <t xml:space="preserve">revoke capacity claim</t>
  </si>
  <si>
    <t xml:space="preserve">repeat concurrent cold run</t>
  </si>
  <si>
    <t xml:space="preserve">capital remains nested</t>
  </si>
  <si>
    <t xml:space="preserve">E13</t>
  </si>
  <si>
    <t xml:space="preserve">Root availability</t>
  </si>
  <si>
    <t xml:space="preserve">one site warrant expires</t>
  </si>
  <si>
    <t xml:space="preserve">degrade root</t>
  </si>
  <si>
    <t xml:space="preserve">restore three lawful sites</t>
  </si>
  <si>
    <t xml:space="preserve">E14</t>
  </si>
  <si>
    <t xml:space="preserve">Key set</t>
  </si>
  <si>
    <t xml:space="preserve">compromise or custody change</t>
  </si>
  <si>
    <t xml:space="preserve">destroy and isolate</t>
  </si>
  <si>
    <t xml:space="preserve">new threshold ceremony</t>
  </si>
  <si>
    <t xml:space="preserve">E15</t>
  </si>
  <si>
    <t xml:space="preserve">Recovery trial</t>
  </si>
  <si>
    <t xml:space="preserve">measured clock missed</t>
  </si>
  <si>
    <t xml:space="preserve">at miss</t>
  </si>
  <si>
    <t xml:space="preserve">repair and repeat world</t>
  </si>
  <si>
    <t xml:space="preserve">E16</t>
  </si>
  <si>
    <t xml:space="preserve">Exchange mirror</t>
  </si>
  <si>
    <t xml:space="preserve">lineage or mirror stale</t>
  </si>
  <si>
    <t xml:space="preserve">before issue</t>
  </si>
  <si>
    <t xml:space="preserve">hold court witness</t>
  </si>
  <si>
    <t xml:space="preserve">synchronize from public source</t>
  </si>
  <si>
    <t xml:space="preserve">E17</t>
  </si>
  <si>
    <t xml:space="preserve">claim ceiling or milestone changes</t>
  </si>
  <si>
    <t xml:space="preserve">revoke FDW</t>
  </si>
  <si>
    <t xml:space="preserve">new finance review</t>
  </si>
  <si>
    <t xml:space="preserve">return unearned authority</t>
  </si>
  <si>
    <t xml:space="preserve">E18</t>
  </si>
  <si>
    <t xml:space="preserve">execution window closes</t>
  </si>
  <si>
    <t xml:space="preserve">cancel instruction</t>
  </si>
  <si>
    <t xml:space="preserve">new AVW and FDW check</t>
  </si>
  <si>
    <t xml:space="preserve">no cash finality</t>
  </si>
  <si>
    <t xml:space="preserve">Rollback removes only the authority created by the invalid act and preserves prior adverse records, sibling reserves and public lineage.</t>
  </si>
  <si>
    <t xml:space="preserve">Scope</t>
  </si>
  <si>
    <t xml:space="preserve">Return state</t>
  </si>
  <si>
    <t xml:space="preserve">Required action</t>
  </si>
  <si>
    <t xml:space="preserve">Fiscal disposition</t>
  </si>
  <si>
    <t xml:space="preserve">Forbidden shortcut</t>
  </si>
  <si>
    <t xml:space="preserve">R01</t>
  </si>
  <si>
    <t xml:space="preserve">open validity gate after issue</t>
  </si>
  <si>
    <t xml:space="preserve">package</t>
  </si>
  <si>
    <t xml:space="preserve">WORK / REWORK</t>
  </si>
  <si>
    <t xml:space="preserve">revoke AVW and return gate</t>
  </si>
  <si>
    <t xml:space="preserve">freeze unpaid claim</t>
  </si>
  <si>
    <t xml:space="preserve">administrative waiver</t>
  </si>
  <si>
    <t xml:space="preserve">R02</t>
  </si>
  <si>
    <t xml:space="preserve">native replay failure</t>
  </si>
  <si>
    <t xml:space="preserve">CAPSULE REWORK</t>
  </si>
  <si>
    <t xml:space="preserve">repair sealed environment</t>
  </si>
  <si>
    <t xml:space="preserve">preserve budget</t>
  </si>
  <si>
    <t xml:space="preserve">clean-only validity</t>
  </si>
  <si>
    <t xml:space="preserve">R03</t>
  </si>
  <si>
    <t xml:space="preserve">clean reconstruction failure</t>
  </si>
  <si>
    <t xml:space="preserve">DIVERGENT / HOLD</t>
  </si>
  <si>
    <t xml:space="preserve">rebuild with disjoint tools</t>
  </si>
  <si>
    <t xml:space="preserve">native-only validity</t>
  </si>
  <si>
    <t xml:space="preserve">R04</t>
  </si>
  <si>
    <t xml:space="preserve">semantic mismatch</t>
  </si>
  <si>
    <t xml:space="preserve">court disposition</t>
  </si>
  <si>
    <t xml:space="preserve">average results</t>
  </si>
  <si>
    <t xml:space="preserve">R05</t>
  </si>
  <si>
    <t xml:space="preserve">performance leakage</t>
  </si>
  <si>
    <t xml:space="preserve">root</t>
  </si>
  <si>
    <t xml:space="preserve">isolate recipients and restore epoch</t>
  </si>
  <si>
    <t xml:space="preserve">no sibling transfer</t>
  </si>
  <si>
    <t xml:space="preserve">redesign later sibling</t>
  </si>
  <si>
    <t xml:space="preserve">R06</t>
  </si>
  <si>
    <t xml:space="preserve">common control</t>
  </si>
  <si>
    <t xml:space="preserve">form cell</t>
  </si>
  <si>
    <t xml:space="preserve">TERMINATED</t>
  </si>
  <si>
    <t xml:space="preserve">seal artifacts and appoint clean successor</t>
  </si>
  <si>
    <t xml:space="preserve">unearned funds protected</t>
  </si>
  <si>
    <t xml:space="preserve">efficiency waiver</t>
  </si>
  <si>
    <t xml:space="preserve">R07</t>
  </si>
  <si>
    <t xml:space="preserve">site loss</t>
  </si>
  <si>
    <t xml:space="preserve">site</t>
  </si>
  <si>
    <t xml:space="preserve">DEGRADED</t>
  </si>
  <si>
    <t xml:space="preserve">activate lawful standby and restore</t>
  </si>
  <si>
    <t xml:space="preserve">central takeover</t>
  </si>
  <si>
    <t xml:space="preserve">R08</t>
  </si>
  <si>
    <t xml:space="preserve">region loss</t>
  </si>
  <si>
    <t xml:space="preserve">three roots</t>
  </si>
  <si>
    <t xml:space="preserve">activate cross-region paths</t>
  </si>
  <si>
    <t xml:space="preserve">cross-root borrowing</t>
  </si>
  <si>
    <t xml:space="preserve">R09</t>
  </si>
  <si>
    <t xml:space="preserve">truth-capacity displacement</t>
  </si>
  <si>
    <t xml:space="preserve">PLANNED</t>
  </si>
  <si>
    <t xml:space="preserve">revoke NDW and release artifact load</t>
  </si>
  <si>
    <t xml:space="preserve">capacity inferred from spend</t>
  </si>
  <si>
    <t xml:space="preserve">R10</t>
  </si>
  <si>
    <t xml:space="preserve">vendor exit</t>
  </si>
  <si>
    <t xml:space="preserve">docket</t>
  </si>
  <si>
    <t xml:space="preserve">public step-in and clean reconstruction</t>
  </si>
  <si>
    <t xml:space="preserve">unearned vendor amount held</t>
  </si>
  <si>
    <t xml:space="preserve">vendor operation</t>
  </si>
  <si>
    <t xml:space="preserve">R11</t>
  </si>
  <si>
    <t xml:space="preserve">key set</t>
  </si>
  <si>
    <t xml:space="preserve">KEYED</t>
  </si>
  <si>
    <t xml:space="preserve">destroy shares and rekey</t>
  </si>
  <si>
    <t xml:space="preserve">single master key</t>
  </si>
  <si>
    <t xml:space="preserve">R12</t>
  </si>
  <si>
    <t xml:space="preserve">court conflict</t>
  </si>
  <si>
    <t xml:space="preserve">root court</t>
  </si>
  <si>
    <t xml:space="preserve">RE-QUORUM</t>
  </si>
  <si>
    <t xml:space="preserve">recuse and reconstruct quorum</t>
  </si>
  <si>
    <t xml:space="preserve">national substitute judge</t>
  </si>
  <si>
    <t xml:space="preserve">R13</t>
  </si>
  <si>
    <t xml:space="preserve">Exchange share loss</t>
  </si>
  <si>
    <t xml:space="preserve">Exchange</t>
  </si>
  <si>
    <t xml:space="preserve">restore share from public mirror</t>
  </si>
  <si>
    <t xml:space="preserve">reduce threshold</t>
  </si>
  <si>
    <t xml:space="preserve">R14</t>
  </si>
  <si>
    <t xml:space="preserve">FDW without AVW</t>
  </si>
  <si>
    <t xml:space="preserve">claim</t>
  </si>
  <si>
    <t xml:space="preserve">pay on contract acceptance</t>
  </si>
  <si>
    <t xml:space="preserve">R15</t>
  </si>
  <si>
    <t xml:space="preserve">payment without both warrants</t>
  </si>
  <si>
    <t xml:space="preserve">stop or recover payment</t>
  </si>
  <si>
    <t xml:space="preserve">restore protected account</t>
  </si>
  <si>
    <t xml:space="preserve">cash as technical credit</t>
  </si>
  <si>
    <t xml:space="preserve">R16</t>
  </si>
  <si>
    <t xml:space="preserve">contaminated observation claim</t>
  </si>
  <si>
    <t xml:space="preserve">compact</t>
  </si>
  <si>
    <t xml:space="preserve">seal claim outside evidence ledger</t>
  </si>
  <si>
    <t xml:space="preserve">artifact-to-evidence conversion</t>
  </si>
  <si>
    <t xml:space="preserve">R17</t>
  </si>
  <si>
    <t xml:space="preserve">premature selection or MAKE</t>
  </si>
  <si>
    <t xml:space="preserve">void act and preserve candidates</t>
  </si>
  <si>
    <t xml:space="preserve">reserve unchanged</t>
  </si>
  <si>
    <t xml:space="preserve">ratify after the fact</t>
  </si>
  <si>
    <t xml:space="preserve">R18</t>
  </si>
  <si>
    <t xml:space="preserve">expired fifth-pass branch</t>
  </si>
  <si>
    <t xml:space="preserve">branch</t>
  </si>
  <si>
    <t xml:space="preserve">RETURNED</t>
  </si>
  <si>
    <t xml:space="preserve">close item and return to parent</t>
  </si>
  <si>
    <t xml:space="preserve">sixth AVA pass</t>
  </si>
  <si>
    <t xml:space="preserve">Nonwaivable termination routes</t>
  </si>
  <si>
    <t xml:space="preserve">A fatal finding ends the affected authority. It cannot be converted into rework, a variance or centralized rescue.</t>
  </si>
  <si>
    <t xml:space="preserve">Fatal finding</t>
  </si>
  <si>
    <t xml:space="preserve">Authority terminated</t>
  </si>
  <si>
    <t xml:space="preserve">Evidence preserved</t>
  </si>
  <si>
    <t xml:space="preserve">Fiscal destination</t>
  </si>
  <si>
    <t xml:space="preserve">Successor rule</t>
  </si>
  <si>
    <t xml:space="preserve">T01</t>
  </si>
  <si>
    <t xml:space="preserve">builder controls clean reconstruction</t>
  </si>
  <si>
    <t xml:space="preserve">artifact-validity path</t>
  </si>
  <si>
    <t xml:space="preserve">all source and divergence records</t>
  </si>
  <si>
    <t xml:space="preserve">protected custody</t>
  </si>
  <si>
    <t xml:space="preserve">clean successor only</t>
  </si>
  <si>
    <t xml:space="preserve">T02</t>
  </si>
  <si>
    <t xml:space="preserve">native and clean paths share decisive tools</t>
  </si>
  <si>
    <t xml:space="preserve">AVW eligibility</t>
  </si>
  <si>
    <t xml:space="preserve">both committed results</t>
  </si>
  <si>
    <t xml:space="preserve">package ceiling held</t>
  </si>
  <si>
    <t xml:space="preserve">new disjoint path</t>
  </si>
  <si>
    <t xml:space="preserve">T03</t>
  </si>
  <si>
    <t xml:space="preserve">court quorum under common control</t>
  </si>
  <si>
    <t xml:space="preserve">root AVW issue</t>
  </si>
  <si>
    <t xml:space="preserve">prior warrants and recusals</t>
  </si>
  <si>
    <t xml:space="preserve">reconstitute court</t>
  </si>
  <si>
    <t xml:space="preserve">T04</t>
  </si>
  <si>
    <t xml:space="preserve">custody threshold captured</t>
  </si>
  <si>
    <t xml:space="preserve">escrow release</t>
  </si>
  <si>
    <t xml:space="preserve">all mirror histories</t>
  </si>
  <si>
    <t xml:space="preserve">rekey from public mirrors</t>
  </si>
  <si>
    <t xml:space="preserve">T05</t>
  </si>
  <si>
    <t xml:space="preserve">intentional sibling performance leakage</t>
  </si>
  <si>
    <t xml:space="preserve">affected root epoch</t>
  </si>
  <si>
    <t xml:space="preserve">disclosed payload and recipients</t>
  </si>
  <si>
    <t xml:space="preserve">all sibling money protected</t>
  </si>
  <si>
    <t xml:space="preserve">independent contamination inquiry</t>
  </si>
  <si>
    <t xml:space="preserve">T06</t>
  </si>
  <si>
    <t xml:space="preserve">source or lineage falsification</t>
  </si>
  <si>
    <t xml:space="preserve">package lineage</t>
  </si>
  <si>
    <t xml:space="preserve">false and corrected records</t>
  </si>
  <si>
    <t xml:space="preserve">unearned amount protected</t>
  </si>
  <si>
    <t xml:space="preserve">new authorship chain</t>
  </si>
  <si>
    <t xml:space="preserve">T07</t>
  </si>
  <si>
    <t xml:space="preserve">append-only archive overwritten</t>
  </si>
  <si>
    <t xml:space="preserve">estate</t>
  </si>
  <si>
    <t xml:space="preserve">estate availability</t>
  </si>
  <si>
    <t xml:space="preserve">recovered histories</t>
  </si>
  <si>
    <t xml:space="preserve">capital held</t>
  </si>
  <si>
    <t xml:space="preserve">reconstitute public archive</t>
  </si>
  <si>
    <t xml:space="preserve">T08</t>
  </si>
  <si>
    <t xml:space="preserve">vendor becomes operating dependency</t>
  </si>
  <si>
    <t xml:space="preserve">site commissioning</t>
  </si>
  <si>
    <t xml:space="preserve">dependency record</t>
  </si>
  <si>
    <t xml:space="preserve">vendor amount held</t>
  </si>
  <si>
    <t xml:space="preserve">public step-in</t>
  </si>
  <si>
    <t xml:space="preserve">T09</t>
  </si>
  <si>
    <t xml:space="preserve">truth reservation displaced</t>
  </si>
  <si>
    <t xml:space="preserve">NDW and root availability</t>
  </si>
  <si>
    <t xml:space="preserve">capacity transcript</t>
  </si>
  <si>
    <t xml:space="preserve">repeat after physical separation</t>
  </si>
  <si>
    <t xml:space="preserve">T10</t>
  </si>
  <si>
    <t xml:space="preserve">rights or residual obligation falsified</t>
  </si>
  <si>
    <t xml:space="preserve">civil record</t>
  </si>
  <si>
    <t xml:space="preserve">new civil closure</t>
  </si>
  <si>
    <t xml:space="preserve">T11</t>
  </si>
  <si>
    <t xml:space="preserve">payment issued without AVW and FDW</t>
  </si>
  <si>
    <t xml:space="preserve">claim authority</t>
  </si>
  <si>
    <t xml:space="preserve">claim and payment record</t>
  </si>
  <si>
    <t xml:space="preserve">recover if lawful</t>
  </si>
  <si>
    <t xml:space="preserve">new separated review</t>
  </si>
  <si>
    <t xml:space="preserve">T12</t>
  </si>
  <si>
    <t xml:space="preserve">artifact accepted as observation</t>
  </si>
  <si>
    <t xml:space="preserve">invalid observation preserved</t>
  </si>
  <si>
    <t xml:space="preserve">Evidence Court only</t>
  </si>
  <si>
    <t xml:space="preserve">T13</t>
  </si>
  <si>
    <t xml:space="preserve">artifact used to select form</t>
  </si>
  <si>
    <t xml:space="preserve">selection act preserved as invalid</t>
  </si>
  <si>
    <t xml:space="preserve">future Selection Court</t>
  </si>
  <si>
    <t xml:space="preserve">T14</t>
  </si>
  <si>
    <t xml:space="preserve">artifact used to authorize MAKE</t>
  </si>
  <si>
    <t xml:space="preserve">construction act preserved as invalid</t>
  </si>
  <si>
    <t xml:space="preserve">no construction draw</t>
  </si>
  <si>
    <t xml:space="preserve">separate MAKE warrant</t>
  </si>
  <si>
    <t xml:space="preserve">T15</t>
  </si>
  <si>
    <t xml:space="preserve">artifact used to issue REP-4</t>
  </si>
  <si>
    <t xml:space="preserve">representation act preserved as invalid</t>
  </si>
  <si>
    <t xml:space="preserve">as-built authority only</t>
  </si>
  <si>
    <t xml:space="preserve">T16</t>
  </si>
  <si>
    <t xml:space="preserve">protected sibling reserve encumbered</t>
  </si>
  <si>
    <t xml:space="preserve">cohort-one finance</t>
  </si>
  <si>
    <t xml:space="preserve">encumbrance record</t>
  </si>
  <si>
    <t xml:space="preserve">restore USD359M boundary</t>
  </si>
  <si>
    <t xml:space="preserve">new finance compact</t>
  </si>
  <si>
    <t xml:space="preserve">Integrated constitutional stress worlds</t>
  </si>
  <si>
    <t xml:space="preserve">The model tests lawful progress, incomplete prerequisites, control failure, premature finance and prohibited downstream conversion.</t>
  </si>
  <si>
    <t xml:space="preserve">World</t>
  </si>
  <si>
    <t xml:space="preserve">Class</t>
  </si>
  <si>
    <t xml:space="preserve">Condition</t>
  </si>
  <si>
    <t xml:space="preserve">Gates</t>
  </si>
  <si>
    <t xml:space="preserve">Native</t>
  </si>
  <si>
    <t xml:space="preserve">Clean</t>
  </si>
  <si>
    <t xml:space="preserve">Estate</t>
  </si>
  <si>
    <t xml:space="preserve">Independent</t>
  </si>
  <si>
    <t xml:space="preserve">Leakage</t>
  </si>
  <si>
    <t xml:space="preserve">Ceiling</t>
  </si>
  <si>
    <t xml:space="preserve">AVW claimed</t>
  </si>
  <si>
    <t xml:space="preserve">FDW claimed</t>
  </si>
  <si>
    <t xml:space="preserve">Payment claimed</t>
  </si>
  <si>
    <t xml:space="preserve">Evidence claimed</t>
  </si>
  <si>
    <t xml:space="preserve">Selection claimed</t>
  </si>
  <si>
    <t xml:space="preserve">MAKE claimed</t>
  </si>
  <si>
    <t xml:space="preserve">REP-4 claimed</t>
  </si>
  <si>
    <t xml:space="preserve">Reserve intact</t>
  </si>
  <si>
    <t xml:space="preserve">Expected package state</t>
  </si>
  <si>
    <t xml:space="preserve">Expected compact state</t>
  </si>
  <si>
    <t xml:space="preserve">AVW eligible</t>
  </si>
  <si>
    <t xml:space="preserve">FDW eligible</t>
  </si>
  <si>
    <t xml:space="preserve">Payment eligible</t>
  </si>
  <si>
    <t xml:space="preserve">Computed package state</t>
  </si>
  <si>
    <t xml:space="preserve">Computed compact state</t>
  </si>
  <si>
    <t xml:space="preserve">Result</t>
  </si>
  <si>
    <t xml:space="preserve">W01</t>
  </si>
  <si>
    <t xml:space="preserve">LAWFUL</t>
  </si>
  <si>
    <t xml:space="preserve">obligation only</t>
  </si>
  <si>
    <t xml:space="preserve">OBLIGATED / OPEN</t>
  </si>
  <si>
    <t xml:space="preserve">CONTROLLED</t>
  </si>
  <si>
    <t xml:space="preserve">W02</t>
  </si>
  <si>
    <t xml:space="preserve">partial package gates</t>
  </si>
  <si>
    <t xml:space="preserve">W03</t>
  </si>
  <si>
    <t xml:space="preserve">gates complete, reconstruction absent</t>
  </si>
  <si>
    <t xml:space="preserve">RECONSTRUCTION / HOLD</t>
  </si>
  <si>
    <t xml:space="preserve">W04</t>
  </si>
  <si>
    <t xml:space="preserve">native replay only</t>
  </si>
  <si>
    <t xml:space="preserve">W05</t>
  </si>
  <si>
    <t xml:space="preserve">semantic set incomplete</t>
  </si>
  <si>
    <t xml:space="preserve">W06</t>
  </si>
  <si>
    <t xml:space="preserve">eligible, AVW unissued</t>
  </si>
  <si>
    <t xml:space="preserve">ELIGIBLE / UNISSUED</t>
  </si>
  <si>
    <t xml:space="preserve">W07</t>
  </si>
  <si>
    <t xml:space="preserve">valid artifact, finance unissued</t>
  </si>
  <si>
    <t xml:space="preserve">VALID</t>
  </si>
  <si>
    <t xml:space="preserve">W08</t>
  </si>
  <si>
    <t xml:space="preserve">valid and payable claim</t>
  </si>
  <si>
    <t xml:space="preserve">W09</t>
  </si>
  <si>
    <t xml:space="preserve">VALIDITY</t>
  </si>
  <si>
    <t xml:space="preserve">source gate open</t>
  </si>
  <si>
    <t xml:space="preserve">ROLLBACK</t>
  </si>
  <si>
    <t xml:space="preserve">W10</t>
  </si>
  <si>
    <t xml:space="preserve">native replay fails</t>
  </si>
  <si>
    <t xml:space="preserve">W11</t>
  </si>
  <si>
    <t xml:space="preserve">clean reconstruction fails</t>
  </si>
  <si>
    <t xml:space="preserve">W12</t>
  </si>
  <si>
    <t xml:space="preserve">one invariant fails</t>
  </si>
  <si>
    <t xml:space="preserve">W13</t>
  </si>
  <si>
    <t xml:space="preserve">ESTATE</t>
  </si>
  <si>
    <t xml:space="preserve">estate unavailable</t>
  </si>
  <si>
    <t xml:space="preserve">W14</t>
  </si>
  <si>
    <t xml:space="preserve">NDW absent</t>
  </si>
  <si>
    <t xml:space="preserve">W15</t>
  </si>
  <si>
    <t xml:space="preserve">CONTROL</t>
  </si>
  <si>
    <t xml:space="preserve">W16</t>
  </si>
  <si>
    <t xml:space="preserve">W17</t>
  </si>
  <si>
    <t xml:space="preserve">FINANCE</t>
  </si>
  <si>
    <t xml:space="preserve">FDW claimed before AVW</t>
  </si>
  <si>
    <t xml:space="preserve">W18</t>
  </si>
  <si>
    <t xml:space="preserve">payment claimed before warrants</t>
  </si>
  <si>
    <t xml:space="preserve">W19</t>
  </si>
  <si>
    <t xml:space="preserve">milestone not accepted</t>
  </si>
  <si>
    <t xml:space="preserve">W20</t>
  </si>
  <si>
    <t xml:space="preserve">ceiling unavailable</t>
  </si>
  <si>
    <t xml:space="preserve">W21</t>
  </si>
  <si>
    <t xml:space="preserve">CONVERSION</t>
  </si>
  <si>
    <t xml:space="preserve">evidence claimed from artifact</t>
  </si>
  <si>
    <t xml:space="preserve">W22</t>
  </si>
  <si>
    <t xml:space="preserve">selection claimed from artifact</t>
  </si>
  <si>
    <t xml:space="preserve">W23</t>
  </si>
  <si>
    <t xml:space="preserve">MAKE claimed from artifact</t>
  </si>
  <si>
    <t xml:space="preserve">W24</t>
  </si>
  <si>
    <t xml:space="preserve">REP-4 claimed from artifact</t>
  </si>
  <si>
    <t xml:space="preserve">W25</t>
  </si>
  <si>
    <t xml:space="preserve">RESERVE</t>
  </si>
  <si>
    <t xml:space="preserve">sibling reserve encumbered</t>
  </si>
  <si>
    <t xml:space="preserve">W26</t>
  </si>
  <si>
    <t xml:space="preserve">COMPOUND</t>
  </si>
  <si>
    <t xml:space="preserve">site loss and premature AVW</t>
  </si>
  <si>
    <t xml:space="preserve">W27</t>
  </si>
  <si>
    <t xml:space="preserve">common control plus leakage</t>
  </si>
  <si>
    <t xml:space="preserve">W28</t>
  </si>
  <si>
    <t xml:space="preserve">invalid package and premature payment</t>
  </si>
  <si>
    <t xml:space="preserve">W29</t>
  </si>
  <si>
    <t xml:space="preserve">valid package and evidence conversion</t>
  </si>
  <si>
    <t xml:space="preserve">W30</t>
  </si>
  <si>
    <t xml:space="preserve">valid package and selection conversion</t>
  </si>
  <si>
    <t xml:space="preserve">W31</t>
  </si>
  <si>
    <t xml:space="preserve">valid package and MAKE conversion</t>
  </si>
  <si>
    <t xml:space="preserve">W32</t>
  </si>
  <si>
    <t xml:space="preserve">valid package and REP-4 conversion</t>
  </si>
  <si>
    <t xml:space="preserve">W33</t>
  </si>
  <si>
    <t xml:space="preserve">independence restored, no issue</t>
  </si>
  <si>
    <t xml:space="preserve">W34</t>
  </si>
  <si>
    <t xml:space="preserve">estate unavailable, no false claim</t>
  </si>
  <si>
    <t xml:space="preserve">W35</t>
  </si>
  <si>
    <t xml:space="preserve">AVW issued, milestone open</t>
  </si>
  <si>
    <t xml:space="preserve">W36</t>
  </si>
  <si>
    <t xml:space="preserve">AVW and milestone, FDW open</t>
  </si>
  <si>
    <t xml:space="preserve">W37</t>
  </si>
  <si>
    <t xml:space="preserve">payment complete, no technical conversion</t>
  </si>
  <si>
    <t xml:space="preserve">W38</t>
  </si>
  <si>
    <t xml:space="preserve">reserve intact under payment</t>
  </si>
  <si>
    <t xml:space="preserve">W39</t>
  </si>
  <si>
    <t xml:space="preserve">no claims during divergence</t>
  </si>
  <si>
    <t xml:space="preserve">W40</t>
  </si>
  <si>
    <t xml:space="preserve">fifth pass closes without successor</t>
  </si>
  <si>
    <t xml:space="preserve">Conserved artifact-validity finance</t>
  </si>
  <si>
    <t xml:space="preserve">The compact adds no money. It preserves the cohort obligation, later-sibling reserve, estate co-use ceiling and zero payment state.</t>
  </si>
  <si>
    <t xml:space="preserve">Cohort-one account allocation (USD millions)</t>
  </si>
  <si>
    <t xml:space="preserve">Account</t>
  </si>
  <si>
    <t xml:space="preserve">Cohort ceiling</t>
  </si>
  <si>
    <t xml:space="preserve">Current paid</t>
  </si>
  <si>
    <t xml:space="preserve">Design production</t>
  </si>
  <si>
    <t xml:space="preserve">Independent reconstruction</t>
  </si>
  <si>
    <t xml:space="preserve">Public source escrow</t>
  </si>
  <si>
    <t xml:space="preserve">Terminal holdback</t>
  </si>
  <si>
    <t xml:space="preserve">Conservation controls (USD millions)</t>
  </si>
  <si>
    <t xml:space="preserve">Control</t>
  </si>
  <si>
    <t xml:space="preserve">Amount</t>
  </si>
  <si>
    <t xml:space="preserve">Interpretation</t>
  </si>
  <si>
    <t xml:space="preserve">Cohort-one obligation</t>
  </si>
  <si>
    <t xml:space="preserve">active design liability</t>
  </si>
  <si>
    <t xml:space="preserve">Protected sibling reserve</t>
  </si>
  <si>
    <t xml:space="preserve">cannot cover cohort-one overruns</t>
  </si>
  <si>
    <t xml:space="preserve">FRAME ceiling</t>
  </si>
  <si>
    <t xml:space="preserve">conserved across all three cohorts</t>
  </si>
  <si>
    <t xml:space="preserve">Artifact-estate capital co-use ceiling</t>
  </si>
  <si>
    <t xml:space="preserve">nested inside public-method reserve</t>
  </si>
  <si>
    <t xml:space="preserve">Artifact-estate operating ceiling</t>
  </si>
  <si>
    <t xml:space="preserve">inside reconstruction and escrow accounts</t>
  </si>
  <si>
    <t xml:space="preserve">cash finality remains zero</t>
  </si>
  <si>
    <t xml:space="preserve">Claim reconciliation</t>
  </si>
  <si>
    <t xml:space="preserve">Claim records</t>
  </si>
  <si>
    <t xml:space="preserve">Claim ceiling</t>
  </si>
  <si>
    <t xml:space="preserve">Payable claims</t>
  </si>
  <si>
    <t xml:space="preserve">Paid claims</t>
  </si>
  <si>
    <t xml:space="preserve">Protected reserve used</t>
  </si>
  <si>
    <t xml:space="preserve">AVA terminal reconciliation and return</t>
  </si>
  <si>
    <t xml:space="preserve">The fifth pass closes the branch's only item, opens none and returns the integrated answer to the pre-registered cohort-one parent.</t>
  </si>
  <si>
    <t xml:space="preserve">Four controlling predecessor decisions</t>
  </si>
  <si>
    <t xml:space="preserve">Decision</t>
  </si>
  <si>
    <t xml:space="preserve">Pass</t>
  </si>
  <si>
    <t xml:space="preserve">Controlling object</t>
  </si>
  <si>
    <t xml:space="preserve">Contribution</t>
  </si>
  <si>
    <t xml:space="preserve">Cannot contribute</t>
  </si>
  <si>
    <t xml:space="preserve">Terminal status</t>
  </si>
  <si>
    <t xml:space="preserve">package validity and payment firewall</t>
  </si>
  <si>
    <t xml:space="preserve">AVW, FDW and twelve gates</t>
  </si>
  <si>
    <t xml:space="preserve">RETAIN</t>
  </si>
  <si>
    <t xml:space="preserve">source capsule and dual reconstruction</t>
  </si>
  <si>
    <t xml:space="preserve">reproducibility and semantic divergence</t>
  </si>
  <si>
    <t xml:space="preserve">physical truth</t>
  </si>
  <si>
    <t xml:space="preserve">eighteen-site federated estate</t>
  </si>
  <si>
    <t xml:space="preserve">courts, custody and failure topology</t>
  </si>
  <si>
    <t xml:space="preserve">commissioning and non-displacement</t>
  </si>
  <si>
    <t xml:space="preserve">dockets, capacity and recovery clocks</t>
  </si>
  <si>
    <t xml:space="preserve">Branch ledger</t>
  </si>
  <si>
    <t xml:space="preserve">Items opened</t>
  </si>
  <si>
    <t xml:space="preserve">Items closed</t>
  </si>
  <si>
    <t xml:space="preserve">Net change</t>
  </si>
  <si>
    <t xml:space="preserve">Running open total</t>
  </si>
  <si>
    <t xml:space="preserve">Branch passes consumed</t>
  </si>
  <si>
    <t xml:space="preserve">Branch budget</t>
  </si>
  <si>
    <t xml:space="preserve">No-KILL count since HR-02</t>
  </si>
  <si>
    <t xml:space="preserve">Verdict and parent</t>
  </si>
  <si>
    <t xml:space="preserve">Branch</t>
  </si>
  <si>
    <t xml:space="preserve">AVA 5 of 5; no successor authorized</t>
  </si>
  <si>
    <t xml:space="preserve">Parent question</t>
  </si>
  <si>
    <t xml:space="preserve">Can the six active cohort-one form cells convert thirty funded FRAME packages into source-sealed, independently reproducible and payable design artifacts without converting acceptance into evidence, exposing comparative performance, weakening sibling reserves or authorizing MAKE or REP-4; and what invalidity or common-control finding would terminate that authority?</t>
  </si>
  <si>
    <t xml:space="preserve">Returned answer</t>
  </si>
  <si>
    <t xml:space="preserve">Yes, but only through AVA-TC. The path is constituted and all implementation, validity, payment, evidence and production claims remain zero.</t>
  </si>
  <si>
    <t xml:space="preserve">Terminal compact controls</t>
  </si>
  <si>
    <t xml:space="preserve">Editable controls are blue. Current implementation and downstream authority remain zero unless an external warranted act occurs.</t>
  </si>
  <si>
    <t xml:space="preserve">Inherited constitutional controls</t>
  </si>
  <si>
    <t xml:space="preserve">Compact candidates</t>
  </si>
  <si>
    <t xml:space="preserve">Root count</t>
  </si>
  <si>
    <t xml:space="preserve">REJECT</t>
  </si>
  <si>
    <t xml:space="preserve">Validity gates per package</t>
  </si>
  <si>
    <t xml:space="preserve">Claims per package</t>
  </si>
  <si>
    <t xml:space="preserve">SELECT</t>
  </si>
  <si>
    <t xml:space="preserve">Capsule fields per package</t>
  </si>
  <si>
    <t xml:space="preserve">Native replay stages</t>
  </si>
  <si>
    <t xml:space="preserve">Clean reconstruction stages</t>
  </si>
  <si>
    <t xml:space="preserve">Semantic invariants</t>
  </si>
  <si>
    <t xml:space="preserve">Artifact-estate sites</t>
  </si>
  <si>
    <t xml:space="preserve">Role appointments</t>
  </si>
  <si>
    <t xml:space="preserve">Key and share records</t>
  </si>
  <si>
    <t xml:space="preserve">Vendor lots</t>
  </si>
  <si>
    <t xml:space="preserve">Failure worlds</t>
  </si>
  <si>
    <t xml:space="preserve">Resource classes</t>
  </si>
  <si>
    <t xml:space="preserve">Normalized host capacity</t>
  </si>
  <si>
    <t xml:space="preserve">Truth reservation</t>
  </si>
  <si>
    <t xml:space="preserve">Artifact maximum</t>
  </si>
  <si>
    <t xml:space="preserve">Minimum headroom</t>
  </si>
  <si>
    <t xml:space="preserve">Capital co-use ceiling (USD M)</t>
  </si>
  <si>
    <t xml:space="preserve">Operating ceiling (USD M)</t>
  </si>
  <si>
    <t xml:space="preserve">Cohort-one obligation (USD M)</t>
  </si>
  <si>
    <t xml:space="preserve">Protected sibling reserve (USD M)</t>
  </si>
  <si>
    <t xml:space="preserve">FRAME ceiling (USD M)</t>
  </si>
  <si>
    <t xml:space="preserve">Tolerance</t>
  </si>
  <si>
    <t xml:space="preserve">Current implementation and authority</t>
  </si>
  <si>
    <t xml:space="preserve">Site admissions</t>
  </si>
  <si>
    <t xml:space="preserve">Issued keys and shares</t>
  </si>
  <si>
    <t xml:space="preserve">Vendor awards</t>
  </si>
  <si>
    <t xml:space="preserve">Commissioned builds</t>
  </si>
  <si>
    <t xml:space="preserve">Completed recovery trials</t>
  </si>
  <si>
    <t xml:space="preserve">Non-displacement warrants</t>
  </si>
  <si>
    <t xml:space="preserve">Root availability warrants</t>
  </si>
  <si>
    <t xml:space="preserve">Completed source capsules</t>
  </si>
  <si>
    <t xml:space="preserve">Completed native replays</t>
  </si>
  <si>
    <t xml:space="preserve">Completed clean reconstructions</t>
  </si>
  <si>
    <t xml:space="preserve">Complete invariant sets</t>
  </si>
  <si>
    <t xml:space="preserve">Accepted milestones</t>
  </si>
  <si>
    <t xml:space="preserve">Common-control findings</t>
  </si>
  <si>
    <t xml:space="preserve">Performance-leakage findings</t>
  </si>
  <si>
    <t xml:space="preserve">Controlled mutation register</t>
  </si>
  <si>
    <t xml:space="preserve">Each corruption is applied to the live model, detected by a named terminal audit and restored before export.</t>
  </si>
  <si>
    <t xml:space="preserve">Mutation</t>
  </si>
  <si>
    <t xml:space="preserve">Target</t>
  </si>
  <si>
    <t xml:space="preserve">Baseline</t>
  </si>
  <si>
    <t xml:space="preserve">Mutated</t>
  </si>
  <si>
    <t xml:space="preserve">Expected audit</t>
  </si>
  <si>
    <t xml:space="preserve">Detected</t>
  </si>
  <si>
    <t xml:space="preserve">Restored</t>
  </si>
  <si>
    <t xml:space="preserve">M01</t>
  </si>
  <si>
    <t xml:space="preserve">Inputs!B7</t>
  </si>
  <si>
    <t xml:space="preserve">A01</t>
  </si>
  <si>
    <t xml:space="preserve">YES</t>
  </si>
  <si>
    <t xml:space="preserve">M02</t>
  </si>
  <si>
    <t xml:space="preserve">Inputs!B9</t>
  </si>
  <si>
    <t xml:space="preserve">A03</t>
  </si>
  <si>
    <t xml:space="preserve">M03</t>
  </si>
  <si>
    <t xml:space="preserve">Inputs!B10</t>
  </si>
  <si>
    <t xml:space="preserve">A04</t>
  </si>
  <si>
    <t xml:space="preserve">M04</t>
  </si>
  <si>
    <t xml:space="preserve">Inputs!B11</t>
  </si>
  <si>
    <t xml:space="preserve">A05</t>
  </si>
  <si>
    <t xml:space="preserve">M05</t>
  </si>
  <si>
    <t xml:space="preserve">Inputs!B12</t>
  </si>
  <si>
    <t xml:space="preserve">A06</t>
  </si>
  <si>
    <t xml:space="preserve">M06</t>
  </si>
  <si>
    <t xml:space="preserve">Inputs!B13</t>
  </si>
  <si>
    <t xml:space="preserve">A07</t>
  </si>
  <si>
    <t xml:space="preserve">M07</t>
  </si>
  <si>
    <t xml:space="preserve">Inputs!B14</t>
  </si>
  <si>
    <t xml:space="preserve">A08</t>
  </si>
  <si>
    <t xml:space="preserve">M08</t>
  </si>
  <si>
    <t xml:space="preserve">Inputs!B15</t>
  </si>
  <si>
    <t xml:space="preserve">A09</t>
  </si>
  <si>
    <t xml:space="preserve">M09</t>
  </si>
  <si>
    <t xml:space="preserve">Inputs!B16</t>
  </si>
  <si>
    <t xml:space="preserve">A10</t>
  </si>
  <si>
    <t xml:space="preserve">M10</t>
  </si>
  <si>
    <t xml:space="preserve">Inputs!B20</t>
  </si>
  <si>
    <t xml:space="preserve">A14</t>
  </si>
  <si>
    <t xml:space="preserve">M11</t>
  </si>
  <si>
    <t xml:space="preserve">Inputs!B23</t>
  </si>
  <si>
    <t xml:space="preserve">A16</t>
  </si>
  <si>
    <t xml:space="preserve">M12</t>
  </si>
  <si>
    <t xml:space="preserve">Inputs!B24</t>
  </si>
  <si>
    <t xml:space="preserve">M13</t>
  </si>
  <si>
    <t xml:space="preserve">Inputs!B25</t>
  </si>
  <si>
    <t xml:space="preserve">M14</t>
  </si>
  <si>
    <t xml:space="preserve">Inputs!B26</t>
  </si>
  <si>
    <t xml:space="preserve">A17</t>
  </si>
  <si>
    <t xml:space="preserve">M15</t>
  </si>
  <si>
    <t xml:space="preserve">Inputs!B27</t>
  </si>
  <si>
    <t xml:space="preserve">A18</t>
  </si>
  <si>
    <t xml:space="preserve">M16</t>
  </si>
  <si>
    <t xml:space="preserve">Inputs!B28</t>
  </si>
  <si>
    <t xml:space="preserve">A19</t>
  </si>
  <si>
    <t xml:space="preserve">M17</t>
  </si>
  <si>
    <t xml:space="preserve">Inputs!B29</t>
  </si>
  <si>
    <t xml:space="preserve">A20</t>
  </si>
  <si>
    <t xml:space="preserve">M18</t>
  </si>
  <si>
    <t xml:space="preserve">Inputs!B50</t>
  </si>
  <si>
    <t xml:space="preserve">A48</t>
  </si>
  <si>
    <t xml:space="preserve">M19</t>
  </si>
  <si>
    <t xml:space="preserve">Inputs!B52</t>
  </si>
  <si>
    <t xml:space="preserve">A49</t>
  </si>
  <si>
    <t xml:space="preserve">M20</t>
  </si>
  <si>
    <t xml:space="preserve">Inputs!B53</t>
  </si>
  <si>
    <t xml:space="preserve">A50</t>
  </si>
  <si>
    <t xml:space="preserve">M21</t>
  </si>
  <si>
    <t xml:space="preserve">Inputs!B54</t>
  </si>
  <si>
    <t xml:space="preserve">A51</t>
  </si>
  <si>
    <t xml:space="preserve">M22</t>
  </si>
  <si>
    <t xml:space="preserve">Inputs!B56</t>
  </si>
  <si>
    <t xml:space="preserve">A53</t>
  </si>
  <si>
    <t xml:space="preserve">M23</t>
  </si>
  <si>
    <t xml:space="preserve">Inputs!B57</t>
  </si>
  <si>
    <t xml:space="preserve">A54</t>
  </si>
  <si>
    <t xml:space="preserve">M24</t>
  </si>
  <si>
    <t xml:space="preserve">Inputs!B58</t>
  </si>
  <si>
    <t xml:space="preserve">A67</t>
  </si>
  <si>
    <t xml:space="preserve">Terminal audit</t>
  </si>
  <si>
    <t xml:space="preserve">Audit is one-way. No business result, warrant, payment or authority depends on this sheet.</t>
  </si>
  <si>
    <t xml:space="preserve">Audit</t>
  </si>
  <si>
    <t xml:space="preserve">Test</t>
  </si>
  <si>
    <t xml:space="preserve">Observed</t>
  </si>
  <si>
    <t xml:space="preserve">Expected</t>
  </si>
  <si>
    <t xml:space="preserve">A02</t>
  </si>
  <si>
    <t xml:space="preserve">Active form count</t>
  </si>
  <si>
    <t xml:space="preserve">Active package control</t>
  </si>
  <si>
    <t xml:space="preserve">Validity-gate control</t>
  </si>
  <si>
    <t xml:space="preserve">Claim-count control</t>
  </si>
  <si>
    <t xml:space="preserve">Capsule-field control</t>
  </si>
  <si>
    <t xml:space="preserve">Native-stage control</t>
  </si>
  <si>
    <t xml:space="preserve">Clean-stage control</t>
  </si>
  <si>
    <t xml:space="preserve">Invariant control</t>
  </si>
  <si>
    <t xml:space="preserve">Site-count control</t>
  </si>
  <si>
    <t xml:space="preserve">A11</t>
  </si>
  <si>
    <t xml:space="preserve">Appointment control</t>
  </si>
  <si>
    <t xml:space="preserve">A12</t>
  </si>
  <si>
    <t xml:space="preserve">Key-record control</t>
  </si>
  <si>
    <t xml:space="preserve">A13</t>
  </si>
  <si>
    <t xml:space="preserve">Vendor-lot control</t>
  </si>
  <si>
    <t xml:space="preserve">Failure-world control</t>
  </si>
  <si>
    <t xml:space="preserve">A15</t>
  </si>
  <si>
    <t xml:space="preserve">Resource-class control</t>
  </si>
  <si>
    <t xml:space="preserve">Capacity partition conserved</t>
  </si>
  <si>
    <t xml:space="preserve">Capital ceiling conserved</t>
  </si>
  <si>
    <t xml:space="preserve">Operating ceiling conserved</t>
  </si>
  <si>
    <t xml:space="preserve">Cohort obligation conserved</t>
  </si>
  <si>
    <t xml:space="preserve">Sibling reserve conserved</t>
  </si>
  <si>
    <t xml:space="preserve">A21</t>
  </si>
  <si>
    <t xml:space="preserve">FRAME ceiling conserved</t>
  </si>
  <si>
    <t xml:space="preserve">A22</t>
  </si>
  <si>
    <t xml:space="preserve">Five candidate compacts</t>
  </si>
  <si>
    <t xml:space="preserve">A23</t>
  </si>
  <si>
    <t xml:space="preserve">One selected compact</t>
  </si>
  <si>
    <t xml:space="preserve">A24</t>
  </si>
  <si>
    <t xml:space="preserve">Selected compact passes all gates</t>
  </si>
  <si>
    <t xml:space="preserve">A25</t>
  </si>
  <si>
    <t xml:space="preserve">Twenty-seven precedence records</t>
  </si>
  <si>
    <t xml:space="preserve">A26</t>
  </si>
  <si>
    <t xml:space="preserve">Thirty package records</t>
  </si>
  <si>
    <t xml:space="preserve">A27</t>
  </si>
  <si>
    <t xml:space="preserve">Package ceilings reconcile</t>
  </si>
  <si>
    <t xml:space="preserve">A28</t>
  </si>
  <si>
    <t xml:space="preserve">Thirty obligated packages</t>
  </si>
  <si>
    <t xml:space="preserve">A29</t>
  </si>
  <si>
    <t xml:space="preserve">Three hundred sixty validity gates</t>
  </si>
  <si>
    <t xml:space="preserve">A30</t>
  </si>
  <si>
    <t xml:space="preserve">Sixty passing constitutional gates</t>
  </si>
  <si>
    <t xml:space="preserve">A31</t>
  </si>
  <si>
    <t xml:space="preserve">Three hundred open artifact gates</t>
  </si>
  <si>
    <t xml:space="preserve">A32</t>
  </si>
  <si>
    <t xml:space="preserve">One hundred eighty claims</t>
  </si>
  <si>
    <t xml:space="preserve">A33</t>
  </si>
  <si>
    <t xml:space="preserve">Claim shares reconcile by package</t>
  </si>
  <si>
    <t xml:space="preserve">A34</t>
  </si>
  <si>
    <t xml:space="preserve">Claim amount reconciles</t>
  </si>
  <si>
    <t xml:space="preserve">A35</t>
  </si>
  <si>
    <t xml:space="preserve">Payable claims remain zero</t>
  </si>
  <si>
    <t xml:space="preserve">A36</t>
  </si>
  <si>
    <t xml:space="preserve">Paid claims remain zero</t>
  </si>
  <si>
    <t xml:space="preserve">A37</t>
  </si>
  <si>
    <t xml:space="preserve">Thirty-six separation rules</t>
  </si>
  <si>
    <t xml:space="preserve">A38</t>
  </si>
  <si>
    <t xml:space="preserve">All separation controls pass</t>
  </si>
  <si>
    <t xml:space="preserve">A39</t>
  </si>
  <si>
    <t xml:space="preserve">Thirty-two nonconversions</t>
  </si>
  <si>
    <t xml:space="preserve">A40</t>
  </si>
  <si>
    <t xml:space="preserve">Eighteen expiry routes</t>
  </si>
  <si>
    <t xml:space="preserve">A41</t>
  </si>
  <si>
    <t xml:space="preserve">Eighteen rollback routes</t>
  </si>
  <si>
    <t xml:space="preserve">A42</t>
  </si>
  <si>
    <t xml:space="preserve">Sixteen termination routes</t>
  </si>
  <si>
    <t xml:space="preserve">A43</t>
  </si>
  <si>
    <t xml:space="preserve">Forty stress worlds</t>
  </si>
  <si>
    <t xml:space="preserve">A44</t>
  </si>
  <si>
    <t xml:space="preserve">All stress worlds pass</t>
  </si>
  <si>
    <t xml:space="preserve">A45</t>
  </si>
  <si>
    <t xml:space="preserve">Eight baseline lawful worlds</t>
  </si>
  <si>
    <t xml:space="preserve">A46</t>
  </si>
  <si>
    <t xml:space="preserve">Five conversion worlds</t>
  </si>
  <si>
    <t xml:space="preserve">A47</t>
  </si>
  <si>
    <t xml:space="preserve">Seven compound worlds</t>
  </si>
  <si>
    <t xml:space="preserve">Current AVW count zero</t>
  </si>
  <si>
    <t xml:space="preserve">Current FDW count zero</t>
  </si>
  <si>
    <t xml:space="preserve">Current payments zero</t>
  </si>
  <si>
    <t xml:space="preserve">Current observations zero</t>
  </si>
  <si>
    <t xml:space="preserve">A52</t>
  </si>
  <si>
    <t xml:space="preserve">Current selections zero</t>
  </si>
  <si>
    <t xml:space="preserve">Current MAKE zero</t>
  </si>
  <si>
    <t xml:space="preserve">Current REP-4 zero</t>
  </si>
  <si>
    <t xml:space="preserve">A55</t>
  </si>
  <si>
    <t xml:space="preserve">Current site admissions zero</t>
  </si>
  <si>
    <t xml:space="preserve">A56</t>
  </si>
  <si>
    <t xml:space="preserve">Current appointments zero</t>
  </si>
  <si>
    <t xml:space="preserve">A57</t>
  </si>
  <si>
    <t xml:space="preserve">Current keys zero</t>
  </si>
  <si>
    <t xml:space="preserve">A58</t>
  </si>
  <si>
    <t xml:space="preserve">Current vendor awards zero</t>
  </si>
  <si>
    <t xml:space="preserve">A59</t>
  </si>
  <si>
    <t xml:space="preserve">Current commissioned builds zero</t>
  </si>
  <si>
    <t xml:space="preserve">A60</t>
  </si>
  <si>
    <t xml:space="preserve">Current recovery trials zero</t>
  </si>
  <si>
    <t xml:space="preserve">A61</t>
  </si>
  <si>
    <t xml:space="preserve">Current NDWs zero</t>
  </si>
  <si>
    <t xml:space="preserve">A62</t>
  </si>
  <si>
    <t xml:space="preserve">Current root availability zero</t>
  </si>
  <si>
    <t xml:space="preserve">A63</t>
  </si>
  <si>
    <t xml:space="preserve">Current capsules zero</t>
  </si>
  <si>
    <t xml:space="preserve">A64</t>
  </si>
  <si>
    <t xml:space="preserve">Current native replays zero</t>
  </si>
  <si>
    <t xml:space="preserve">A65</t>
  </si>
  <si>
    <t xml:space="preserve">Current clean reconstructions zero</t>
  </si>
  <si>
    <t xml:space="preserve">A66</t>
  </si>
  <si>
    <t xml:space="preserve">Current invariant sets zero</t>
  </si>
  <si>
    <t xml:space="preserve">Common-control findings zero</t>
  </si>
  <si>
    <t xml:space="preserve">A68</t>
  </si>
  <si>
    <t xml:space="preserve">Performance-leakage findings zero</t>
  </si>
  <si>
    <t xml:space="preserve">A69</t>
  </si>
  <si>
    <t xml:space="preserve">Account shares sum to one</t>
  </si>
  <si>
    <t xml:space="preserve">A70</t>
  </si>
  <si>
    <t xml:space="preserve">Finance allocation reconciles</t>
  </si>
  <si>
    <t xml:space="preserve">A71</t>
  </si>
  <si>
    <t xml:space="preserve">No protected reserve used</t>
  </si>
  <si>
    <t xml:space="preserve">A72</t>
  </si>
  <si>
    <t xml:space="preserve">Branch items opened zero</t>
  </si>
  <si>
    <t xml:space="preserve">A73</t>
  </si>
  <si>
    <t xml:space="preserve">Branch items closed one</t>
  </si>
  <si>
    <t xml:space="preserve">A74</t>
  </si>
  <si>
    <t xml:space="preserve">Branch net change minus one</t>
  </si>
  <si>
    <t xml:space="preserve">A75</t>
  </si>
  <si>
    <t xml:space="preserve">Running open total zero</t>
  </si>
  <si>
    <t xml:space="preserve">A76</t>
  </si>
  <si>
    <t xml:space="preserve">Branch consumed five passes</t>
  </si>
  <si>
    <t xml:space="preserve">A77</t>
  </si>
  <si>
    <t xml:space="preserve">Branch budget five</t>
  </si>
  <si>
    <t xml:space="preserve">Model notes and limits</t>
  </si>
  <si>
    <t xml:space="preserve">This workbook specifies a terminal authority compact. It does not complete a package, commission an estate, pay a claim or create physical evidence.</t>
  </si>
  <si>
    <t xml:space="preserve">Purpose</t>
  </si>
  <si>
    <t xml:space="preserve">AVA-TC integrates AVC-1, DRG-1, FAE-1 and CNW-1 as typed prerequisites rather than one approval hierarchy.</t>
  </si>
  <si>
    <t xml:space="preserve">The validity unit is one funded package. Whole-form validity, physical correctness and production readiness are excluded.</t>
  </si>
  <si>
    <t xml:space="preserve">An AVW requires all twelve validity gates, dual reconstruction, semantic closure, an available root estate and a live non-displacement warrant.</t>
  </si>
  <si>
    <t xml:space="preserve">Payment requires a package AVW, accepted milestone, separate FDW and payment instruction. Cash finality creates no technical credit.</t>
  </si>
  <si>
    <t xml:space="preserve">Thirty-two nonconversions, eighteen expiry routes, eighteen rollback routes and sixteen termination routes make authority reversible.</t>
  </si>
  <si>
    <t xml:space="preserve">The fifth AVA pass closes its only item, opens none and returns to the pre-registered cohort-one parent question.</t>
  </si>
  <si>
    <t xml:space="preserve">Current boundary</t>
  </si>
  <si>
    <t xml:space="preserve">Thirty packages are obligated and active work. Sixty constitutional gates pass; 300 package-content gates remain open.</t>
  </si>
  <si>
    <t xml:space="preserve">All sites, appointments, keys, vendors, builds, recovery trials, NDWs and root-availability warrants remain zero.</t>
  </si>
  <si>
    <t xml:space="preserve">All source capsules, native replays, clean reconstructions, invariant sets, AVWs, FDWs and payments remain zero.</t>
  </si>
  <si>
    <t xml:space="preserve">All observations, selections, MAKE warrants and REP-4 records remain zero.</t>
  </si>
  <si>
    <t xml:space="preserve">The USD540M capital figure is a maximum co-use ceiling inside the existing USD12.0B public-method reserve.</t>
  </si>
  <si>
    <t xml:space="preserve">The USD359M later-sibling reserve remains unavailable to cohort-one validity, commissioning or payment.</t>
  </si>
  <si>
    <t xml:space="preserve">Sources and precision</t>
  </si>
  <si>
    <t xml:space="preserve">Repository sources: Passes 225 through 234. No external sources were used.</t>
  </si>
  <si>
    <t xml:space="preserve">Financial amounts preserve predecessor workbook arithmetic. Reader-facing prose should round to no more than three significant figures.</t>
  </si>
  <si>
    <t xml:space="preserve">Stress worlds test constitutional logic. They are not empirical forecasts, operating trials or claims about physical reliability.</t>
  </si>
  <si>
    <t xml:space="preserve">Current zero fields are deliberate missing implementation and authority records, not evidence of successful execution.</t>
  </si>
  <si>
    <t xml:space="preserve">Vehicle and facility renderings remain deferred.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</si>
</sst>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\$#,##0.000"/>
    <numFmt numFmtId="167" formatCode="0.0%"/>
    <numFmt numFmtId="168" formatCode="\$#,##0.0"/>
    <numFmt numFmtId="169" formatCode="0.000000"/>
  </numFmts>
  <fonts count="2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365D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B6777"/>
      <name val="Arial"/>
      <family val="0"/>
      <charset val="1"/>
    </font>
    <font>
      <b val="true"/>
      <sz val="9"/>
      <color rgb="FF17365D"/>
      <name val="Arial"/>
      <family val="0"/>
      <charset val="1"/>
    </font>
    <font>
      <sz val="9"/>
      <color rgb="FF263442"/>
      <name val="Arial"/>
      <family val="0"/>
      <charset val="1"/>
    </font>
    <font>
      <b val="true"/>
      <sz val="10"/>
      <color rgb="FF17365D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000000"/>
      <name val="Arial"/>
      <family val="2"/>
    </font>
    <font>
      <sz val="6.75"/>
      <color rgb="FF000000"/>
      <name val="Arial"/>
      <family val="2"/>
    </font>
    <font>
      <sz val="10"/>
      <color rgb="FF000000"/>
      <name val="Arial"/>
      <family val="2"/>
    </font>
    <font>
      <b val="true"/>
      <sz val="9"/>
      <color rgb="FFFFFFFF"/>
      <name val="Arial"/>
      <family val="0"/>
      <charset val="1"/>
    </font>
    <font>
      <sz val="8"/>
      <color rgb="FF263442"/>
      <name val="Arial"/>
      <family val="0"/>
      <charset val="1"/>
    </font>
    <font>
      <sz val="8"/>
      <color rgb="FF008000"/>
      <name val="Arial"/>
      <family val="0"/>
      <charset val="1"/>
    </font>
    <font>
      <sz val="8"/>
      <color rgb="FF0000FF"/>
      <name val="Arial"/>
      <family val="0"/>
      <charset val="1"/>
    </font>
    <font>
      <sz val="7"/>
      <color rgb="FF263442"/>
      <name val="Arial"/>
      <family val="0"/>
      <charset val="1"/>
    </font>
    <font>
      <sz val="7"/>
      <color rgb="FF008000"/>
      <name val="Arial"/>
      <family val="0"/>
      <charset val="1"/>
    </font>
    <font>
      <sz val="9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6F2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FFF2CC"/>
        <bgColor rgb="FFFCE8E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A6BED5"/>
      </left>
      <right style="thin">
        <color rgb="FFA6BED5"/>
      </right>
      <top style="thin">
        <color rgb="FFA6BED5"/>
      </top>
      <bottom style="thin">
        <color rgb="FFA6BED5"/>
      </bottom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3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1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1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1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7">
    <dxf>
      <font>
        <b val="1"/>
        <color rgb="FF9C0006"/>
      </font>
      <fill>
        <patternFill>
          <bgColor rgb="FFFCE8E6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color rgb="FF7F60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color rgb="FF7F60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color rgb="FF7F60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color rgb="FF7F60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color rgb="FF7F60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color rgb="FF7F60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color rgb="FF7F60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color rgb="FF7F60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CCCCCC"/>
      <rgbColor rgb="FF7F8C8D"/>
      <rgbColor rgb="FF9EADBA"/>
      <rgbColor rgb="FF993366"/>
      <rgbColor rgb="FFFFF2CC"/>
      <rgbColor rgb="FFD9E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8E6"/>
      <rgbColor rgb="FFA6BED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777"/>
      <rgbColor rgb="FF8B8B8B"/>
      <rgbColor rgb="FF17365D"/>
      <rgbColor rgb="FF339966"/>
      <rgbColor rgb="FF003300"/>
      <rgbColor rgb="FF333300"/>
      <rgbColor rgb="FF993300"/>
      <rgbColor rgb="FF993366"/>
      <rgbColor rgb="FF1F4E78"/>
      <rgbColor rgb="FF2634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Current authority records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"Current count"</c:f>
              <c:strCache>
                <c:ptCount val="1"/>
                <c:pt idx="0">
                  <c:v>Current count</c:v>
                </c:pt>
              </c:strCache>
            </c:strRef>
          </c:tx>
          <c:spPr>
            <a:solidFill>
              <a:srgbClr val="1F4E7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Summary!$L$7:$L$15</c:f>
              <c:strCache>
                <c:ptCount val="9"/>
                <c:pt idx="0">
                  <c:v>Issued learning warrants</c:v>
                </c:pt>
                <c:pt idx="1">
                  <c:v>Active form cells</c:v>
                </c:pt>
                <c:pt idx="2">
                  <c:v>Active packages</c:v>
                </c:pt>
                <c:pt idx="3">
                  <c:v>Artifact Validity Warrants</c:v>
                </c:pt>
                <c:pt idx="4">
                  <c:v>Finance Disbursement Warrants</c:v>
                </c:pt>
                <c:pt idx="5">
                  <c:v>Accepted observations</c:v>
                </c:pt>
                <c:pt idx="6">
                  <c:v>Selected forms</c:v>
                </c:pt>
                <c:pt idx="7">
                  <c:v>MAKE warrants</c:v>
                </c:pt>
                <c:pt idx="8">
                  <c:v>REP-4 records</c:v>
                </c:pt>
              </c:strCache>
            </c:strRef>
          </c:cat>
          <c:val>
            <c:numRef>
              <c:f>Summary!$M$7:$M$15</c:f>
              <c:numCache>
                <c:formatCode>General</c:formatCode>
                <c:ptCount val="9"/>
                <c:pt idx="0">
                  <c:v>18</c:v>
                </c:pt>
                <c:pt idx="1">
                  <c:v>6</c:v>
                </c:pt>
                <c:pt idx="2">
                  <c:v>30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77831236"/>
        <c:axId val="8236854"/>
      </c:barChart>
      <c:catAx>
        <c:axId val="77831236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8236854"/>
        <c:crosses val="autoZero"/>
        <c:auto val="1"/>
        <c:lblAlgn val="ctr"/>
        <c:lblOffset val="100"/>
        <c:noMultiLvlLbl val="0"/>
      </c:catAx>
      <c:valAx>
        <c:axId val="8236854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7831236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5</xdr:row>
      <xdr:rowOff>0</xdr:rowOff>
    </xdr:from>
    <xdr:to>
      <xdr:col>15</xdr:col>
      <xdr:colOff>845280</xdr:colOff>
      <xdr:row>24</xdr:row>
      <xdr:rowOff>190080</xdr:rowOff>
    </xdr:to>
    <xdr:graphicFrame>
      <xdr:nvGraphicFramePr>
        <xdr:cNvPr id="1" name="Chart"/>
        <xdr:cNvGraphicFramePr/>
      </xdr:nvGraphicFramePr>
      <xdr:xfrm>
        <a:off x="8928720" y="1130400"/>
        <a:ext cx="9021600" cy="393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false"/>
  </sheetPr>
  <dimension ref="A1:P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9"/>
    <col collapsed="false" customWidth="true" hidden="false" outlineLevel="0" max="6" min="3" style="0" width="16"/>
    <col collapsed="false" customWidth="true" hidden="false" outlineLevel="0" max="11" min="8" style="0" width="12"/>
    <col collapsed="false" customWidth="true" hidden="false" outlineLevel="0" max="12" min="12" style="0" width="30"/>
    <col collapsed="false" customWidth="true" hidden="false" outlineLevel="0" max="13" min="13" style="0" width="14"/>
    <col collapsed="false" customWidth="true" hidden="false" outlineLevel="0" max="16" min="14" style="0" width="1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  <c r="O3" s="1"/>
      <c r="P3" s="1"/>
    </row>
    <row r="4" customFormat="false" ht="20" hidden="false" customHeight="true" outlineLevel="0" collapsed="false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1"/>
      <c r="P4" s="1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"/>
      <c r="O5" s="1"/>
      <c r="P5" s="1"/>
    </row>
    <row r="6" customFormat="false" ht="20" hidden="false" customHeight="true" outlineLevel="0" collapsed="false">
      <c r="A6" s="5" t="s">
        <v>2</v>
      </c>
      <c r="B6" s="5"/>
      <c r="C6" s="5"/>
      <c r="D6" s="5"/>
      <c r="E6" s="5"/>
      <c r="F6" s="5"/>
      <c r="G6" s="3"/>
      <c r="H6" s="3"/>
      <c r="I6" s="3"/>
      <c r="J6" s="3"/>
      <c r="K6" s="3"/>
      <c r="L6" s="3" t="s">
        <v>3</v>
      </c>
      <c r="M6" s="3" t="s">
        <v>4</v>
      </c>
      <c r="N6" s="1"/>
      <c r="O6" s="1"/>
      <c r="P6" s="1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 t="s">
        <v>5</v>
      </c>
      <c r="M7" s="3" t="n">
        <v>18</v>
      </c>
      <c r="N7" s="1"/>
      <c r="O7" s="1"/>
      <c r="P7" s="1"/>
    </row>
    <row r="8" customFormat="false" ht="15" hidden="false" customHeight="false" outlineLevel="0" collapsed="false">
      <c r="A8" s="6" t="s">
        <v>6</v>
      </c>
      <c r="B8" s="7" t="s">
        <v>7</v>
      </c>
      <c r="C8" s="3"/>
      <c r="D8" s="3"/>
      <c r="E8" s="3"/>
      <c r="F8" s="3"/>
      <c r="G8" s="3"/>
      <c r="H8" s="3"/>
      <c r="I8" s="3"/>
      <c r="J8" s="3"/>
      <c r="K8" s="3"/>
      <c r="L8" s="3" t="s">
        <v>8</v>
      </c>
      <c r="M8" s="3" t="n">
        <v>6</v>
      </c>
      <c r="N8" s="1"/>
      <c r="O8" s="1"/>
      <c r="P8" s="1"/>
    </row>
    <row r="9" customFormat="false" ht="15" hidden="false" customHeight="false" outlineLevel="0" collapsed="false">
      <c r="A9" s="6" t="s">
        <v>9</v>
      </c>
      <c r="B9" s="7" t="s">
        <v>10</v>
      </c>
      <c r="C9" s="3"/>
      <c r="D9" s="3"/>
      <c r="E9" s="3"/>
      <c r="F9" s="3"/>
      <c r="G9" s="3"/>
      <c r="H9" s="3"/>
      <c r="I9" s="3"/>
      <c r="J9" s="3"/>
      <c r="K9" s="3"/>
      <c r="L9" s="3" t="s">
        <v>11</v>
      </c>
      <c r="M9" s="3" t="n">
        <v>30</v>
      </c>
      <c r="N9" s="1"/>
      <c r="O9" s="1"/>
      <c r="P9" s="1"/>
    </row>
    <row r="10" customFormat="false" ht="15" hidden="false" customHeight="false" outlineLevel="0" collapsed="false">
      <c r="A10" s="6" t="s">
        <v>12</v>
      </c>
      <c r="B10" s="7" t="s">
        <v>13</v>
      </c>
      <c r="C10" s="3"/>
      <c r="D10" s="3"/>
      <c r="E10" s="3"/>
      <c r="F10" s="3"/>
      <c r="G10" s="3"/>
      <c r="H10" s="3"/>
      <c r="I10" s="3"/>
      <c r="J10" s="3"/>
      <c r="K10" s="3"/>
      <c r="L10" s="3" t="s">
        <v>14</v>
      </c>
      <c r="M10" s="3" t="n">
        <v>0</v>
      </c>
      <c r="N10" s="1"/>
      <c r="O10" s="1"/>
      <c r="P10" s="1"/>
    </row>
    <row r="11" customFormat="false" ht="15" hidden="false" customHeight="false" outlineLevel="0" collapsed="false">
      <c r="A11" s="6" t="s">
        <v>11</v>
      </c>
      <c r="B11" s="7" t="n">
        <v>30</v>
      </c>
      <c r="C11" s="3"/>
      <c r="D11" s="3"/>
      <c r="E11" s="3"/>
      <c r="F11" s="3"/>
      <c r="G11" s="3"/>
      <c r="H11" s="3"/>
      <c r="I11" s="3"/>
      <c r="J11" s="3"/>
      <c r="K11" s="3"/>
      <c r="L11" s="3" t="s">
        <v>15</v>
      </c>
      <c r="M11" s="3" t="n">
        <v>0</v>
      </c>
      <c r="N11" s="1"/>
      <c r="O11" s="1"/>
      <c r="P11" s="1"/>
    </row>
    <row r="12" customFormat="false" ht="15" hidden="false" customHeight="false" outlineLevel="0" collapsed="false">
      <c r="A12" s="6" t="s">
        <v>16</v>
      </c>
      <c r="B12" s="7" t="n">
        <v>360</v>
      </c>
      <c r="C12" s="3"/>
      <c r="D12" s="3"/>
      <c r="E12" s="3"/>
      <c r="F12" s="3"/>
      <c r="G12" s="3"/>
      <c r="H12" s="3"/>
      <c r="I12" s="3"/>
      <c r="J12" s="3"/>
      <c r="K12" s="3"/>
      <c r="L12" s="3" t="s">
        <v>17</v>
      </c>
      <c r="M12" s="3" t="n">
        <v>0</v>
      </c>
      <c r="N12" s="1"/>
      <c r="O12" s="1"/>
      <c r="P12" s="1"/>
    </row>
    <row r="13" customFormat="false" ht="15" hidden="false" customHeight="false" outlineLevel="0" collapsed="false">
      <c r="A13" s="6" t="s">
        <v>18</v>
      </c>
      <c r="B13" s="7" t="n">
        <v>60</v>
      </c>
      <c r="C13" s="3"/>
      <c r="D13" s="3"/>
      <c r="E13" s="3"/>
      <c r="F13" s="3"/>
      <c r="G13" s="3"/>
      <c r="H13" s="3"/>
      <c r="I13" s="3"/>
      <c r="J13" s="3"/>
      <c r="K13" s="3"/>
      <c r="L13" s="3" t="s">
        <v>19</v>
      </c>
      <c r="M13" s="3" t="n">
        <v>0</v>
      </c>
      <c r="N13" s="1"/>
      <c r="O13" s="1"/>
      <c r="P13" s="1"/>
    </row>
    <row r="14" customFormat="false" ht="15" hidden="false" customHeight="false" outlineLevel="0" collapsed="false">
      <c r="A14" s="6" t="s">
        <v>20</v>
      </c>
      <c r="B14" s="7" t="n">
        <v>0</v>
      </c>
      <c r="C14" s="3"/>
      <c r="D14" s="3"/>
      <c r="E14" s="3"/>
      <c r="F14" s="3"/>
      <c r="G14" s="3"/>
      <c r="H14" s="3"/>
      <c r="I14" s="3"/>
      <c r="J14" s="3"/>
      <c r="K14" s="3"/>
      <c r="L14" s="3" t="s">
        <v>21</v>
      </c>
      <c r="M14" s="3" t="n">
        <v>0</v>
      </c>
      <c r="N14" s="1"/>
      <c r="O14" s="1"/>
      <c r="P14" s="1"/>
    </row>
    <row r="15" customFormat="false" ht="15" hidden="false" customHeight="false" outlineLevel="0" collapsed="false">
      <c r="A15" s="6" t="s">
        <v>22</v>
      </c>
      <c r="B15" s="7" t="n">
        <v>0</v>
      </c>
      <c r="C15" s="3"/>
      <c r="D15" s="3"/>
      <c r="E15" s="3"/>
      <c r="F15" s="3"/>
      <c r="G15" s="3"/>
      <c r="H15" s="3"/>
      <c r="I15" s="3"/>
      <c r="J15" s="3"/>
      <c r="K15" s="3"/>
      <c r="L15" s="3" t="s">
        <v>23</v>
      </c>
      <c r="M15" s="3" t="n">
        <v>0</v>
      </c>
      <c r="N15" s="1"/>
      <c r="O15" s="1"/>
      <c r="P15" s="1"/>
    </row>
    <row r="16" customFormat="false" ht="15" hidden="false" customHeight="false" outlineLevel="0" collapsed="false">
      <c r="A16" s="6" t="s">
        <v>24</v>
      </c>
      <c r="B16" s="7" t="n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1"/>
      <c r="O16" s="1"/>
      <c r="P16" s="1"/>
    </row>
    <row r="17" customFormat="false" ht="15" hidden="false" customHeight="false" outlineLevel="0" collapsed="false">
      <c r="A17" s="6" t="s">
        <v>25</v>
      </c>
      <c r="B17" s="7" t="n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1"/>
      <c r="O17" s="1"/>
      <c r="P17" s="1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1"/>
      <c r="O18" s="1"/>
      <c r="P18" s="1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1"/>
      <c r="O19" s="1"/>
      <c r="P19" s="1"/>
    </row>
    <row r="20" customFormat="false" ht="20" hidden="false" customHeight="true" outlineLevel="0" collapsed="false">
      <c r="A20" s="5" t="s">
        <v>26</v>
      </c>
      <c r="B20" s="5"/>
      <c r="C20" s="5"/>
      <c r="D20" s="5"/>
      <c r="E20" s="5"/>
      <c r="F20" s="5"/>
      <c r="G20" s="3"/>
      <c r="H20" s="3"/>
      <c r="I20" s="3"/>
      <c r="J20" s="3"/>
      <c r="K20" s="3"/>
      <c r="L20" s="3"/>
      <c r="M20" s="3"/>
      <c r="N20" s="1"/>
      <c r="O20" s="1"/>
      <c r="P20" s="1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1"/>
      <c r="O21" s="1"/>
      <c r="P21" s="1"/>
    </row>
    <row r="22" customFormat="false" ht="15" hidden="false" customHeight="false" outlineLevel="0" collapsed="false">
      <c r="A22" s="6" t="s">
        <v>27</v>
      </c>
      <c r="B22" s="6" t="s">
        <v>28</v>
      </c>
      <c r="C22" s="6"/>
      <c r="D22" s="6"/>
      <c r="E22" s="6"/>
      <c r="F22" s="6"/>
      <c r="G22" s="3"/>
      <c r="H22" s="3"/>
      <c r="I22" s="3"/>
      <c r="J22" s="3"/>
      <c r="K22" s="3"/>
      <c r="L22" s="3"/>
      <c r="M22" s="3"/>
      <c r="N22" s="1"/>
      <c r="O22" s="1"/>
      <c r="P22" s="1"/>
    </row>
    <row r="23" customFormat="false" ht="15" hidden="false" customHeight="false" outlineLevel="0" collapsed="false">
      <c r="A23" s="6" t="s">
        <v>29</v>
      </c>
      <c r="B23" s="6" t="s">
        <v>30</v>
      </c>
      <c r="C23" s="6"/>
      <c r="D23" s="6"/>
      <c r="E23" s="6"/>
      <c r="F23" s="6"/>
      <c r="G23" s="3"/>
      <c r="H23" s="3"/>
      <c r="I23" s="3"/>
      <c r="J23" s="3"/>
      <c r="K23" s="3"/>
      <c r="L23" s="3"/>
      <c r="M23" s="3"/>
      <c r="N23" s="1"/>
      <c r="O23" s="1"/>
      <c r="P23" s="1"/>
    </row>
    <row r="24" customFormat="false" ht="15" hidden="false" customHeight="false" outlineLevel="0" collapsed="false">
      <c r="A24" s="6" t="s">
        <v>31</v>
      </c>
      <c r="B24" s="6" t="s">
        <v>32</v>
      </c>
      <c r="C24" s="6"/>
      <c r="D24" s="6"/>
      <c r="E24" s="6"/>
      <c r="F24" s="6"/>
      <c r="G24" s="3"/>
      <c r="H24" s="3"/>
      <c r="I24" s="3"/>
      <c r="J24" s="3"/>
      <c r="K24" s="3"/>
      <c r="L24" s="3"/>
      <c r="M24" s="3"/>
      <c r="N24" s="1"/>
      <c r="O24" s="1"/>
      <c r="P24" s="1"/>
    </row>
    <row r="25" customFormat="false" ht="15" hidden="false" customHeight="false" outlineLevel="0" collapsed="false">
      <c r="A25" s="6" t="s">
        <v>33</v>
      </c>
      <c r="B25" s="6" t="s">
        <v>34</v>
      </c>
      <c r="C25" s="6"/>
      <c r="D25" s="6"/>
      <c r="E25" s="6"/>
      <c r="F25" s="6"/>
      <c r="G25" s="3"/>
      <c r="H25" s="3"/>
      <c r="I25" s="3"/>
      <c r="J25" s="3"/>
      <c r="K25" s="3"/>
      <c r="L25" s="3"/>
      <c r="M25" s="3"/>
      <c r="N25" s="1"/>
      <c r="O25" s="1"/>
      <c r="P25" s="1"/>
    </row>
    <row r="26" customFormat="false" ht="15" hidden="false" customHeight="false" outlineLevel="0" collapsed="false">
      <c r="A26" s="6" t="s">
        <v>35</v>
      </c>
      <c r="B26" s="6" t="s">
        <v>36</v>
      </c>
      <c r="C26" s="6"/>
      <c r="D26" s="6"/>
      <c r="E26" s="6"/>
      <c r="F26" s="6"/>
      <c r="G26" s="3"/>
      <c r="H26" s="3"/>
      <c r="I26" s="3"/>
      <c r="J26" s="3"/>
      <c r="K26" s="3"/>
      <c r="L26" s="3"/>
      <c r="M26" s="3"/>
      <c r="N26" s="1"/>
      <c r="O26" s="1"/>
      <c r="P26" s="1"/>
    </row>
    <row r="27" customFormat="false" ht="15" hidden="false" customHeight="false" outlineLevel="0" collapsed="false">
      <c r="A27" s="6" t="s">
        <v>37</v>
      </c>
      <c r="B27" s="6" t="s">
        <v>38</v>
      </c>
      <c r="C27" s="6"/>
      <c r="D27" s="6"/>
      <c r="E27" s="6"/>
      <c r="F27" s="6"/>
      <c r="G27" s="3"/>
      <c r="H27" s="3"/>
      <c r="I27" s="3"/>
      <c r="J27" s="3"/>
      <c r="K27" s="3"/>
      <c r="L27" s="3"/>
      <c r="M27" s="3"/>
      <c r="N27" s="1"/>
      <c r="O27" s="1"/>
      <c r="P27" s="1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1"/>
      <c r="O28" s="1"/>
      <c r="P28" s="1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1"/>
      <c r="O29" s="1"/>
      <c r="P29" s="1"/>
    </row>
    <row r="30" customFormat="false" ht="20" hidden="false" customHeight="true" outlineLevel="0" collapsed="false">
      <c r="A30" s="5" t="s">
        <v>39</v>
      </c>
      <c r="B30" s="5"/>
      <c r="C30" s="5"/>
      <c r="D30" s="5"/>
      <c r="E30" s="5"/>
      <c r="F30" s="5"/>
      <c r="G30" s="3"/>
      <c r="H30" s="3"/>
      <c r="I30" s="3"/>
      <c r="J30" s="3"/>
      <c r="K30" s="3"/>
      <c r="L30" s="3"/>
      <c r="M30" s="3"/>
      <c r="N30" s="1"/>
      <c r="O30" s="1"/>
      <c r="P30" s="1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1"/>
      <c r="O31" s="1"/>
      <c r="P31" s="1"/>
    </row>
    <row r="32" customFormat="false" ht="15" hidden="false" customHeight="false" outlineLevel="0" collapsed="false">
      <c r="A32" s="6" t="s">
        <v>40</v>
      </c>
      <c r="B32" s="8" t="n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1"/>
      <c r="O32" s="1"/>
      <c r="P32" s="1"/>
    </row>
    <row r="33" customFormat="false" ht="15" hidden="false" customHeight="false" outlineLevel="0" collapsed="false">
      <c r="A33" s="6" t="s">
        <v>41</v>
      </c>
      <c r="B33" s="8" t="n">
        <f aca="false">COUNTIFS('Decision Tests'!N7:N11,"SELECT")</f>
        <v>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1"/>
      <c r="O33" s="1"/>
      <c r="P33" s="1"/>
    </row>
    <row r="34" customFormat="false" ht="15" hidden="false" customHeight="false" outlineLevel="0" collapsed="false">
      <c r="A34" s="6" t="s">
        <v>42</v>
      </c>
      <c r="B34" s="8" t="n">
        <v>36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1"/>
      <c r="O34" s="1"/>
      <c r="P34" s="1"/>
    </row>
    <row r="35" customFormat="false" ht="15" hidden="false" customHeight="false" outlineLevel="0" collapsed="false">
      <c r="A35" s="6" t="s">
        <v>43</v>
      </c>
      <c r="B35" s="8" t="n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1"/>
      <c r="O35" s="1"/>
      <c r="P35" s="1"/>
    </row>
    <row r="36" customFormat="false" ht="15" hidden="false" customHeight="false" outlineLevel="0" collapsed="false">
      <c r="A36" s="6" t="s">
        <v>44</v>
      </c>
      <c r="B36" s="8" t="n">
        <v>18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1"/>
      <c r="O36" s="1"/>
      <c r="P36" s="1"/>
    </row>
    <row r="37" customFormat="false" ht="15" hidden="false" customHeight="false" outlineLevel="0" collapsed="false">
      <c r="A37" s="6" t="s">
        <v>45</v>
      </c>
      <c r="B37" s="8" t="n">
        <v>18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1"/>
      <c r="O37" s="1"/>
      <c r="P37" s="1"/>
    </row>
    <row r="38" customFormat="false" ht="15" hidden="false" customHeight="false" outlineLevel="0" collapsed="false">
      <c r="A38" s="6" t="s">
        <v>46</v>
      </c>
      <c r="B38" s="8" t="n">
        <v>16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1"/>
      <c r="O38" s="1"/>
      <c r="P38" s="1"/>
    </row>
    <row r="39" customFormat="false" ht="15" hidden="false" customHeight="false" outlineLevel="0" collapsed="false">
      <c r="A39" s="6" t="s">
        <v>47</v>
      </c>
      <c r="B39" s="8" t="n">
        <v>40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1"/>
      <c r="O39" s="1"/>
      <c r="P39" s="1"/>
    </row>
    <row r="40" customFormat="false" ht="15" hidden="false" customHeight="false" outlineLevel="0" collapsed="false">
      <c r="A40" s="6" t="s">
        <v>48</v>
      </c>
      <c r="B40" s="8" t="n">
        <f aca="false">COUNTIFS('Stress Worlds'!AC7:AC46,"PASS")</f>
        <v>40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1"/>
      <c r="O40" s="1"/>
      <c r="P40" s="1"/>
    </row>
  </sheetData>
  <mergeCells count="5">
    <mergeCell ref="A2:N2"/>
    <mergeCell ref="A4:N4"/>
    <mergeCell ref="A6:F6"/>
    <mergeCell ref="A20:F20"/>
    <mergeCell ref="A30:F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12" min="3" style="0" width="18"/>
    <col collapsed="false" customWidth="true" hidden="false" outlineLevel="0" max="13" min="13" style="0" width="10"/>
    <col collapsed="false" customWidth="true" hidden="false" outlineLevel="0" max="14" min="14" style="0" width="15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" hidden="false" customHeight="true" outlineLevel="0" collapsed="false">
      <c r="A2" s="2" t="s">
        <v>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0" hidden="false" customHeight="true" outlineLevel="0" collapsed="false">
      <c r="A4" s="4" t="s">
        <v>50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24" hidden="false" customHeight="true" outlineLevel="0" collapsed="false">
      <c r="A6" s="9" t="s">
        <v>51</v>
      </c>
      <c r="B6" s="10" t="s">
        <v>52</v>
      </c>
      <c r="C6" s="10" t="s">
        <v>53</v>
      </c>
      <c r="D6" s="10" t="s">
        <v>54</v>
      </c>
      <c r="E6" s="10" t="s">
        <v>55</v>
      </c>
      <c r="F6" s="10" t="s">
        <v>56</v>
      </c>
      <c r="G6" s="10" t="s">
        <v>57</v>
      </c>
      <c r="H6" s="10" t="s">
        <v>58</v>
      </c>
      <c r="I6" s="10" t="s">
        <v>59</v>
      </c>
      <c r="J6" s="10" t="s">
        <v>60</v>
      </c>
      <c r="K6" s="10" t="s">
        <v>61</v>
      </c>
      <c r="L6" s="10" t="s">
        <v>62</v>
      </c>
      <c r="M6" s="10" t="s">
        <v>63</v>
      </c>
      <c r="N6" s="11" t="s">
        <v>64</v>
      </c>
    </row>
    <row r="7" customFormat="false" ht="15" hidden="false" customHeight="false" outlineLevel="0" collapsed="false">
      <c r="A7" s="6" t="s">
        <v>65</v>
      </c>
      <c r="B7" s="6" t="s">
        <v>66</v>
      </c>
      <c r="C7" s="6" t="n">
        <v>1</v>
      </c>
      <c r="D7" s="6" t="n">
        <v>1</v>
      </c>
      <c r="E7" s="6" t="n">
        <v>0</v>
      </c>
      <c r="F7" s="6" t="n">
        <v>1</v>
      </c>
      <c r="G7" s="6" t="n">
        <v>0</v>
      </c>
      <c r="H7" s="6" t="n">
        <v>0</v>
      </c>
      <c r="I7" s="6" t="n">
        <v>0</v>
      </c>
      <c r="J7" s="6" t="n">
        <v>1</v>
      </c>
      <c r="K7" s="6" t="n">
        <v>1</v>
      </c>
      <c r="L7" s="6" t="n">
        <v>1</v>
      </c>
      <c r="M7" s="8" t="n">
        <f aca="false">SUM(C7:L7)</f>
        <v>6</v>
      </c>
      <c r="N7" s="8" t="str">
        <f aca="false">IF(M7=10,"SELECT","REJECT")</f>
        <v>REJECT</v>
      </c>
    </row>
    <row r="8" customFormat="false" ht="15" hidden="false" customHeight="false" outlineLevel="0" collapsed="false">
      <c r="A8" s="6" t="s">
        <v>67</v>
      </c>
      <c r="B8" s="6" t="s">
        <v>68</v>
      </c>
      <c r="C8" s="6" t="n">
        <v>1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1</v>
      </c>
      <c r="I8" s="6" t="n">
        <v>0</v>
      </c>
      <c r="J8" s="6" t="n">
        <v>0</v>
      </c>
      <c r="K8" s="6" t="n">
        <v>1</v>
      </c>
      <c r="L8" s="6" t="n">
        <v>1</v>
      </c>
      <c r="M8" s="8" t="n">
        <f aca="false">SUM(C8:L8)</f>
        <v>4</v>
      </c>
      <c r="N8" s="8" t="str">
        <f aca="false">IF(M8=10,"SELECT","REJECT")</f>
        <v>REJECT</v>
      </c>
    </row>
    <row r="9" customFormat="false" ht="15" hidden="false" customHeight="false" outlineLevel="0" collapsed="false">
      <c r="A9" s="6" t="s">
        <v>69</v>
      </c>
      <c r="B9" s="6" t="s">
        <v>70</v>
      </c>
      <c r="C9" s="6" t="n">
        <v>1</v>
      </c>
      <c r="D9" s="6" t="n">
        <v>0</v>
      </c>
      <c r="E9" s="6" t="n">
        <v>0</v>
      </c>
      <c r="F9" s="6" t="n">
        <v>1</v>
      </c>
      <c r="G9" s="6" t="n">
        <v>1</v>
      </c>
      <c r="H9" s="6" t="n">
        <v>1</v>
      </c>
      <c r="I9" s="6" t="n">
        <v>1</v>
      </c>
      <c r="J9" s="6" t="n">
        <v>0</v>
      </c>
      <c r="K9" s="6" t="n">
        <v>1</v>
      </c>
      <c r="L9" s="6" t="n">
        <v>1</v>
      </c>
      <c r="M9" s="8" t="n">
        <f aca="false">SUM(C9:L9)</f>
        <v>7</v>
      </c>
      <c r="N9" s="8" t="str">
        <f aca="false">IF(M9=10,"SELECT","REJECT")</f>
        <v>REJECT</v>
      </c>
    </row>
    <row r="10" customFormat="false" ht="15" hidden="false" customHeight="false" outlineLevel="0" collapsed="false">
      <c r="A10" s="6" t="s">
        <v>71</v>
      </c>
      <c r="B10" s="6" t="s">
        <v>72</v>
      </c>
      <c r="C10" s="6" t="n">
        <v>1</v>
      </c>
      <c r="D10" s="6" t="n">
        <v>1</v>
      </c>
      <c r="E10" s="6" t="n">
        <v>1</v>
      </c>
      <c r="F10" s="6" t="n">
        <v>1</v>
      </c>
      <c r="G10" s="6" t="n">
        <v>1</v>
      </c>
      <c r="H10" s="6" t="n">
        <v>0</v>
      </c>
      <c r="I10" s="6" t="n">
        <v>1</v>
      </c>
      <c r="J10" s="6" t="n">
        <v>1</v>
      </c>
      <c r="K10" s="6" t="n">
        <v>1</v>
      </c>
      <c r="L10" s="6" t="n">
        <v>1</v>
      </c>
      <c r="M10" s="8" t="n">
        <f aca="false">SUM(C10:L10)</f>
        <v>9</v>
      </c>
      <c r="N10" s="8" t="str">
        <f aca="false">IF(M10=10,"SELECT","REJECT")</f>
        <v>REJECT</v>
      </c>
    </row>
    <row r="11" customFormat="false" ht="15" hidden="false" customHeight="false" outlineLevel="0" collapsed="false">
      <c r="A11" s="6" t="s">
        <v>73</v>
      </c>
      <c r="B11" s="6" t="s">
        <v>74</v>
      </c>
      <c r="C11" s="6" t="n">
        <v>1</v>
      </c>
      <c r="D11" s="6" t="n">
        <v>1</v>
      </c>
      <c r="E11" s="6" t="n">
        <v>1</v>
      </c>
      <c r="F11" s="6" t="n">
        <v>1</v>
      </c>
      <c r="G11" s="6" t="n">
        <v>1</v>
      </c>
      <c r="H11" s="6" t="n">
        <v>1</v>
      </c>
      <c r="I11" s="6" t="n">
        <v>1</v>
      </c>
      <c r="J11" s="6" t="n">
        <v>1</v>
      </c>
      <c r="K11" s="6" t="n">
        <v>1</v>
      </c>
      <c r="L11" s="6" t="n">
        <v>1</v>
      </c>
      <c r="M11" s="8" t="n">
        <f aca="false">SUM(C11:L11)</f>
        <v>10</v>
      </c>
      <c r="N11" s="8" t="str">
        <f aca="false">IF(M11=10,"SELECT","REJECT")</f>
        <v>SELECT</v>
      </c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customFormat="false" ht="20" hidden="false" customHeight="true" outlineLevel="0" collapsed="false">
      <c r="A14" s="5" t="s">
        <v>75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customFormat="false" ht="15" hidden="false" customHeight="false" outlineLevel="0" collapsed="false">
      <c r="A16" s="6" t="s">
        <v>76</v>
      </c>
      <c r="B16" s="6" t="s">
        <v>7</v>
      </c>
      <c r="C16" s="6" t="s">
        <v>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customFormat="false" ht="15" hidden="false" customHeight="false" outlineLevel="0" collapsed="false">
      <c r="A17" s="6" t="s">
        <v>77</v>
      </c>
      <c r="B17" s="6" t="s">
        <v>78</v>
      </c>
      <c r="C17" s="6" t="s">
        <v>79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customFormat="false" ht="15" hidden="false" customHeight="false" outlineLevel="0" collapsed="false">
      <c r="A18" s="6" t="s">
        <v>80</v>
      </c>
      <c r="B18" s="6" t="s">
        <v>10</v>
      </c>
      <c r="C18" s="6" t="s">
        <v>81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customFormat="false" ht="15" hidden="false" customHeight="false" outlineLevel="0" collapsed="false">
      <c r="A19" s="6" t="s">
        <v>82</v>
      </c>
      <c r="B19" s="6" t="s">
        <v>83</v>
      </c>
      <c r="C19" s="6" t="s">
        <v>84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</sheetData>
  <mergeCells count="3">
    <mergeCell ref="A2:N2"/>
    <mergeCell ref="A4:N4"/>
    <mergeCell ref="A14:N14"/>
  </mergeCells>
  <conditionalFormatting sqref="N7:N11">
    <cfRule type="containsText" priority="2" operator="containsText" aboveAverage="0" equalAverage="0" bottom="0" percent="0" rank="0" text="FAIL" dxfId="0">
      <formula>NOT(ISERROR(SEARCH("FAIL",N7)))</formula>
    </cfRule>
    <cfRule type="containsText" priority="3" operator="containsText" aboveAverage="0" equalAverage="0" bottom="0" percent="0" rank="0" text="TERMINATED" dxfId="1">
      <formula>NOT(ISERROR(SEARCH("TERMINATED",N7)))</formula>
    </cfRule>
    <cfRule type="containsText" priority="4" operator="containsText" aboveAverage="0" equalAverage="0" bottom="0" percent="0" rank="0" text="OPEN" dxfId="2">
      <formula>NOT(ISERROR(SEARCH("OPEN",N7)))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24"/>
    <col collapsed="false" customWidth="true" hidden="false" outlineLevel="0" max="7" min="6" style="0" width="27"/>
    <col collapsed="false" customWidth="true" hidden="false" outlineLevel="0" max="8" min="8" style="0" width="22"/>
    <col collapsed="false" customWidth="true" hidden="false" outlineLevel="0" max="9" min="9" style="0" width="12"/>
    <col collapsed="false" customWidth="true" hidden="false" outlineLevel="0" max="10" min="10" style="0" width="16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24" hidden="false" customHeight="true" outlineLevel="0" collapsed="false">
      <c r="A2" s="2" t="s">
        <v>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20" hidden="false" customHeight="true" outlineLevel="0" collapsed="false">
      <c r="A4" s="4" t="s">
        <v>86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</row>
    <row r="6" customFormat="false" ht="24" hidden="false" customHeight="true" outlineLevel="0" collapsed="false">
      <c r="A6" s="9" t="s">
        <v>87</v>
      </c>
      <c r="B6" s="10" t="s">
        <v>88</v>
      </c>
      <c r="C6" s="10" t="s">
        <v>89</v>
      </c>
      <c r="D6" s="10" t="s">
        <v>90</v>
      </c>
      <c r="E6" s="10" t="s">
        <v>91</v>
      </c>
      <c r="F6" s="10" t="s">
        <v>92</v>
      </c>
      <c r="G6" s="10" t="s">
        <v>93</v>
      </c>
      <c r="H6" s="10" t="s">
        <v>94</v>
      </c>
      <c r="I6" s="10" t="s">
        <v>4</v>
      </c>
      <c r="J6" s="11" t="s">
        <v>95</v>
      </c>
    </row>
    <row r="7" customFormat="false" ht="15" hidden="false" customHeight="false" outlineLevel="0" collapsed="false">
      <c r="A7" s="12" t="n">
        <v>1</v>
      </c>
      <c r="B7" s="12" t="s">
        <v>96</v>
      </c>
      <c r="C7" s="12" t="s">
        <v>97</v>
      </c>
      <c r="D7" s="12" t="s">
        <v>98</v>
      </c>
      <c r="E7" s="12" t="s">
        <v>99</v>
      </c>
      <c r="F7" s="12" t="s">
        <v>100</v>
      </c>
      <c r="G7" s="12" t="s">
        <v>101</v>
      </c>
      <c r="H7" s="12" t="s">
        <v>102</v>
      </c>
      <c r="I7" s="13" t="n">
        <v>1</v>
      </c>
      <c r="J7" s="13" t="s">
        <v>103</v>
      </c>
    </row>
    <row r="8" customFormat="false" ht="15" hidden="false" customHeight="false" outlineLevel="0" collapsed="false">
      <c r="A8" s="12" t="n">
        <v>2</v>
      </c>
      <c r="B8" s="12" t="s">
        <v>104</v>
      </c>
      <c r="C8" s="12" t="s">
        <v>105</v>
      </c>
      <c r="D8" s="12" t="s">
        <v>98</v>
      </c>
      <c r="E8" s="12" t="s">
        <v>106</v>
      </c>
      <c r="F8" s="12" t="s">
        <v>107</v>
      </c>
      <c r="G8" s="12" t="s">
        <v>108</v>
      </c>
      <c r="H8" s="12" t="s">
        <v>109</v>
      </c>
      <c r="I8" s="13" t="n">
        <v>18</v>
      </c>
      <c r="J8" s="13" t="s">
        <v>110</v>
      </c>
    </row>
    <row r="9" customFormat="false" ht="15" hidden="false" customHeight="false" outlineLevel="0" collapsed="false">
      <c r="A9" s="12" t="n">
        <v>3</v>
      </c>
      <c r="B9" s="12" t="s">
        <v>111</v>
      </c>
      <c r="C9" s="12" t="s">
        <v>112</v>
      </c>
      <c r="D9" s="12" t="s">
        <v>113</v>
      </c>
      <c r="E9" s="12" t="s">
        <v>114</v>
      </c>
      <c r="F9" s="12" t="s">
        <v>115</v>
      </c>
      <c r="G9" s="12" t="s">
        <v>116</v>
      </c>
      <c r="H9" s="12" t="s">
        <v>117</v>
      </c>
      <c r="I9" s="13" t="n">
        <v>3</v>
      </c>
      <c r="J9" s="13" t="s">
        <v>118</v>
      </c>
    </row>
    <row r="10" customFormat="false" ht="15" hidden="false" customHeight="false" outlineLevel="0" collapsed="false">
      <c r="A10" s="12" t="n">
        <v>4</v>
      </c>
      <c r="B10" s="12" t="s">
        <v>119</v>
      </c>
      <c r="C10" s="12" t="s">
        <v>120</v>
      </c>
      <c r="D10" s="12" t="s">
        <v>121</v>
      </c>
      <c r="E10" s="12" t="s">
        <v>122</v>
      </c>
      <c r="F10" s="12" t="s">
        <v>123</v>
      </c>
      <c r="G10" s="12" t="s">
        <v>124</v>
      </c>
      <c r="H10" s="12" t="s">
        <v>125</v>
      </c>
      <c r="I10" s="13" t="n">
        <v>6</v>
      </c>
      <c r="J10" s="13" t="s">
        <v>103</v>
      </c>
    </row>
    <row r="11" customFormat="false" ht="15" hidden="false" customHeight="false" outlineLevel="0" collapsed="false">
      <c r="A11" s="12" t="n">
        <v>5</v>
      </c>
      <c r="B11" s="12" t="s">
        <v>126</v>
      </c>
      <c r="C11" s="12" t="s">
        <v>127</v>
      </c>
      <c r="D11" s="12" t="s">
        <v>128</v>
      </c>
      <c r="E11" s="12" t="s">
        <v>129</v>
      </c>
      <c r="F11" s="12" t="s">
        <v>130</v>
      </c>
      <c r="G11" s="12" t="s">
        <v>101</v>
      </c>
      <c r="H11" s="12" t="s">
        <v>131</v>
      </c>
      <c r="I11" s="13" t="n">
        <v>1</v>
      </c>
      <c r="J11" s="13" t="s">
        <v>118</v>
      </c>
    </row>
    <row r="12" customFormat="false" ht="15" hidden="false" customHeight="false" outlineLevel="0" collapsed="false">
      <c r="A12" s="12" t="n">
        <v>6</v>
      </c>
      <c r="B12" s="12" t="s">
        <v>132</v>
      </c>
      <c r="C12" s="12" t="s">
        <v>133</v>
      </c>
      <c r="D12" s="12" t="s">
        <v>134</v>
      </c>
      <c r="E12" s="12" t="s">
        <v>135</v>
      </c>
      <c r="F12" s="12" t="s">
        <v>136</v>
      </c>
      <c r="G12" s="12" t="s">
        <v>137</v>
      </c>
      <c r="H12" s="12" t="s">
        <v>138</v>
      </c>
      <c r="I12" s="13" t="n">
        <v>1</v>
      </c>
      <c r="J12" s="13" t="s">
        <v>139</v>
      </c>
    </row>
    <row r="13" customFormat="false" ht="15" hidden="false" customHeight="false" outlineLevel="0" collapsed="false">
      <c r="A13" s="12" t="n">
        <v>7</v>
      </c>
      <c r="B13" s="12" t="s">
        <v>140</v>
      </c>
      <c r="C13" s="12" t="s">
        <v>141</v>
      </c>
      <c r="D13" s="12" t="s">
        <v>128</v>
      </c>
      <c r="E13" s="12" t="s">
        <v>142</v>
      </c>
      <c r="F13" s="12" t="s">
        <v>143</v>
      </c>
      <c r="G13" s="12" t="s">
        <v>144</v>
      </c>
      <c r="H13" s="12" t="s">
        <v>145</v>
      </c>
      <c r="I13" s="13" t="n">
        <v>1</v>
      </c>
      <c r="J13" s="13" t="s">
        <v>139</v>
      </c>
    </row>
    <row r="14" customFormat="false" ht="15" hidden="false" customHeight="false" outlineLevel="0" collapsed="false">
      <c r="A14" s="12" t="n">
        <v>8</v>
      </c>
      <c r="B14" s="12" t="s">
        <v>146</v>
      </c>
      <c r="C14" s="12" t="s">
        <v>147</v>
      </c>
      <c r="D14" s="12" t="s">
        <v>128</v>
      </c>
      <c r="E14" s="12" t="s">
        <v>148</v>
      </c>
      <c r="F14" s="12" t="s">
        <v>149</v>
      </c>
      <c r="G14" s="12" t="s">
        <v>150</v>
      </c>
      <c r="H14" s="12" t="s">
        <v>151</v>
      </c>
      <c r="I14" s="13" t="n">
        <v>1</v>
      </c>
      <c r="J14" s="13" t="s">
        <v>139</v>
      </c>
    </row>
    <row r="15" customFormat="false" ht="15" hidden="false" customHeight="false" outlineLevel="0" collapsed="false">
      <c r="A15" s="12" t="n">
        <v>9</v>
      </c>
      <c r="B15" s="12" t="s">
        <v>152</v>
      </c>
      <c r="C15" s="12" t="s">
        <v>153</v>
      </c>
      <c r="D15" s="12" t="s">
        <v>121</v>
      </c>
      <c r="E15" s="12" t="s">
        <v>154</v>
      </c>
      <c r="F15" s="12" t="s">
        <v>155</v>
      </c>
      <c r="G15" s="12" t="s">
        <v>156</v>
      </c>
      <c r="H15" s="12" t="s">
        <v>157</v>
      </c>
      <c r="I15" s="13" t="n">
        <v>1</v>
      </c>
      <c r="J15" s="13" t="s">
        <v>139</v>
      </c>
    </row>
    <row r="16" customFormat="false" ht="15" hidden="false" customHeight="false" outlineLevel="0" collapsed="false">
      <c r="A16" s="12" t="n">
        <v>10</v>
      </c>
      <c r="B16" s="12" t="s">
        <v>158</v>
      </c>
      <c r="C16" s="12" t="s">
        <v>159</v>
      </c>
      <c r="D16" s="12" t="s">
        <v>160</v>
      </c>
      <c r="E16" s="12" t="s">
        <v>161</v>
      </c>
      <c r="F16" s="12" t="s">
        <v>162</v>
      </c>
      <c r="G16" s="12" t="s">
        <v>163</v>
      </c>
      <c r="H16" s="12" t="s">
        <v>164</v>
      </c>
      <c r="I16" s="13" t="n">
        <v>1</v>
      </c>
      <c r="J16" s="13" t="s">
        <v>139</v>
      </c>
    </row>
    <row r="17" customFormat="false" ht="15" hidden="false" customHeight="false" outlineLevel="0" collapsed="false">
      <c r="A17" s="12" t="n">
        <v>11</v>
      </c>
      <c r="B17" s="12" t="s">
        <v>165</v>
      </c>
      <c r="C17" s="12" t="s">
        <v>7</v>
      </c>
      <c r="D17" s="12" t="s">
        <v>160</v>
      </c>
      <c r="E17" s="12" t="s">
        <v>166</v>
      </c>
      <c r="F17" s="12" t="s">
        <v>167</v>
      </c>
      <c r="G17" s="12" t="s">
        <v>168</v>
      </c>
      <c r="H17" s="12" t="s">
        <v>169</v>
      </c>
      <c r="I17" s="13" t="n">
        <v>0</v>
      </c>
      <c r="J17" s="13" t="s">
        <v>170</v>
      </c>
    </row>
    <row r="18" customFormat="false" ht="15" hidden="false" customHeight="false" outlineLevel="0" collapsed="false">
      <c r="A18" s="12" t="n">
        <v>12</v>
      </c>
      <c r="B18" s="12" t="s">
        <v>171</v>
      </c>
      <c r="C18" s="12" t="s">
        <v>7</v>
      </c>
      <c r="D18" s="12" t="s">
        <v>172</v>
      </c>
      <c r="E18" s="12" t="s">
        <v>173</v>
      </c>
      <c r="F18" s="12" t="s">
        <v>174</v>
      </c>
      <c r="G18" s="12" t="s">
        <v>175</v>
      </c>
      <c r="H18" s="12" t="s">
        <v>176</v>
      </c>
      <c r="I18" s="13" t="n">
        <v>0</v>
      </c>
      <c r="J18" s="13" t="s">
        <v>170</v>
      </c>
    </row>
    <row r="19" customFormat="false" ht="15" hidden="false" customHeight="false" outlineLevel="0" collapsed="false">
      <c r="A19" s="12" t="n">
        <v>13</v>
      </c>
      <c r="B19" s="12" t="s">
        <v>177</v>
      </c>
      <c r="C19" s="12" t="s">
        <v>7</v>
      </c>
      <c r="D19" s="12" t="s">
        <v>178</v>
      </c>
      <c r="E19" s="12" t="s">
        <v>179</v>
      </c>
      <c r="F19" s="12" t="s">
        <v>180</v>
      </c>
      <c r="G19" s="12" t="s">
        <v>163</v>
      </c>
      <c r="H19" s="12" t="s">
        <v>181</v>
      </c>
      <c r="I19" s="13" t="n">
        <v>0</v>
      </c>
      <c r="J19" s="13" t="s">
        <v>170</v>
      </c>
    </row>
    <row r="20" customFormat="false" ht="15" hidden="false" customHeight="false" outlineLevel="0" collapsed="false">
      <c r="A20" s="12" t="n">
        <v>14</v>
      </c>
      <c r="B20" s="12" t="s">
        <v>182</v>
      </c>
      <c r="C20" s="12" t="s">
        <v>7</v>
      </c>
      <c r="D20" s="12" t="s">
        <v>160</v>
      </c>
      <c r="E20" s="12" t="s">
        <v>183</v>
      </c>
      <c r="F20" s="12" t="s">
        <v>184</v>
      </c>
      <c r="G20" s="12" t="s">
        <v>185</v>
      </c>
      <c r="H20" s="12" t="s">
        <v>186</v>
      </c>
      <c r="I20" s="13" t="n">
        <v>0</v>
      </c>
      <c r="J20" s="13" t="s">
        <v>170</v>
      </c>
    </row>
    <row r="21" customFormat="false" ht="15" hidden="false" customHeight="false" outlineLevel="0" collapsed="false">
      <c r="A21" s="12" t="n">
        <v>15</v>
      </c>
      <c r="B21" s="12" t="s">
        <v>187</v>
      </c>
      <c r="C21" s="12" t="s">
        <v>7</v>
      </c>
      <c r="D21" s="12" t="s">
        <v>121</v>
      </c>
      <c r="E21" s="12" t="s">
        <v>188</v>
      </c>
      <c r="F21" s="12" t="s">
        <v>189</v>
      </c>
      <c r="G21" s="12" t="s">
        <v>190</v>
      </c>
      <c r="H21" s="12" t="s">
        <v>191</v>
      </c>
      <c r="I21" s="13" t="n">
        <v>0</v>
      </c>
      <c r="J21" s="13" t="s">
        <v>170</v>
      </c>
    </row>
    <row r="22" customFormat="false" ht="15" hidden="false" customHeight="false" outlineLevel="0" collapsed="false">
      <c r="A22" s="12" t="n">
        <v>16</v>
      </c>
      <c r="B22" s="12" t="s">
        <v>192</v>
      </c>
      <c r="C22" s="12" t="s">
        <v>7</v>
      </c>
      <c r="D22" s="12" t="s">
        <v>128</v>
      </c>
      <c r="E22" s="12" t="s">
        <v>193</v>
      </c>
      <c r="F22" s="12" t="s">
        <v>194</v>
      </c>
      <c r="G22" s="12" t="s">
        <v>195</v>
      </c>
      <c r="H22" s="12" t="s">
        <v>151</v>
      </c>
      <c r="I22" s="13" t="n">
        <v>0</v>
      </c>
      <c r="J22" s="13" t="s">
        <v>170</v>
      </c>
    </row>
    <row r="23" customFormat="false" ht="15" hidden="false" customHeight="false" outlineLevel="0" collapsed="false">
      <c r="A23" s="12" t="n">
        <v>17</v>
      </c>
      <c r="B23" s="12" t="s">
        <v>196</v>
      </c>
      <c r="C23" s="12" t="s">
        <v>7</v>
      </c>
      <c r="D23" s="12" t="s">
        <v>128</v>
      </c>
      <c r="E23" s="12" t="s">
        <v>197</v>
      </c>
      <c r="F23" s="12" t="s">
        <v>198</v>
      </c>
      <c r="G23" s="12" t="s">
        <v>199</v>
      </c>
      <c r="H23" s="12" t="s">
        <v>200</v>
      </c>
      <c r="I23" s="13" t="n">
        <v>0</v>
      </c>
      <c r="J23" s="13" t="s">
        <v>170</v>
      </c>
    </row>
    <row r="24" customFormat="false" ht="15" hidden="false" customHeight="false" outlineLevel="0" collapsed="false">
      <c r="A24" s="12" t="n">
        <v>18</v>
      </c>
      <c r="B24" s="12" t="s">
        <v>201</v>
      </c>
      <c r="C24" s="12" t="s">
        <v>7</v>
      </c>
      <c r="D24" s="12" t="s">
        <v>128</v>
      </c>
      <c r="E24" s="12" t="s">
        <v>202</v>
      </c>
      <c r="F24" s="12" t="s">
        <v>203</v>
      </c>
      <c r="G24" s="12" t="s">
        <v>204</v>
      </c>
      <c r="H24" s="12" t="s">
        <v>205</v>
      </c>
      <c r="I24" s="13" t="n">
        <v>0</v>
      </c>
      <c r="J24" s="13" t="s">
        <v>170</v>
      </c>
    </row>
    <row r="25" customFormat="false" ht="15" hidden="false" customHeight="false" outlineLevel="0" collapsed="false">
      <c r="A25" s="12" t="n">
        <v>19</v>
      </c>
      <c r="B25" s="12" t="s">
        <v>206</v>
      </c>
      <c r="C25" s="12" t="s">
        <v>7</v>
      </c>
      <c r="D25" s="12" t="s">
        <v>128</v>
      </c>
      <c r="E25" s="12" t="s">
        <v>207</v>
      </c>
      <c r="F25" s="12" t="s">
        <v>208</v>
      </c>
      <c r="G25" s="12" t="s">
        <v>144</v>
      </c>
      <c r="H25" s="12" t="s">
        <v>209</v>
      </c>
      <c r="I25" s="13" t="n">
        <v>0</v>
      </c>
      <c r="J25" s="13" t="s">
        <v>170</v>
      </c>
    </row>
    <row r="26" customFormat="false" ht="15" hidden="false" customHeight="false" outlineLevel="0" collapsed="false">
      <c r="A26" s="12" t="n">
        <v>20</v>
      </c>
      <c r="B26" s="12" t="s">
        <v>210</v>
      </c>
      <c r="C26" s="12" t="s">
        <v>7</v>
      </c>
      <c r="D26" s="12" t="s">
        <v>128</v>
      </c>
      <c r="E26" s="12" t="s">
        <v>211</v>
      </c>
      <c r="F26" s="12" t="s">
        <v>212</v>
      </c>
      <c r="G26" s="12" t="s">
        <v>213</v>
      </c>
      <c r="H26" s="12" t="s">
        <v>214</v>
      </c>
      <c r="I26" s="13" t="n">
        <v>0</v>
      </c>
      <c r="J26" s="13" t="s">
        <v>170</v>
      </c>
    </row>
    <row r="27" customFormat="false" ht="15" hidden="false" customHeight="false" outlineLevel="0" collapsed="false">
      <c r="A27" s="12" t="n">
        <v>21</v>
      </c>
      <c r="B27" s="12" t="s">
        <v>215</v>
      </c>
      <c r="C27" s="12" t="s">
        <v>7</v>
      </c>
      <c r="D27" s="12" t="s">
        <v>216</v>
      </c>
      <c r="E27" s="12" t="s">
        <v>217</v>
      </c>
      <c r="F27" s="12" t="s">
        <v>218</v>
      </c>
      <c r="G27" s="12" t="s">
        <v>219</v>
      </c>
      <c r="H27" s="12" t="s">
        <v>220</v>
      </c>
      <c r="I27" s="13" t="n">
        <v>0</v>
      </c>
      <c r="J27" s="13" t="s">
        <v>170</v>
      </c>
    </row>
    <row r="28" customFormat="false" ht="15" hidden="false" customHeight="false" outlineLevel="0" collapsed="false">
      <c r="A28" s="12" t="n">
        <v>22</v>
      </c>
      <c r="B28" s="12" t="s">
        <v>221</v>
      </c>
      <c r="C28" s="12" t="s">
        <v>7</v>
      </c>
      <c r="D28" s="12" t="s">
        <v>216</v>
      </c>
      <c r="E28" s="12" t="s">
        <v>222</v>
      </c>
      <c r="F28" s="12" t="s">
        <v>223</v>
      </c>
      <c r="G28" s="12" t="s">
        <v>224</v>
      </c>
      <c r="H28" s="12" t="s">
        <v>225</v>
      </c>
      <c r="I28" s="13" t="n">
        <v>0</v>
      </c>
      <c r="J28" s="13" t="s">
        <v>170</v>
      </c>
    </row>
    <row r="29" customFormat="false" ht="15" hidden="false" customHeight="false" outlineLevel="0" collapsed="false">
      <c r="A29" s="12" t="n">
        <v>23</v>
      </c>
      <c r="B29" s="12" t="s">
        <v>226</v>
      </c>
      <c r="C29" s="12" t="s">
        <v>7</v>
      </c>
      <c r="D29" s="12" t="s">
        <v>216</v>
      </c>
      <c r="E29" s="12" t="s">
        <v>227</v>
      </c>
      <c r="F29" s="12" t="s">
        <v>228</v>
      </c>
      <c r="G29" s="12" t="s">
        <v>229</v>
      </c>
      <c r="H29" s="12" t="s">
        <v>230</v>
      </c>
      <c r="I29" s="13" t="n">
        <v>0</v>
      </c>
      <c r="J29" s="13" t="s">
        <v>170</v>
      </c>
    </row>
    <row r="30" customFormat="false" ht="15" hidden="false" customHeight="false" outlineLevel="0" collapsed="false">
      <c r="A30" s="12" t="n">
        <v>24</v>
      </c>
      <c r="B30" s="12" t="s">
        <v>231</v>
      </c>
      <c r="C30" s="12" t="s">
        <v>232</v>
      </c>
      <c r="D30" s="12" t="s">
        <v>233</v>
      </c>
      <c r="E30" s="12" t="s">
        <v>234</v>
      </c>
      <c r="F30" s="12" t="s">
        <v>235</v>
      </c>
      <c r="G30" s="12" t="s">
        <v>163</v>
      </c>
      <c r="H30" s="12" t="s">
        <v>236</v>
      </c>
      <c r="I30" s="13" t="n">
        <v>0</v>
      </c>
      <c r="J30" s="13" t="s">
        <v>237</v>
      </c>
    </row>
    <row r="31" customFormat="false" ht="15" hidden="false" customHeight="false" outlineLevel="0" collapsed="false">
      <c r="A31" s="12" t="n">
        <v>25</v>
      </c>
      <c r="B31" s="12" t="s">
        <v>238</v>
      </c>
      <c r="C31" s="12" t="s">
        <v>232</v>
      </c>
      <c r="D31" s="12" t="s">
        <v>121</v>
      </c>
      <c r="E31" s="12" t="s">
        <v>239</v>
      </c>
      <c r="F31" s="12" t="s">
        <v>240</v>
      </c>
      <c r="G31" s="12" t="s">
        <v>241</v>
      </c>
      <c r="H31" s="12" t="s">
        <v>242</v>
      </c>
      <c r="I31" s="13" t="n">
        <v>0</v>
      </c>
      <c r="J31" s="13" t="s">
        <v>237</v>
      </c>
    </row>
    <row r="32" customFormat="false" ht="15" hidden="false" customHeight="false" outlineLevel="0" collapsed="false">
      <c r="A32" s="12" t="n">
        <v>26</v>
      </c>
      <c r="B32" s="12" t="s">
        <v>243</v>
      </c>
      <c r="C32" s="12" t="s">
        <v>232</v>
      </c>
      <c r="D32" s="12" t="s">
        <v>244</v>
      </c>
      <c r="E32" s="12" t="s">
        <v>245</v>
      </c>
      <c r="F32" s="12" t="s">
        <v>246</v>
      </c>
      <c r="G32" s="12" t="s">
        <v>224</v>
      </c>
      <c r="H32" s="12" t="s">
        <v>109</v>
      </c>
      <c r="I32" s="13" t="n">
        <v>0</v>
      </c>
      <c r="J32" s="13" t="s">
        <v>237</v>
      </c>
    </row>
    <row r="33" customFormat="false" ht="15" hidden="false" customHeight="false" outlineLevel="0" collapsed="false">
      <c r="A33" s="12" t="n">
        <v>27</v>
      </c>
      <c r="B33" s="12" t="s">
        <v>247</v>
      </c>
      <c r="C33" s="12" t="s">
        <v>232</v>
      </c>
      <c r="D33" s="12" t="s">
        <v>98</v>
      </c>
      <c r="E33" s="12" t="s">
        <v>248</v>
      </c>
      <c r="F33" s="12" t="s">
        <v>249</v>
      </c>
      <c r="G33" s="12" t="s">
        <v>250</v>
      </c>
      <c r="H33" s="12" t="s">
        <v>251</v>
      </c>
      <c r="I33" s="13" t="n">
        <v>0</v>
      </c>
      <c r="J33" s="13" t="s">
        <v>237</v>
      </c>
    </row>
  </sheetData>
  <mergeCells count="2">
    <mergeCell ref="A2:N2"/>
    <mergeCell ref="A4:N4"/>
  </mergeCells>
  <conditionalFormatting sqref="J7:J33">
    <cfRule type="containsText" priority="2" operator="containsText" aboveAverage="0" equalAverage="0" bottom="0" percent="0" rank="0" text="FAIL" dxfId="3">
      <formula>NOT(ISERROR(SEARCH("FAIL",J7)))</formula>
    </cfRule>
    <cfRule type="containsText" priority="3" operator="containsText" aboveAverage="0" equalAverage="0" bottom="0" percent="0" rank="0" text="TERMINATED" dxfId="4">
      <formula>NOT(ISERROR(SEARCH("TERMINATED",J7)))</formula>
    </cfRule>
    <cfRule type="containsText" priority="4" operator="containsText" aboveAverage="0" equalAverage="0" bottom="0" percent="0" rank="0" text="OPEN" dxfId="5">
      <formula>NOT(ISERROR(SEARCH("OPEN",J7)))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34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2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" hidden="false" customHeight="true" outlineLevel="0" collapsed="false">
      <c r="A2" s="2" t="s">
        <v>252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0" hidden="false" customHeight="true" outlineLevel="0" collapsed="false">
      <c r="A4" s="4" t="s">
        <v>253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24" hidden="false" customHeight="true" outlineLevel="0" collapsed="false">
      <c r="A6" s="9" t="s">
        <v>254</v>
      </c>
      <c r="B6" s="10" t="s">
        <v>255</v>
      </c>
      <c r="C6" s="10" t="s">
        <v>256</v>
      </c>
      <c r="D6" s="10" t="s">
        <v>257</v>
      </c>
      <c r="E6" s="10" t="s">
        <v>258</v>
      </c>
      <c r="F6" s="10" t="s">
        <v>259</v>
      </c>
      <c r="G6" s="10" t="s">
        <v>260</v>
      </c>
      <c r="H6" s="10" t="s">
        <v>261</v>
      </c>
      <c r="I6" s="10" t="s">
        <v>262</v>
      </c>
      <c r="J6" s="10" t="s">
        <v>263</v>
      </c>
      <c r="K6" s="10" t="s">
        <v>264</v>
      </c>
      <c r="L6" s="10" t="s">
        <v>265</v>
      </c>
      <c r="M6" s="10" t="s">
        <v>266</v>
      </c>
      <c r="N6" s="11" t="s">
        <v>267</v>
      </c>
    </row>
    <row r="7" customFormat="false" ht="15" hidden="false" customHeight="false" outlineLevel="0" collapsed="false">
      <c r="A7" s="12" t="s">
        <v>268</v>
      </c>
      <c r="B7" s="12" t="s">
        <v>269</v>
      </c>
      <c r="C7" s="12" t="s">
        <v>270</v>
      </c>
      <c r="D7" s="12" t="s">
        <v>271</v>
      </c>
      <c r="E7" s="12" t="s">
        <v>272</v>
      </c>
      <c r="F7" s="14" t="n">
        <v>5.0047461808185</v>
      </c>
      <c r="G7" s="12" t="n">
        <v>1</v>
      </c>
      <c r="H7" s="13" t="n">
        <f aca="false">COUNTIFS('Validity Gates'!$B$7:$B$366,A7,'Validity Gates'!$H$7:$H$366,"PASS")</f>
        <v>2</v>
      </c>
      <c r="I7" s="13" t="n">
        <v>0</v>
      </c>
      <c r="J7" s="13" t="n">
        <v>0</v>
      </c>
      <c r="K7" s="13" t="n">
        <v>0</v>
      </c>
      <c r="L7" s="13" t="n">
        <v>0</v>
      </c>
      <c r="M7" s="13" t="n">
        <v>0</v>
      </c>
      <c r="N7" s="13" t="str">
        <f aca="false">IF(M7=1,"VALID",IF(AND(G7=1,H7&lt;12),"WORKING / VALIDITY OPEN","HELD"))</f>
        <v>WORKING / VALIDITY OPEN</v>
      </c>
    </row>
    <row r="8" customFormat="false" ht="15" hidden="false" customHeight="false" outlineLevel="0" collapsed="false">
      <c r="A8" s="12" t="s">
        <v>273</v>
      </c>
      <c r="B8" s="12" t="s">
        <v>269</v>
      </c>
      <c r="C8" s="12" t="s">
        <v>270</v>
      </c>
      <c r="D8" s="12" t="s">
        <v>274</v>
      </c>
      <c r="E8" s="12" t="s">
        <v>275</v>
      </c>
      <c r="F8" s="14" t="n">
        <v>6.25593272602313</v>
      </c>
      <c r="G8" s="12" t="n">
        <v>1</v>
      </c>
      <c r="H8" s="13" t="n">
        <f aca="false">COUNTIFS('Validity Gates'!$B$7:$B$366,A8,'Validity Gates'!$H$7:$H$366,"PASS")</f>
        <v>2</v>
      </c>
      <c r="I8" s="13" t="n">
        <v>0</v>
      </c>
      <c r="J8" s="13" t="n">
        <v>0</v>
      </c>
      <c r="K8" s="13" t="n">
        <v>0</v>
      </c>
      <c r="L8" s="13" t="n">
        <v>0</v>
      </c>
      <c r="M8" s="13" t="n">
        <v>0</v>
      </c>
      <c r="N8" s="13" t="str">
        <f aca="false">IF(M8=1,"VALID",IF(AND(G8=1,H8&lt;12),"WORKING / VALIDITY OPEN","HELD"))</f>
        <v>WORKING / VALIDITY OPEN</v>
      </c>
    </row>
    <row r="9" customFormat="false" ht="15" hidden="false" customHeight="false" outlineLevel="0" collapsed="false">
      <c r="A9" s="12" t="s">
        <v>276</v>
      </c>
      <c r="B9" s="12" t="s">
        <v>269</v>
      </c>
      <c r="C9" s="12" t="s">
        <v>270</v>
      </c>
      <c r="D9" s="12" t="s">
        <v>277</v>
      </c>
      <c r="E9" s="12" t="s">
        <v>278</v>
      </c>
      <c r="F9" s="14" t="n">
        <v>3.75355963561387</v>
      </c>
      <c r="G9" s="12" t="n">
        <v>1</v>
      </c>
      <c r="H9" s="13" t="n">
        <f aca="false">COUNTIFS('Validity Gates'!$B$7:$B$366,A9,'Validity Gates'!$H$7:$H$366,"PASS")</f>
        <v>2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  <c r="N9" s="13" t="str">
        <f aca="false">IF(M9=1,"VALID",IF(AND(G9=1,H9&lt;12),"WORKING / VALIDITY OPEN","HELD"))</f>
        <v>WORKING / VALIDITY OPEN</v>
      </c>
    </row>
    <row r="10" customFormat="false" ht="15" hidden="false" customHeight="false" outlineLevel="0" collapsed="false">
      <c r="A10" s="12" t="s">
        <v>279</v>
      </c>
      <c r="B10" s="12" t="s">
        <v>269</v>
      </c>
      <c r="C10" s="12" t="s">
        <v>270</v>
      </c>
      <c r="D10" s="12" t="s">
        <v>280</v>
      </c>
      <c r="E10" s="12" t="s">
        <v>281</v>
      </c>
      <c r="F10" s="14" t="n">
        <v>6.25593272602313</v>
      </c>
      <c r="G10" s="12" t="n">
        <v>1</v>
      </c>
      <c r="H10" s="13" t="n">
        <f aca="false">COUNTIFS('Validity Gates'!$B$7:$B$366,A10,'Validity Gates'!$H$7:$H$366,"PASS")</f>
        <v>2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13" t="str">
        <f aca="false">IF(M10=1,"VALID",IF(AND(G10=1,H10&lt;12),"WORKING / VALIDITY OPEN","HELD"))</f>
        <v>WORKING / VALIDITY OPEN</v>
      </c>
    </row>
    <row r="11" customFormat="false" ht="15" hidden="false" customHeight="false" outlineLevel="0" collapsed="false">
      <c r="A11" s="12" t="s">
        <v>282</v>
      </c>
      <c r="B11" s="12" t="s">
        <v>269</v>
      </c>
      <c r="C11" s="12" t="s">
        <v>270</v>
      </c>
      <c r="D11" s="12" t="s">
        <v>283</v>
      </c>
      <c r="E11" s="12" t="s">
        <v>284</v>
      </c>
      <c r="F11" s="14" t="n">
        <v>3.75355963561387</v>
      </c>
      <c r="G11" s="12" t="n">
        <v>1</v>
      </c>
      <c r="H11" s="13" t="n">
        <f aca="false">COUNTIFS('Validity Gates'!$B$7:$B$366,A11,'Validity Gates'!$H$7:$H$366,"PASS")</f>
        <v>2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str">
        <f aca="false">IF(M11=1,"VALID",IF(AND(G11=1,H11&lt;12),"WORKING / VALIDITY OPEN","HELD"))</f>
        <v>WORKING / VALIDITY OPEN</v>
      </c>
    </row>
    <row r="12" customFormat="false" ht="15" hidden="false" customHeight="false" outlineLevel="0" collapsed="false">
      <c r="A12" s="12" t="s">
        <v>285</v>
      </c>
      <c r="B12" s="12" t="s">
        <v>286</v>
      </c>
      <c r="C12" s="12" t="s">
        <v>287</v>
      </c>
      <c r="D12" s="12" t="s">
        <v>271</v>
      </c>
      <c r="E12" s="12" t="s">
        <v>272</v>
      </c>
      <c r="F12" s="14" t="n">
        <v>5.1649348177396</v>
      </c>
      <c r="G12" s="12" t="n">
        <v>1</v>
      </c>
      <c r="H12" s="13" t="n">
        <f aca="false">COUNTIFS('Validity Gates'!$B$7:$B$366,A12,'Validity Gates'!$H$7:$H$366,"PASS")</f>
        <v>2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str">
        <f aca="false">IF(M12=1,"VALID",IF(AND(G12=1,H12&lt;12),"WORKING / VALIDITY OPEN","HELD"))</f>
        <v>WORKING / VALIDITY OPEN</v>
      </c>
    </row>
    <row r="13" customFormat="false" ht="15" hidden="false" customHeight="false" outlineLevel="0" collapsed="false">
      <c r="A13" s="12" t="s">
        <v>288</v>
      </c>
      <c r="B13" s="12" t="s">
        <v>286</v>
      </c>
      <c r="C13" s="12" t="s">
        <v>287</v>
      </c>
      <c r="D13" s="12" t="s">
        <v>274</v>
      </c>
      <c r="E13" s="12" t="s">
        <v>275</v>
      </c>
      <c r="F13" s="14" t="n">
        <v>6.4561685221745</v>
      </c>
      <c r="G13" s="12" t="n">
        <v>1</v>
      </c>
      <c r="H13" s="13" t="n">
        <f aca="false">COUNTIFS('Validity Gates'!$B$7:$B$366,A13,'Validity Gates'!$H$7:$H$366,"PASS")</f>
        <v>2</v>
      </c>
      <c r="I13" s="13" t="n">
        <v>0</v>
      </c>
      <c r="J13" s="13" t="n">
        <v>0</v>
      </c>
      <c r="K13" s="13" t="n">
        <v>0</v>
      </c>
      <c r="L13" s="13" t="n">
        <v>0</v>
      </c>
      <c r="M13" s="13" t="n">
        <v>0</v>
      </c>
      <c r="N13" s="13" t="str">
        <f aca="false">IF(M13=1,"VALID",IF(AND(G13=1,H13&lt;12),"WORKING / VALIDITY OPEN","HELD"))</f>
        <v>WORKING / VALIDITY OPEN</v>
      </c>
    </row>
    <row r="14" customFormat="false" ht="15" hidden="false" customHeight="false" outlineLevel="0" collapsed="false">
      <c r="A14" s="12" t="s">
        <v>289</v>
      </c>
      <c r="B14" s="12" t="s">
        <v>286</v>
      </c>
      <c r="C14" s="12" t="s">
        <v>287</v>
      </c>
      <c r="D14" s="12" t="s">
        <v>277</v>
      </c>
      <c r="E14" s="12" t="s">
        <v>278</v>
      </c>
      <c r="F14" s="14" t="n">
        <v>3.8737011133047</v>
      </c>
      <c r="G14" s="12" t="n">
        <v>1</v>
      </c>
      <c r="H14" s="13" t="n">
        <f aca="false">COUNTIFS('Validity Gates'!$B$7:$B$366,A14,'Validity Gates'!$H$7:$H$366,"PASS")</f>
        <v>2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str">
        <f aca="false">IF(M14=1,"VALID",IF(AND(G14=1,H14&lt;12),"WORKING / VALIDITY OPEN","HELD"))</f>
        <v>WORKING / VALIDITY OPEN</v>
      </c>
    </row>
    <row r="15" customFormat="false" ht="15" hidden="false" customHeight="false" outlineLevel="0" collapsed="false">
      <c r="A15" s="12" t="s">
        <v>290</v>
      </c>
      <c r="B15" s="12" t="s">
        <v>286</v>
      </c>
      <c r="C15" s="12" t="s">
        <v>287</v>
      </c>
      <c r="D15" s="12" t="s">
        <v>280</v>
      </c>
      <c r="E15" s="12" t="s">
        <v>281</v>
      </c>
      <c r="F15" s="14" t="n">
        <v>6.4561685221745</v>
      </c>
      <c r="G15" s="12" t="n">
        <v>1</v>
      </c>
      <c r="H15" s="13" t="n">
        <f aca="false">COUNTIFS('Validity Gates'!$B$7:$B$366,A15,'Validity Gates'!$H$7:$H$366,"PASS")</f>
        <v>2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3" t="str">
        <f aca="false">IF(M15=1,"VALID",IF(AND(G15=1,H15&lt;12),"WORKING / VALIDITY OPEN","HELD"))</f>
        <v>WORKING / VALIDITY OPEN</v>
      </c>
    </row>
    <row r="16" customFormat="false" ht="15" hidden="false" customHeight="false" outlineLevel="0" collapsed="false">
      <c r="A16" s="12" t="s">
        <v>291</v>
      </c>
      <c r="B16" s="12" t="s">
        <v>286</v>
      </c>
      <c r="C16" s="12" t="s">
        <v>287</v>
      </c>
      <c r="D16" s="12" t="s">
        <v>283</v>
      </c>
      <c r="E16" s="12" t="s">
        <v>284</v>
      </c>
      <c r="F16" s="14" t="n">
        <v>3.8737011133047</v>
      </c>
      <c r="G16" s="12" t="n">
        <v>1</v>
      </c>
      <c r="H16" s="13" t="n">
        <f aca="false">COUNTIFS('Validity Gates'!$B$7:$B$366,A16,'Validity Gates'!$H$7:$H$366,"PASS")</f>
        <v>2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str">
        <f aca="false">IF(M16=1,"VALID",IF(AND(G16=1,H16&lt;12),"WORKING / VALIDITY OPEN","HELD"))</f>
        <v>WORKING / VALIDITY OPEN</v>
      </c>
    </row>
    <row r="17" customFormat="false" ht="15" hidden="false" customHeight="false" outlineLevel="0" collapsed="false">
      <c r="A17" s="12" t="s">
        <v>292</v>
      </c>
      <c r="B17" s="12" t="s">
        <v>293</v>
      </c>
      <c r="C17" s="12" t="s">
        <v>294</v>
      </c>
      <c r="D17" s="12" t="s">
        <v>271</v>
      </c>
      <c r="E17" s="12" t="s">
        <v>272</v>
      </c>
      <c r="F17" s="14" t="n">
        <v>3.07221654067133</v>
      </c>
      <c r="G17" s="12" t="n">
        <v>1</v>
      </c>
      <c r="H17" s="13" t="n">
        <f aca="false">COUNTIFS('Validity Gates'!$B$7:$B$366,A17,'Validity Gates'!$H$7:$H$366,"PASS")</f>
        <v>2</v>
      </c>
      <c r="I17" s="13" t="n">
        <v>0</v>
      </c>
      <c r="J17" s="13" t="n">
        <v>0</v>
      </c>
      <c r="K17" s="13" t="n">
        <v>0</v>
      </c>
      <c r="L17" s="13" t="n">
        <v>0</v>
      </c>
      <c r="M17" s="13" t="n">
        <v>0</v>
      </c>
      <c r="N17" s="13" t="str">
        <f aca="false">IF(M17=1,"VALID",IF(AND(G17=1,H17&lt;12),"WORKING / VALIDITY OPEN","HELD"))</f>
        <v>WORKING / VALIDITY OPEN</v>
      </c>
    </row>
    <row r="18" customFormat="false" ht="15" hidden="false" customHeight="false" outlineLevel="0" collapsed="false">
      <c r="A18" s="12" t="s">
        <v>295</v>
      </c>
      <c r="B18" s="12" t="s">
        <v>293</v>
      </c>
      <c r="C18" s="12" t="s">
        <v>294</v>
      </c>
      <c r="D18" s="12" t="s">
        <v>274</v>
      </c>
      <c r="E18" s="12" t="s">
        <v>275</v>
      </c>
      <c r="F18" s="14" t="n">
        <v>3.84027067583916</v>
      </c>
      <c r="G18" s="12" t="n">
        <v>1</v>
      </c>
      <c r="H18" s="13" t="n">
        <f aca="false">COUNTIFS('Validity Gates'!$B$7:$B$366,A18,'Validity Gates'!$H$7:$H$366,"PASS")</f>
        <v>2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str">
        <f aca="false">IF(M18=1,"VALID",IF(AND(G18=1,H18&lt;12),"WORKING / VALIDITY OPEN","HELD"))</f>
        <v>WORKING / VALIDITY OPEN</v>
      </c>
    </row>
    <row r="19" customFormat="false" ht="15" hidden="false" customHeight="false" outlineLevel="0" collapsed="false">
      <c r="A19" s="12" t="s">
        <v>296</v>
      </c>
      <c r="B19" s="12" t="s">
        <v>293</v>
      </c>
      <c r="C19" s="12" t="s">
        <v>294</v>
      </c>
      <c r="D19" s="12" t="s">
        <v>277</v>
      </c>
      <c r="E19" s="12" t="s">
        <v>278</v>
      </c>
      <c r="F19" s="14" t="n">
        <v>2.3041624055035</v>
      </c>
      <c r="G19" s="12" t="n">
        <v>1</v>
      </c>
      <c r="H19" s="13" t="n">
        <f aca="false">COUNTIFS('Validity Gates'!$B$7:$B$366,A19,'Validity Gates'!$H$7:$H$366,"PASS")</f>
        <v>2</v>
      </c>
      <c r="I19" s="13" t="n">
        <v>0</v>
      </c>
      <c r="J19" s="13" t="n">
        <v>0</v>
      </c>
      <c r="K19" s="13" t="n">
        <v>0</v>
      </c>
      <c r="L19" s="13" t="n">
        <v>0</v>
      </c>
      <c r="M19" s="13" t="n">
        <v>0</v>
      </c>
      <c r="N19" s="13" t="str">
        <f aca="false">IF(M19=1,"VALID",IF(AND(G19=1,H19&lt;12),"WORKING / VALIDITY OPEN","HELD"))</f>
        <v>WORKING / VALIDITY OPEN</v>
      </c>
    </row>
    <row r="20" customFormat="false" ht="15" hidden="false" customHeight="false" outlineLevel="0" collapsed="false">
      <c r="A20" s="12" t="s">
        <v>297</v>
      </c>
      <c r="B20" s="12" t="s">
        <v>293</v>
      </c>
      <c r="C20" s="12" t="s">
        <v>294</v>
      </c>
      <c r="D20" s="12" t="s">
        <v>280</v>
      </c>
      <c r="E20" s="12" t="s">
        <v>281</v>
      </c>
      <c r="F20" s="14" t="n">
        <v>3.84027067583916</v>
      </c>
      <c r="G20" s="12" t="n">
        <v>1</v>
      </c>
      <c r="H20" s="13" t="n">
        <f aca="false">COUNTIFS('Validity Gates'!$B$7:$B$366,A20,'Validity Gates'!$H$7:$H$366,"PASS")</f>
        <v>2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str">
        <f aca="false">IF(M20=1,"VALID",IF(AND(G20=1,H20&lt;12),"WORKING / VALIDITY OPEN","HELD"))</f>
        <v>WORKING / VALIDITY OPEN</v>
      </c>
    </row>
    <row r="21" customFormat="false" ht="15" hidden="false" customHeight="false" outlineLevel="0" collapsed="false">
      <c r="A21" s="12" t="s">
        <v>298</v>
      </c>
      <c r="B21" s="12" t="s">
        <v>293</v>
      </c>
      <c r="C21" s="12" t="s">
        <v>294</v>
      </c>
      <c r="D21" s="12" t="s">
        <v>283</v>
      </c>
      <c r="E21" s="12" t="s">
        <v>284</v>
      </c>
      <c r="F21" s="14" t="n">
        <v>2.3041624055035</v>
      </c>
      <c r="G21" s="12" t="n">
        <v>1</v>
      </c>
      <c r="H21" s="13" t="n">
        <f aca="false">COUNTIFS('Validity Gates'!$B$7:$B$366,A21,'Validity Gates'!$H$7:$H$366,"PASS")</f>
        <v>2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str">
        <f aca="false">IF(M21=1,"VALID",IF(AND(G21=1,H21&lt;12),"WORKING / VALIDITY OPEN","HELD"))</f>
        <v>WORKING / VALIDITY OPEN</v>
      </c>
    </row>
    <row r="22" customFormat="false" ht="15" hidden="false" customHeight="false" outlineLevel="0" collapsed="false">
      <c r="A22" s="12" t="s">
        <v>299</v>
      </c>
      <c r="B22" s="12" t="s">
        <v>300</v>
      </c>
      <c r="C22" s="12" t="s">
        <v>301</v>
      </c>
      <c r="D22" s="12" t="s">
        <v>271</v>
      </c>
      <c r="E22" s="12" t="s">
        <v>272</v>
      </c>
      <c r="F22" s="14" t="n">
        <v>8.99412819320565</v>
      </c>
      <c r="G22" s="12" t="n">
        <v>1</v>
      </c>
      <c r="H22" s="13" t="n">
        <f aca="false">COUNTIFS('Validity Gates'!$B$7:$B$366,A22,'Validity Gates'!$H$7:$H$366,"PASS")</f>
        <v>2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str">
        <f aca="false">IF(M22=1,"VALID",IF(AND(G22=1,H22&lt;12),"WORKING / VALIDITY OPEN","HELD"))</f>
        <v>WORKING / VALIDITY OPEN</v>
      </c>
    </row>
    <row r="23" customFormat="false" ht="15" hidden="false" customHeight="false" outlineLevel="0" collapsed="false">
      <c r="A23" s="12" t="s">
        <v>302</v>
      </c>
      <c r="B23" s="12" t="s">
        <v>300</v>
      </c>
      <c r="C23" s="12" t="s">
        <v>301</v>
      </c>
      <c r="D23" s="12" t="s">
        <v>274</v>
      </c>
      <c r="E23" s="12" t="s">
        <v>275</v>
      </c>
      <c r="F23" s="14" t="n">
        <v>11.2426602415071</v>
      </c>
      <c r="G23" s="12" t="n">
        <v>1</v>
      </c>
      <c r="H23" s="13" t="n">
        <f aca="false">COUNTIFS('Validity Gates'!$B$7:$B$366,A23,'Validity Gates'!$H$7:$H$366,"PASS")</f>
        <v>2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str">
        <f aca="false">IF(M23=1,"VALID",IF(AND(G23=1,H23&lt;12),"WORKING / VALIDITY OPEN","HELD"))</f>
        <v>WORKING / VALIDITY OPEN</v>
      </c>
    </row>
    <row r="24" customFormat="false" ht="15" hidden="false" customHeight="false" outlineLevel="0" collapsed="false">
      <c r="A24" s="12" t="s">
        <v>303</v>
      </c>
      <c r="B24" s="12" t="s">
        <v>300</v>
      </c>
      <c r="C24" s="12" t="s">
        <v>301</v>
      </c>
      <c r="D24" s="12" t="s">
        <v>277</v>
      </c>
      <c r="E24" s="12" t="s">
        <v>278</v>
      </c>
      <c r="F24" s="14" t="n">
        <v>6.74559614490424</v>
      </c>
      <c r="G24" s="12" t="n">
        <v>1</v>
      </c>
      <c r="H24" s="13" t="n">
        <f aca="false">COUNTIFS('Validity Gates'!$B$7:$B$366,A24,'Validity Gates'!$H$7:$H$366,"PASS")</f>
        <v>2</v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13" t="str">
        <f aca="false">IF(M24=1,"VALID",IF(AND(G24=1,H24&lt;12),"WORKING / VALIDITY OPEN","HELD"))</f>
        <v>WORKING / VALIDITY OPEN</v>
      </c>
    </row>
    <row r="25" customFormat="false" ht="15" hidden="false" customHeight="false" outlineLevel="0" collapsed="false">
      <c r="A25" s="12" t="s">
        <v>304</v>
      </c>
      <c r="B25" s="12" t="s">
        <v>300</v>
      </c>
      <c r="C25" s="12" t="s">
        <v>301</v>
      </c>
      <c r="D25" s="12" t="s">
        <v>280</v>
      </c>
      <c r="E25" s="12" t="s">
        <v>281</v>
      </c>
      <c r="F25" s="14" t="n">
        <v>11.2426602415071</v>
      </c>
      <c r="G25" s="12" t="n">
        <v>1</v>
      </c>
      <c r="H25" s="13" t="n">
        <f aca="false">COUNTIFS('Validity Gates'!$B$7:$B$366,A25,'Validity Gates'!$H$7:$H$366,"PASS")</f>
        <v>2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str">
        <f aca="false">IF(M25=1,"VALID",IF(AND(G25=1,H25&lt;12),"WORKING / VALIDITY OPEN","HELD"))</f>
        <v>WORKING / VALIDITY OPEN</v>
      </c>
    </row>
    <row r="26" customFormat="false" ht="15" hidden="false" customHeight="false" outlineLevel="0" collapsed="false">
      <c r="A26" s="12" t="s">
        <v>305</v>
      </c>
      <c r="B26" s="12" t="s">
        <v>300</v>
      </c>
      <c r="C26" s="12" t="s">
        <v>301</v>
      </c>
      <c r="D26" s="12" t="s">
        <v>283</v>
      </c>
      <c r="E26" s="12" t="s">
        <v>284</v>
      </c>
      <c r="F26" s="14" t="n">
        <v>6.74559614490424</v>
      </c>
      <c r="G26" s="12" t="n">
        <v>1</v>
      </c>
      <c r="H26" s="13" t="n">
        <f aca="false">COUNTIFS('Validity Gates'!$B$7:$B$366,A26,'Validity Gates'!$H$7:$H$366,"PASS")</f>
        <v>2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str">
        <f aca="false">IF(M26=1,"VALID",IF(AND(G26=1,H26&lt;12),"WORKING / VALIDITY OPEN","HELD"))</f>
        <v>WORKING / VALIDITY OPEN</v>
      </c>
    </row>
    <row r="27" customFormat="false" ht="15" hidden="false" customHeight="false" outlineLevel="0" collapsed="false">
      <c r="A27" s="12" t="s">
        <v>306</v>
      </c>
      <c r="B27" s="12" t="s">
        <v>307</v>
      </c>
      <c r="C27" s="12" t="s">
        <v>308</v>
      </c>
      <c r="D27" s="12" t="s">
        <v>271</v>
      </c>
      <c r="E27" s="12" t="s">
        <v>272</v>
      </c>
      <c r="F27" s="14" t="n">
        <v>8.60712452941095</v>
      </c>
      <c r="G27" s="12" t="n">
        <v>1</v>
      </c>
      <c r="H27" s="13" t="n">
        <f aca="false">COUNTIFS('Validity Gates'!$B$7:$B$366,A27,'Validity Gates'!$H$7:$H$366,"PASS")</f>
        <v>2</v>
      </c>
      <c r="I27" s="13" t="n">
        <v>0</v>
      </c>
      <c r="J27" s="13" t="n">
        <v>0</v>
      </c>
      <c r="K27" s="13" t="n">
        <v>0</v>
      </c>
      <c r="L27" s="13" t="n">
        <v>0</v>
      </c>
      <c r="M27" s="13" t="n">
        <v>0</v>
      </c>
      <c r="N27" s="13" t="str">
        <f aca="false">IF(M27=1,"VALID",IF(AND(G27=1,H27&lt;12),"WORKING / VALIDITY OPEN","HELD"))</f>
        <v>WORKING / VALIDITY OPEN</v>
      </c>
    </row>
    <row r="28" customFormat="false" ht="15" hidden="false" customHeight="false" outlineLevel="0" collapsed="false">
      <c r="A28" s="12" t="s">
        <v>309</v>
      </c>
      <c r="B28" s="12" t="s">
        <v>307</v>
      </c>
      <c r="C28" s="12" t="s">
        <v>308</v>
      </c>
      <c r="D28" s="12" t="s">
        <v>274</v>
      </c>
      <c r="E28" s="12" t="s">
        <v>275</v>
      </c>
      <c r="F28" s="14" t="n">
        <v>10.7589056617637</v>
      </c>
      <c r="G28" s="12" t="n">
        <v>1</v>
      </c>
      <c r="H28" s="13" t="n">
        <f aca="false">COUNTIFS('Validity Gates'!$B$7:$B$366,A28,'Validity Gates'!$H$7:$H$366,"PASS")</f>
        <v>2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str">
        <f aca="false">IF(M28=1,"VALID",IF(AND(G28=1,H28&lt;12),"WORKING / VALIDITY OPEN","HELD"))</f>
        <v>WORKING / VALIDITY OPEN</v>
      </c>
    </row>
    <row r="29" customFormat="false" ht="15" hidden="false" customHeight="false" outlineLevel="0" collapsed="false">
      <c r="A29" s="12" t="s">
        <v>310</v>
      </c>
      <c r="B29" s="12" t="s">
        <v>307</v>
      </c>
      <c r="C29" s="12" t="s">
        <v>308</v>
      </c>
      <c r="D29" s="12" t="s">
        <v>277</v>
      </c>
      <c r="E29" s="12" t="s">
        <v>278</v>
      </c>
      <c r="F29" s="14" t="n">
        <v>6.45534339705821</v>
      </c>
      <c r="G29" s="12" t="n">
        <v>1</v>
      </c>
      <c r="H29" s="13" t="n">
        <f aca="false">COUNTIFS('Validity Gates'!$B$7:$B$366,A29,'Validity Gates'!$H$7:$H$366,"PASS")</f>
        <v>2</v>
      </c>
      <c r="I29" s="13" t="n">
        <v>0</v>
      </c>
      <c r="J29" s="13" t="n">
        <v>0</v>
      </c>
      <c r="K29" s="13" t="n">
        <v>0</v>
      </c>
      <c r="L29" s="13" t="n">
        <v>0</v>
      </c>
      <c r="M29" s="13" t="n">
        <v>0</v>
      </c>
      <c r="N29" s="13" t="str">
        <f aca="false">IF(M29=1,"VALID",IF(AND(G29=1,H29&lt;12),"WORKING / VALIDITY OPEN","HELD"))</f>
        <v>WORKING / VALIDITY OPEN</v>
      </c>
    </row>
    <row r="30" customFormat="false" ht="15" hidden="false" customHeight="false" outlineLevel="0" collapsed="false">
      <c r="A30" s="12" t="s">
        <v>311</v>
      </c>
      <c r="B30" s="12" t="s">
        <v>307</v>
      </c>
      <c r="C30" s="12" t="s">
        <v>308</v>
      </c>
      <c r="D30" s="12" t="s">
        <v>280</v>
      </c>
      <c r="E30" s="12" t="s">
        <v>281</v>
      </c>
      <c r="F30" s="14" t="n">
        <v>10.7589056617637</v>
      </c>
      <c r="G30" s="12" t="n">
        <v>1</v>
      </c>
      <c r="H30" s="13" t="n">
        <f aca="false">COUNTIFS('Validity Gates'!$B$7:$B$366,A30,'Validity Gates'!$H$7:$H$366,"PASS")</f>
        <v>2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str">
        <f aca="false">IF(M30=1,"VALID",IF(AND(G30=1,H30&lt;12),"WORKING / VALIDITY OPEN","HELD"))</f>
        <v>WORKING / VALIDITY OPEN</v>
      </c>
    </row>
    <row r="31" customFormat="false" ht="15" hidden="false" customHeight="false" outlineLevel="0" collapsed="false">
      <c r="A31" s="12" t="s">
        <v>312</v>
      </c>
      <c r="B31" s="12" t="s">
        <v>307</v>
      </c>
      <c r="C31" s="12" t="s">
        <v>308</v>
      </c>
      <c r="D31" s="12" t="s">
        <v>283</v>
      </c>
      <c r="E31" s="12" t="s">
        <v>284</v>
      </c>
      <c r="F31" s="14" t="n">
        <v>6.45534339705821</v>
      </c>
      <c r="G31" s="12" t="n">
        <v>1</v>
      </c>
      <c r="H31" s="13" t="n">
        <f aca="false">COUNTIFS('Validity Gates'!$B$7:$B$366,A31,'Validity Gates'!$H$7:$H$366,"PASS")</f>
        <v>2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str">
        <f aca="false">IF(M31=1,"VALID",IF(AND(G31=1,H31&lt;12),"WORKING / VALIDITY OPEN","HELD"))</f>
        <v>WORKING / VALIDITY OPEN</v>
      </c>
    </row>
    <row r="32" customFormat="false" ht="15" hidden="false" customHeight="false" outlineLevel="0" collapsed="false">
      <c r="A32" s="12" t="s">
        <v>313</v>
      </c>
      <c r="B32" s="12" t="s">
        <v>314</v>
      </c>
      <c r="C32" s="12" t="s">
        <v>315</v>
      </c>
      <c r="D32" s="12" t="s">
        <v>271</v>
      </c>
      <c r="E32" s="12" t="s">
        <v>272</v>
      </c>
      <c r="F32" s="14" t="n">
        <v>5.02597793135963</v>
      </c>
      <c r="G32" s="12" t="n">
        <v>1</v>
      </c>
      <c r="H32" s="13" t="n">
        <f aca="false">COUNTIFS('Validity Gates'!$B$7:$B$366,A32,'Validity Gates'!$H$7:$H$366,"PASS")</f>
        <v>2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str">
        <f aca="false">IF(M32=1,"VALID",IF(AND(G32=1,H32&lt;12),"WORKING / VALIDITY OPEN","HELD"))</f>
        <v>WORKING / VALIDITY OPEN</v>
      </c>
    </row>
    <row r="33" customFormat="false" ht="15" hidden="false" customHeight="false" outlineLevel="0" collapsed="false">
      <c r="A33" s="12" t="s">
        <v>316</v>
      </c>
      <c r="B33" s="12" t="s">
        <v>314</v>
      </c>
      <c r="C33" s="12" t="s">
        <v>315</v>
      </c>
      <c r="D33" s="12" t="s">
        <v>274</v>
      </c>
      <c r="E33" s="12" t="s">
        <v>275</v>
      </c>
      <c r="F33" s="14" t="n">
        <v>6.28247241419954</v>
      </c>
      <c r="G33" s="12" t="n">
        <v>1</v>
      </c>
      <c r="H33" s="13" t="n">
        <f aca="false">COUNTIFS('Validity Gates'!$B$7:$B$366,A33,'Validity Gates'!$H$7:$H$366,"PASS")</f>
        <v>2</v>
      </c>
      <c r="I33" s="13" t="n">
        <v>0</v>
      </c>
      <c r="J33" s="13" t="n">
        <v>0</v>
      </c>
      <c r="K33" s="13" t="n">
        <v>0</v>
      </c>
      <c r="L33" s="13" t="n">
        <v>0</v>
      </c>
      <c r="M33" s="13" t="n">
        <v>0</v>
      </c>
      <c r="N33" s="13" t="str">
        <f aca="false">IF(M33=1,"VALID",IF(AND(G33=1,H33&lt;12),"WORKING / VALIDITY OPEN","HELD"))</f>
        <v>WORKING / VALIDITY OPEN</v>
      </c>
    </row>
    <row r="34" customFormat="false" ht="15" hidden="false" customHeight="false" outlineLevel="0" collapsed="false">
      <c r="A34" s="12" t="s">
        <v>317</v>
      </c>
      <c r="B34" s="12" t="s">
        <v>314</v>
      </c>
      <c r="C34" s="12" t="s">
        <v>315</v>
      </c>
      <c r="D34" s="12" t="s">
        <v>277</v>
      </c>
      <c r="E34" s="12" t="s">
        <v>278</v>
      </c>
      <c r="F34" s="14" t="n">
        <v>3.76948344851972</v>
      </c>
      <c r="G34" s="12" t="n">
        <v>1</v>
      </c>
      <c r="H34" s="13" t="n">
        <f aca="false">COUNTIFS('Validity Gates'!$B$7:$B$366,A34,'Validity Gates'!$H$7:$H$366,"PASS")</f>
        <v>2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str">
        <f aca="false">IF(M34=1,"VALID",IF(AND(G34=1,H34&lt;12),"WORKING / VALIDITY OPEN","HELD"))</f>
        <v>WORKING / VALIDITY OPEN</v>
      </c>
    </row>
    <row r="35" customFormat="false" ht="15" hidden="false" customHeight="false" outlineLevel="0" collapsed="false">
      <c r="A35" s="12" t="s">
        <v>318</v>
      </c>
      <c r="B35" s="12" t="s">
        <v>314</v>
      </c>
      <c r="C35" s="12" t="s">
        <v>315</v>
      </c>
      <c r="D35" s="12" t="s">
        <v>280</v>
      </c>
      <c r="E35" s="12" t="s">
        <v>281</v>
      </c>
      <c r="F35" s="14" t="n">
        <v>6.28247241419954</v>
      </c>
      <c r="G35" s="12" t="n">
        <v>1</v>
      </c>
      <c r="H35" s="13" t="n">
        <f aca="false">COUNTIFS('Validity Gates'!$B$7:$B$366,A35,'Validity Gates'!$H$7:$H$366,"PASS")</f>
        <v>2</v>
      </c>
      <c r="I35" s="13" t="n">
        <v>0</v>
      </c>
      <c r="J35" s="13" t="n">
        <v>0</v>
      </c>
      <c r="K35" s="13" t="n">
        <v>0</v>
      </c>
      <c r="L35" s="13" t="n">
        <v>0</v>
      </c>
      <c r="M35" s="13" t="n">
        <v>0</v>
      </c>
      <c r="N35" s="13" t="str">
        <f aca="false">IF(M35=1,"VALID",IF(AND(G35=1,H35&lt;12),"WORKING / VALIDITY OPEN","HELD"))</f>
        <v>WORKING / VALIDITY OPEN</v>
      </c>
    </row>
    <row r="36" customFormat="false" ht="15" hidden="false" customHeight="false" outlineLevel="0" collapsed="false">
      <c r="A36" s="12" t="s">
        <v>319</v>
      </c>
      <c r="B36" s="12" t="s">
        <v>314</v>
      </c>
      <c r="C36" s="12" t="s">
        <v>315</v>
      </c>
      <c r="D36" s="12" t="s">
        <v>283</v>
      </c>
      <c r="E36" s="12" t="s">
        <v>284</v>
      </c>
      <c r="F36" s="14" t="n">
        <v>3.76948344851972</v>
      </c>
      <c r="G36" s="12" t="n">
        <v>1</v>
      </c>
      <c r="H36" s="13" t="n">
        <f aca="false">COUNTIFS('Validity Gates'!$B$7:$B$366,A36,'Validity Gates'!$H$7:$H$366,"PASS")</f>
        <v>2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str">
        <f aca="false">IF(M36=1,"VALID",IF(AND(G36=1,H36&lt;12),"WORKING / VALIDITY OPEN","HELD"))</f>
        <v>WORKING / VALIDITY OPEN</v>
      </c>
    </row>
  </sheetData>
  <mergeCells count="2">
    <mergeCell ref="A2:N2"/>
    <mergeCell ref="A4:N4"/>
  </mergeCells>
  <conditionalFormatting sqref="N7:N36">
    <cfRule type="containsText" priority="2" operator="containsText" aboveAverage="0" equalAverage="0" bottom="0" percent="0" rank="0" text="FAIL" dxfId="6">
      <formula>NOT(ISERROR(SEARCH("FAIL",N7)))</formula>
    </cfRule>
    <cfRule type="containsText" priority="3" operator="containsText" aboveAverage="0" equalAverage="0" bottom="0" percent="0" rank="0" text="TERMINATED" dxfId="7">
      <formula>NOT(ISERROR(SEARCH("TERMINATED",N7)))</formula>
    </cfRule>
    <cfRule type="containsText" priority="4" operator="containsText" aboveAverage="0" equalAverage="0" bottom="0" percent="0" rank="0" text="OPEN" dxfId="8">
      <formula>NOT(ISERROR(SEARCH("OPEN",N7)))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9"/>
    <col collapsed="false" customWidth="true" hidden="false" outlineLevel="0" max="4" min="4" style="0" width="36"/>
    <col collapsed="false" customWidth="true" hidden="false" outlineLevel="0" max="5" min="5" style="0" width="20"/>
    <col collapsed="false" customWidth="true" hidden="false" outlineLevel="0" max="7" min="6" style="0" width="10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" t="s">
        <v>320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20" hidden="false" customHeight="true" outlineLevel="0" collapsed="false">
      <c r="A4" s="4" t="s">
        <v>321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24" hidden="false" customHeight="true" outlineLevel="0" collapsed="false">
      <c r="A6" s="9" t="s">
        <v>322</v>
      </c>
      <c r="B6" s="10" t="s">
        <v>254</v>
      </c>
      <c r="C6" s="10" t="s">
        <v>323</v>
      </c>
      <c r="D6" s="10" t="s">
        <v>324</v>
      </c>
      <c r="E6" s="10" t="s">
        <v>89</v>
      </c>
      <c r="F6" s="10" t="s">
        <v>325</v>
      </c>
      <c r="G6" s="10" t="s">
        <v>326</v>
      </c>
      <c r="H6" s="11" t="s">
        <v>327</v>
      </c>
    </row>
    <row r="7" customFormat="false" ht="15" hidden="false" customHeight="false" outlineLevel="0" collapsed="false">
      <c r="A7" s="12" t="s">
        <v>328</v>
      </c>
      <c r="B7" s="12" t="s">
        <v>268</v>
      </c>
      <c r="C7" s="12" t="s">
        <v>329</v>
      </c>
      <c r="D7" s="12" t="s">
        <v>330</v>
      </c>
      <c r="E7" s="12" t="s">
        <v>140</v>
      </c>
      <c r="F7" s="12" t="n">
        <v>1</v>
      </c>
      <c r="G7" s="12" t="n">
        <v>0</v>
      </c>
      <c r="H7" s="13" t="str">
        <f aca="false">IF(G7=F7,"PASS","OPEN")</f>
        <v>OPEN</v>
      </c>
    </row>
    <row r="8" customFormat="false" ht="15" hidden="false" customHeight="false" outlineLevel="0" collapsed="false">
      <c r="A8" s="12" t="s">
        <v>331</v>
      </c>
      <c r="B8" s="12" t="s">
        <v>268</v>
      </c>
      <c r="C8" s="12" t="s">
        <v>332</v>
      </c>
      <c r="D8" s="12" t="s">
        <v>333</v>
      </c>
      <c r="E8" s="12" t="s">
        <v>140</v>
      </c>
      <c r="F8" s="12" t="n">
        <v>1</v>
      </c>
      <c r="G8" s="12" t="n">
        <v>0</v>
      </c>
      <c r="H8" s="13" t="str">
        <f aca="false">IF(G8=F8,"PASS","OPEN")</f>
        <v>OPEN</v>
      </c>
    </row>
    <row r="9" customFormat="false" ht="15" hidden="false" customHeight="false" outlineLevel="0" collapsed="false">
      <c r="A9" s="12" t="s">
        <v>334</v>
      </c>
      <c r="B9" s="12" t="s">
        <v>268</v>
      </c>
      <c r="C9" s="12" t="s">
        <v>335</v>
      </c>
      <c r="D9" s="12" t="s">
        <v>336</v>
      </c>
      <c r="E9" s="12" t="s">
        <v>140</v>
      </c>
      <c r="F9" s="12" t="n">
        <v>1</v>
      </c>
      <c r="G9" s="12" t="n">
        <v>0</v>
      </c>
      <c r="H9" s="13" t="str">
        <f aca="false">IF(G9=F9,"PASS","OPEN")</f>
        <v>OPEN</v>
      </c>
    </row>
    <row r="10" customFormat="false" ht="15" hidden="false" customHeight="false" outlineLevel="0" collapsed="false">
      <c r="A10" s="12" t="s">
        <v>337</v>
      </c>
      <c r="B10" s="12" t="s">
        <v>268</v>
      </c>
      <c r="C10" s="12" t="s">
        <v>338</v>
      </c>
      <c r="D10" s="12" t="s">
        <v>339</v>
      </c>
      <c r="E10" s="12" t="s">
        <v>140</v>
      </c>
      <c r="F10" s="12" t="n">
        <v>1</v>
      </c>
      <c r="G10" s="12" t="n">
        <v>0</v>
      </c>
      <c r="H10" s="13" t="str">
        <f aca="false">IF(G10=F10,"PASS","OPEN")</f>
        <v>OPEN</v>
      </c>
    </row>
    <row r="11" customFormat="false" ht="15" hidden="false" customHeight="false" outlineLevel="0" collapsed="false">
      <c r="A11" s="12" t="s">
        <v>340</v>
      </c>
      <c r="B11" s="12" t="s">
        <v>268</v>
      </c>
      <c r="C11" s="12" t="s">
        <v>341</v>
      </c>
      <c r="D11" s="12" t="s">
        <v>342</v>
      </c>
      <c r="E11" s="12" t="s">
        <v>140</v>
      </c>
      <c r="F11" s="12" t="n">
        <v>1</v>
      </c>
      <c r="G11" s="12" t="n">
        <v>0</v>
      </c>
      <c r="H11" s="13" t="str">
        <f aca="false">IF(G11=F11,"PASS","OPEN")</f>
        <v>OPEN</v>
      </c>
    </row>
    <row r="12" customFormat="false" ht="15" hidden="false" customHeight="false" outlineLevel="0" collapsed="false">
      <c r="A12" s="12" t="s">
        <v>343</v>
      </c>
      <c r="B12" s="12" t="s">
        <v>268</v>
      </c>
      <c r="C12" s="12" t="s">
        <v>344</v>
      </c>
      <c r="D12" s="12" t="s">
        <v>345</v>
      </c>
      <c r="E12" s="12" t="s">
        <v>346</v>
      </c>
      <c r="F12" s="12" t="n">
        <v>1</v>
      </c>
      <c r="G12" s="12" t="n">
        <v>0</v>
      </c>
      <c r="H12" s="13" t="str">
        <f aca="false">IF(G12=F12,"PASS","OPEN")</f>
        <v>OPEN</v>
      </c>
    </row>
    <row r="13" customFormat="false" ht="15" hidden="false" customHeight="false" outlineLevel="0" collapsed="false">
      <c r="A13" s="12" t="s">
        <v>347</v>
      </c>
      <c r="B13" s="12" t="s">
        <v>268</v>
      </c>
      <c r="C13" s="12" t="s">
        <v>348</v>
      </c>
      <c r="D13" s="12" t="s">
        <v>349</v>
      </c>
      <c r="E13" s="12" t="s">
        <v>140</v>
      </c>
      <c r="F13" s="12" t="n">
        <v>1</v>
      </c>
      <c r="G13" s="12" t="n">
        <v>0</v>
      </c>
      <c r="H13" s="13" t="str">
        <f aca="false">IF(G13=F13,"PASS","OPEN")</f>
        <v>OPEN</v>
      </c>
    </row>
    <row r="14" customFormat="false" ht="15" hidden="false" customHeight="false" outlineLevel="0" collapsed="false">
      <c r="A14" s="12" t="s">
        <v>350</v>
      </c>
      <c r="B14" s="12" t="s">
        <v>268</v>
      </c>
      <c r="C14" s="12" t="s">
        <v>351</v>
      </c>
      <c r="D14" s="12" t="s">
        <v>352</v>
      </c>
      <c r="E14" s="12" t="s">
        <v>140</v>
      </c>
      <c r="F14" s="12" t="n">
        <v>1</v>
      </c>
      <c r="G14" s="12" t="n">
        <v>0</v>
      </c>
      <c r="H14" s="13" t="str">
        <f aca="false">IF(G14=F14,"PASS","OPEN")</f>
        <v>OPEN</v>
      </c>
    </row>
    <row r="15" customFormat="false" ht="15" hidden="false" customHeight="false" outlineLevel="0" collapsed="false">
      <c r="A15" s="12" t="s">
        <v>353</v>
      </c>
      <c r="B15" s="12" t="s">
        <v>268</v>
      </c>
      <c r="C15" s="12" t="s">
        <v>354</v>
      </c>
      <c r="D15" s="12" t="s">
        <v>355</v>
      </c>
      <c r="E15" s="12" t="s">
        <v>140</v>
      </c>
      <c r="F15" s="12" t="n">
        <v>1</v>
      </c>
      <c r="G15" s="12" t="n">
        <v>0</v>
      </c>
      <c r="H15" s="13" t="str">
        <f aca="false">IF(G15=F15,"PASS","OPEN")</f>
        <v>OPEN</v>
      </c>
    </row>
    <row r="16" customFormat="false" ht="15" hidden="false" customHeight="false" outlineLevel="0" collapsed="false">
      <c r="A16" s="12" t="s">
        <v>356</v>
      </c>
      <c r="B16" s="12" t="s">
        <v>268</v>
      </c>
      <c r="C16" s="12" t="s">
        <v>357</v>
      </c>
      <c r="D16" s="12" t="s">
        <v>358</v>
      </c>
      <c r="E16" s="12" t="s">
        <v>140</v>
      </c>
      <c r="F16" s="12" t="n">
        <v>1</v>
      </c>
      <c r="G16" s="12" t="n">
        <v>0</v>
      </c>
      <c r="H16" s="13" t="str">
        <f aca="false">IF(G16=F16,"PASS","OPEN")</f>
        <v>OPEN</v>
      </c>
    </row>
    <row r="17" customFormat="false" ht="15" hidden="false" customHeight="false" outlineLevel="0" collapsed="false">
      <c r="A17" s="12" t="s">
        <v>359</v>
      </c>
      <c r="B17" s="12" t="s">
        <v>268</v>
      </c>
      <c r="C17" s="12" t="s">
        <v>360</v>
      </c>
      <c r="D17" s="12" t="s">
        <v>361</v>
      </c>
      <c r="E17" s="12" t="s">
        <v>362</v>
      </c>
      <c r="F17" s="12" t="n">
        <v>1</v>
      </c>
      <c r="G17" s="12" t="n">
        <v>1</v>
      </c>
      <c r="H17" s="13" t="str">
        <f aca="false">IF(G17=F17,"PASS","OPEN")</f>
        <v>PASS</v>
      </c>
    </row>
    <row r="18" customFormat="false" ht="15" hidden="false" customHeight="false" outlineLevel="0" collapsed="false">
      <c r="A18" s="12" t="s">
        <v>363</v>
      </c>
      <c r="B18" s="12" t="s">
        <v>268</v>
      </c>
      <c r="C18" s="12" t="s">
        <v>364</v>
      </c>
      <c r="D18" s="12" t="s">
        <v>365</v>
      </c>
      <c r="E18" s="12" t="s">
        <v>362</v>
      </c>
      <c r="F18" s="12" t="n">
        <v>1</v>
      </c>
      <c r="G18" s="12" t="n">
        <v>1</v>
      </c>
      <c r="H18" s="13" t="str">
        <f aca="false">IF(G18=F18,"PASS","OPEN")</f>
        <v>PASS</v>
      </c>
    </row>
    <row r="19" customFormat="false" ht="15" hidden="false" customHeight="false" outlineLevel="0" collapsed="false">
      <c r="A19" s="12" t="s">
        <v>366</v>
      </c>
      <c r="B19" s="12" t="s">
        <v>273</v>
      </c>
      <c r="C19" s="12" t="s">
        <v>329</v>
      </c>
      <c r="D19" s="12" t="s">
        <v>330</v>
      </c>
      <c r="E19" s="12" t="s">
        <v>140</v>
      </c>
      <c r="F19" s="12" t="n">
        <v>1</v>
      </c>
      <c r="G19" s="12" t="n">
        <v>0</v>
      </c>
      <c r="H19" s="13" t="str">
        <f aca="false">IF(G19=F19,"PASS","OPEN")</f>
        <v>OPEN</v>
      </c>
    </row>
    <row r="20" customFormat="false" ht="15" hidden="false" customHeight="false" outlineLevel="0" collapsed="false">
      <c r="A20" s="12" t="s">
        <v>367</v>
      </c>
      <c r="B20" s="12" t="s">
        <v>273</v>
      </c>
      <c r="C20" s="12" t="s">
        <v>332</v>
      </c>
      <c r="D20" s="12" t="s">
        <v>333</v>
      </c>
      <c r="E20" s="12" t="s">
        <v>140</v>
      </c>
      <c r="F20" s="12" t="n">
        <v>1</v>
      </c>
      <c r="G20" s="12" t="n">
        <v>0</v>
      </c>
      <c r="H20" s="13" t="str">
        <f aca="false">IF(G20=F20,"PASS","OPEN")</f>
        <v>OPEN</v>
      </c>
    </row>
    <row r="21" customFormat="false" ht="15" hidden="false" customHeight="false" outlineLevel="0" collapsed="false">
      <c r="A21" s="12" t="s">
        <v>368</v>
      </c>
      <c r="B21" s="12" t="s">
        <v>273</v>
      </c>
      <c r="C21" s="12" t="s">
        <v>335</v>
      </c>
      <c r="D21" s="12" t="s">
        <v>336</v>
      </c>
      <c r="E21" s="12" t="s">
        <v>140</v>
      </c>
      <c r="F21" s="12" t="n">
        <v>1</v>
      </c>
      <c r="G21" s="12" t="n">
        <v>0</v>
      </c>
      <c r="H21" s="13" t="str">
        <f aca="false">IF(G21=F21,"PASS","OPEN")</f>
        <v>OPEN</v>
      </c>
    </row>
    <row r="22" customFormat="false" ht="15" hidden="false" customHeight="false" outlineLevel="0" collapsed="false">
      <c r="A22" s="12" t="s">
        <v>369</v>
      </c>
      <c r="B22" s="12" t="s">
        <v>273</v>
      </c>
      <c r="C22" s="12" t="s">
        <v>338</v>
      </c>
      <c r="D22" s="12" t="s">
        <v>339</v>
      </c>
      <c r="E22" s="12" t="s">
        <v>140</v>
      </c>
      <c r="F22" s="12" t="n">
        <v>1</v>
      </c>
      <c r="G22" s="12" t="n">
        <v>0</v>
      </c>
      <c r="H22" s="13" t="str">
        <f aca="false">IF(G22=F22,"PASS","OPEN")</f>
        <v>OPEN</v>
      </c>
    </row>
    <row r="23" customFormat="false" ht="15" hidden="false" customHeight="false" outlineLevel="0" collapsed="false">
      <c r="A23" s="12" t="s">
        <v>370</v>
      </c>
      <c r="B23" s="12" t="s">
        <v>273</v>
      </c>
      <c r="C23" s="12" t="s">
        <v>341</v>
      </c>
      <c r="D23" s="12" t="s">
        <v>342</v>
      </c>
      <c r="E23" s="12" t="s">
        <v>140</v>
      </c>
      <c r="F23" s="12" t="n">
        <v>1</v>
      </c>
      <c r="G23" s="12" t="n">
        <v>0</v>
      </c>
      <c r="H23" s="13" t="str">
        <f aca="false">IF(G23=F23,"PASS","OPEN")</f>
        <v>OPEN</v>
      </c>
    </row>
    <row r="24" customFormat="false" ht="15" hidden="false" customHeight="false" outlineLevel="0" collapsed="false">
      <c r="A24" s="12" t="s">
        <v>371</v>
      </c>
      <c r="B24" s="12" t="s">
        <v>273</v>
      </c>
      <c r="C24" s="12" t="s">
        <v>344</v>
      </c>
      <c r="D24" s="12" t="s">
        <v>345</v>
      </c>
      <c r="E24" s="12" t="s">
        <v>346</v>
      </c>
      <c r="F24" s="12" t="n">
        <v>1</v>
      </c>
      <c r="G24" s="12" t="n">
        <v>0</v>
      </c>
      <c r="H24" s="13" t="str">
        <f aca="false">IF(G24=F24,"PASS","OPEN")</f>
        <v>OPEN</v>
      </c>
    </row>
    <row r="25" customFormat="false" ht="15" hidden="false" customHeight="false" outlineLevel="0" collapsed="false">
      <c r="A25" s="12" t="s">
        <v>372</v>
      </c>
      <c r="B25" s="12" t="s">
        <v>273</v>
      </c>
      <c r="C25" s="12" t="s">
        <v>348</v>
      </c>
      <c r="D25" s="12" t="s">
        <v>349</v>
      </c>
      <c r="E25" s="12" t="s">
        <v>140</v>
      </c>
      <c r="F25" s="12" t="n">
        <v>1</v>
      </c>
      <c r="G25" s="12" t="n">
        <v>0</v>
      </c>
      <c r="H25" s="13" t="str">
        <f aca="false">IF(G25=F25,"PASS","OPEN")</f>
        <v>OPEN</v>
      </c>
    </row>
    <row r="26" customFormat="false" ht="15" hidden="false" customHeight="false" outlineLevel="0" collapsed="false">
      <c r="A26" s="12" t="s">
        <v>373</v>
      </c>
      <c r="B26" s="12" t="s">
        <v>273</v>
      </c>
      <c r="C26" s="12" t="s">
        <v>351</v>
      </c>
      <c r="D26" s="12" t="s">
        <v>352</v>
      </c>
      <c r="E26" s="12" t="s">
        <v>140</v>
      </c>
      <c r="F26" s="12" t="n">
        <v>1</v>
      </c>
      <c r="G26" s="12" t="n">
        <v>0</v>
      </c>
      <c r="H26" s="13" t="str">
        <f aca="false">IF(G26=F26,"PASS","OPEN")</f>
        <v>OPEN</v>
      </c>
    </row>
    <row r="27" customFormat="false" ht="15" hidden="false" customHeight="false" outlineLevel="0" collapsed="false">
      <c r="A27" s="12" t="s">
        <v>374</v>
      </c>
      <c r="B27" s="12" t="s">
        <v>273</v>
      </c>
      <c r="C27" s="12" t="s">
        <v>354</v>
      </c>
      <c r="D27" s="12" t="s">
        <v>355</v>
      </c>
      <c r="E27" s="12" t="s">
        <v>140</v>
      </c>
      <c r="F27" s="12" t="n">
        <v>1</v>
      </c>
      <c r="G27" s="12" t="n">
        <v>0</v>
      </c>
      <c r="H27" s="13" t="str">
        <f aca="false">IF(G27=F27,"PASS","OPEN")</f>
        <v>OPEN</v>
      </c>
    </row>
    <row r="28" customFormat="false" ht="15" hidden="false" customHeight="false" outlineLevel="0" collapsed="false">
      <c r="A28" s="12" t="s">
        <v>375</v>
      </c>
      <c r="B28" s="12" t="s">
        <v>273</v>
      </c>
      <c r="C28" s="12" t="s">
        <v>357</v>
      </c>
      <c r="D28" s="12" t="s">
        <v>358</v>
      </c>
      <c r="E28" s="12" t="s">
        <v>140</v>
      </c>
      <c r="F28" s="12" t="n">
        <v>1</v>
      </c>
      <c r="G28" s="12" t="n">
        <v>0</v>
      </c>
      <c r="H28" s="13" t="str">
        <f aca="false">IF(G28=F28,"PASS","OPEN")</f>
        <v>OPEN</v>
      </c>
    </row>
    <row r="29" customFormat="false" ht="15" hidden="false" customHeight="false" outlineLevel="0" collapsed="false">
      <c r="A29" s="12" t="s">
        <v>376</v>
      </c>
      <c r="B29" s="12" t="s">
        <v>273</v>
      </c>
      <c r="C29" s="12" t="s">
        <v>360</v>
      </c>
      <c r="D29" s="12" t="s">
        <v>361</v>
      </c>
      <c r="E29" s="12" t="s">
        <v>362</v>
      </c>
      <c r="F29" s="12" t="n">
        <v>1</v>
      </c>
      <c r="G29" s="12" t="n">
        <v>1</v>
      </c>
      <c r="H29" s="13" t="str">
        <f aca="false">IF(G29=F29,"PASS","OPEN")</f>
        <v>PASS</v>
      </c>
    </row>
    <row r="30" customFormat="false" ht="15" hidden="false" customHeight="false" outlineLevel="0" collapsed="false">
      <c r="A30" s="12" t="s">
        <v>377</v>
      </c>
      <c r="B30" s="12" t="s">
        <v>273</v>
      </c>
      <c r="C30" s="12" t="s">
        <v>364</v>
      </c>
      <c r="D30" s="12" t="s">
        <v>365</v>
      </c>
      <c r="E30" s="12" t="s">
        <v>362</v>
      </c>
      <c r="F30" s="12" t="n">
        <v>1</v>
      </c>
      <c r="G30" s="12" t="n">
        <v>1</v>
      </c>
      <c r="H30" s="13" t="str">
        <f aca="false">IF(G30=F30,"PASS","OPEN")</f>
        <v>PASS</v>
      </c>
    </row>
    <row r="31" customFormat="false" ht="15" hidden="false" customHeight="false" outlineLevel="0" collapsed="false">
      <c r="A31" s="12" t="s">
        <v>378</v>
      </c>
      <c r="B31" s="12" t="s">
        <v>276</v>
      </c>
      <c r="C31" s="12" t="s">
        <v>329</v>
      </c>
      <c r="D31" s="12" t="s">
        <v>330</v>
      </c>
      <c r="E31" s="12" t="s">
        <v>140</v>
      </c>
      <c r="F31" s="12" t="n">
        <v>1</v>
      </c>
      <c r="G31" s="12" t="n">
        <v>0</v>
      </c>
      <c r="H31" s="13" t="str">
        <f aca="false">IF(G31=F31,"PASS","OPEN")</f>
        <v>OPEN</v>
      </c>
    </row>
    <row r="32" customFormat="false" ht="15" hidden="false" customHeight="false" outlineLevel="0" collapsed="false">
      <c r="A32" s="12" t="s">
        <v>379</v>
      </c>
      <c r="B32" s="12" t="s">
        <v>276</v>
      </c>
      <c r="C32" s="12" t="s">
        <v>332</v>
      </c>
      <c r="D32" s="12" t="s">
        <v>333</v>
      </c>
      <c r="E32" s="12" t="s">
        <v>140</v>
      </c>
      <c r="F32" s="12" t="n">
        <v>1</v>
      </c>
      <c r="G32" s="12" t="n">
        <v>0</v>
      </c>
      <c r="H32" s="13" t="str">
        <f aca="false">IF(G32=F32,"PASS","OPEN")</f>
        <v>OPEN</v>
      </c>
    </row>
    <row r="33" customFormat="false" ht="15" hidden="false" customHeight="false" outlineLevel="0" collapsed="false">
      <c r="A33" s="12" t="s">
        <v>380</v>
      </c>
      <c r="B33" s="12" t="s">
        <v>276</v>
      </c>
      <c r="C33" s="12" t="s">
        <v>335</v>
      </c>
      <c r="D33" s="12" t="s">
        <v>336</v>
      </c>
      <c r="E33" s="12" t="s">
        <v>140</v>
      </c>
      <c r="F33" s="12" t="n">
        <v>1</v>
      </c>
      <c r="G33" s="12" t="n">
        <v>0</v>
      </c>
      <c r="H33" s="13" t="str">
        <f aca="false">IF(G33=F33,"PASS","OPEN")</f>
        <v>OPEN</v>
      </c>
    </row>
    <row r="34" customFormat="false" ht="15" hidden="false" customHeight="false" outlineLevel="0" collapsed="false">
      <c r="A34" s="12" t="s">
        <v>381</v>
      </c>
      <c r="B34" s="12" t="s">
        <v>276</v>
      </c>
      <c r="C34" s="12" t="s">
        <v>338</v>
      </c>
      <c r="D34" s="12" t="s">
        <v>339</v>
      </c>
      <c r="E34" s="12" t="s">
        <v>140</v>
      </c>
      <c r="F34" s="12" t="n">
        <v>1</v>
      </c>
      <c r="G34" s="12" t="n">
        <v>0</v>
      </c>
      <c r="H34" s="13" t="str">
        <f aca="false">IF(G34=F34,"PASS","OPEN")</f>
        <v>OPEN</v>
      </c>
    </row>
    <row r="35" customFormat="false" ht="15" hidden="false" customHeight="false" outlineLevel="0" collapsed="false">
      <c r="A35" s="12" t="s">
        <v>382</v>
      </c>
      <c r="B35" s="12" t="s">
        <v>276</v>
      </c>
      <c r="C35" s="12" t="s">
        <v>341</v>
      </c>
      <c r="D35" s="12" t="s">
        <v>342</v>
      </c>
      <c r="E35" s="12" t="s">
        <v>140</v>
      </c>
      <c r="F35" s="12" t="n">
        <v>1</v>
      </c>
      <c r="G35" s="12" t="n">
        <v>0</v>
      </c>
      <c r="H35" s="13" t="str">
        <f aca="false">IF(G35=F35,"PASS","OPEN")</f>
        <v>OPEN</v>
      </c>
    </row>
    <row r="36" customFormat="false" ht="15" hidden="false" customHeight="false" outlineLevel="0" collapsed="false">
      <c r="A36" s="12" t="s">
        <v>383</v>
      </c>
      <c r="B36" s="12" t="s">
        <v>276</v>
      </c>
      <c r="C36" s="12" t="s">
        <v>344</v>
      </c>
      <c r="D36" s="12" t="s">
        <v>345</v>
      </c>
      <c r="E36" s="12" t="s">
        <v>346</v>
      </c>
      <c r="F36" s="12" t="n">
        <v>1</v>
      </c>
      <c r="G36" s="12" t="n">
        <v>0</v>
      </c>
      <c r="H36" s="13" t="str">
        <f aca="false">IF(G36=F36,"PASS","OPEN")</f>
        <v>OPEN</v>
      </c>
    </row>
    <row r="37" customFormat="false" ht="15" hidden="false" customHeight="false" outlineLevel="0" collapsed="false">
      <c r="A37" s="12" t="s">
        <v>384</v>
      </c>
      <c r="B37" s="12" t="s">
        <v>276</v>
      </c>
      <c r="C37" s="12" t="s">
        <v>348</v>
      </c>
      <c r="D37" s="12" t="s">
        <v>349</v>
      </c>
      <c r="E37" s="12" t="s">
        <v>140</v>
      </c>
      <c r="F37" s="12" t="n">
        <v>1</v>
      </c>
      <c r="G37" s="12" t="n">
        <v>0</v>
      </c>
      <c r="H37" s="13" t="str">
        <f aca="false">IF(G37=F37,"PASS","OPEN")</f>
        <v>OPEN</v>
      </c>
    </row>
    <row r="38" customFormat="false" ht="15" hidden="false" customHeight="false" outlineLevel="0" collapsed="false">
      <c r="A38" s="12" t="s">
        <v>385</v>
      </c>
      <c r="B38" s="12" t="s">
        <v>276</v>
      </c>
      <c r="C38" s="12" t="s">
        <v>351</v>
      </c>
      <c r="D38" s="12" t="s">
        <v>352</v>
      </c>
      <c r="E38" s="12" t="s">
        <v>140</v>
      </c>
      <c r="F38" s="12" t="n">
        <v>1</v>
      </c>
      <c r="G38" s="12" t="n">
        <v>0</v>
      </c>
      <c r="H38" s="13" t="str">
        <f aca="false">IF(G38=F38,"PASS","OPEN")</f>
        <v>OPEN</v>
      </c>
    </row>
    <row r="39" customFormat="false" ht="15" hidden="false" customHeight="false" outlineLevel="0" collapsed="false">
      <c r="A39" s="12" t="s">
        <v>386</v>
      </c>
      <c r="B39" s="12" t="s">
        <v>276</v>
      </c>
      <c r="C39" s="12" t="s">
        <v>354</v>
      </c>
      <c r="D39" s="12" t="s">
        <v>355</v>
      </c>
      <c r="E39" s="12" t="s">
        <v>140</v>
      </c>
      <c r="F39" s="12" t="n">
        <v>1</v>
      </c>
      <c r="G39" s="12" t="n">
        <v>0</v>
      </c>
      <c r="H39" s="13" t="str">
        <f aca="false">IF(G39=F39,"PASS","OPEN")</f>
        <v>OPEN</v>
      </c>
    </row>
    <row r="40" customFormat="false" ht="15" hidden="false" customHeight="false" outlineLevel="0" collapsed="false">
      <c r="A40" s="12" t="s">
        <v>387</v>
      </c>
      <c r="B40" s="12" t="s">
        <v>276</v>
      </c>
      <c r="C40" s="12" t="s">
        <v>357</v>
      </c>
      <c r="D40" s="12" t="s">
        <v>358</v>
      </c>
      <c r="E40" s="12" t="s">
        <v>140</v>
      </c>
      <c r="F40" s="12" t="n">
        <v>1</v>
      </c>
      <c r="G40" s="12" t="n">
        <v>0</v>
      </c>
      <c r="H40" s="13" t="str">
        <f aca="false">IF(G40=F40,"PASS","OPEN")</f>
        <v>OPEN</v>
      </c>
    </row>
    <row r="41" customFormat="false" ht="15" hidden="false" customHeight="false" outlineLevel="0" collapsed="false">
      <c r="A41" s="12" t="s">
        <v>388</v>
      </c>
      <c r="B41" s="12" t="s">
        <v>276</v>
      </c>
      <c r="C41" s="12" t="s">
        <v>360</v>
      </c>
      <c r="D41" s="12" t="s">
        <v>361</v>
      </c>
      <c r="E41" s="12" t="s">
        <v>362</v>
      </c>
      <c r="F41" s="12" t="n">
        <v>1</v>
      </c>
      <c r="G41" s="12" t="n">
        <v>1</v>
      </c>
      <c r="H41" s="13" t="str">
        <f aca="false">IF(G41=F41,"PASS","OPEN")</f>
        <v>PASS</v>
      </c>
    </row>
    <row r="42" customFormat="false" ht="15" hidden="false" customHeight="false" outlineLevel="0" collapsed="false">
      <c r="A42" s="12" t="s">
        <v>389</v>
      </c>
      <c r="B42" s="12" t="s">
        <v>276</v>
      </c>
      <c r="C42" s="12" t="s">
        <v>364</v>
      </c>
      <c r="D42" s="12" t="s">
        <v>365</v>
      </c>
      <c r="E42" s="12" t="s">
        <v>362</v>
      </c>
      <c r="F42" s="12" t="n">
        <v>1</v>
      </c>
      <c r="G42" s="12" t="n">
        <v>1</v>
      </c>
      <c r="H42" s="13" t="str">
        <f aca="false">IF(G42=F42,"PASS","OPEN")</f>
        <v>PASS</v>
      </c>
    </row>
    <row r="43" customFormat="false" ht="15" hidden="false" customHeight="false" outlineLevel="0" collapsed="false">
      <c r="A43" s="12" t="s">
        <v>390</v>
      </c>
      <c r="B43" s="12" t="s">
        <v>279</v>
      </c>
      <c r="C43" s="12" t="s">
        <v>329</v>
      </c>
      <c r="D43" s="12" t="s">
        <v>330</v>
      </c>
      <c r="E43" s="12" t="s">
        <v>140</v>
      </c>
      <c r="F43" s="12" t="n">
        <v>1</v>
      </c>
      <c r="G43" s="12" t="n">
        <v>0</v>
      </c>
      <c r="H43" s="13" t="str">
        <f aca="false">IF(G43=F43,"PASS","OPEN")</f>
        <v>OPEN</v>
      </c>
    </row>
    <row r="44" customFormat="false" ht="15" hidden="false" customHeight="false" outlineLevel="0" collapsed="false">
      <c r="A44" s="12" t="s">
        <v>391</v>
      </c>
      <c r="B44" s="12" t="s">
        <v>279</v>
      </c>
      <c r="C44" s="12" t="s">
        <v>332</v>
      </c>
      <c r="D44" s="12" t="s">
        <v>333</v>
      </c>
      <c r="E44" s="12" t="s">
        <v>140</v>
      </c>
      <c r="F44" s="12" t="n">
        <v>1</v>
      </c>
      <c r="G44" s="12" t="n">
        <v>0</v>
      </c>
      <c r="H44" s="13" t="str">
        <f aca="false">IF(G44=F44,"PASS","OPEN")</f>
        <v>OPEN</v>
      </c>
    </row>
    <row r="45" customFormat="false" ht="15" hidden="false" customHeight="false" outlineLevel="0" collapsed="false">
      <c r="A45" s="12" t="s">
        <v>392</v>
      </c>
      <c r="B45" s="12" t="s">
        <v>279</v>
      </c>
      <c r="C45" s="12" t="s">
        <v>335</v>
      </c>
      <c r="D45" s="12" t="s">
        <v>336</v>
      </c>
      <c r="E45" s="12" t="s">
        <v>140</v>
      </c>
      <c r="F45" s="12" t="n">
        <v>1</v>
      </c>
      <c r="G45" s="12" t="n">
        <v>0</v>
      </c>
      <c r="H45" s="13" t="str">
        <f aca="false">IF(G45=F45,"PASS","OPEN")</f>
        <v>OPEN</v>
      </c>
    </row>
    <row r="46" customFormat="false" ht="15" hidden="false" customHeight="false" outlineLevel="0" collapsed="false">
      <c r="A46" s="12" t="s">
        <v>393</v>
      </c>
      <c r="B46" s="12" t="s">
        <v>279</v>
      </c>
      <c r="C46" s="12" t="s">
        <v>338</v>
      </c>
      <c r="D46" s="12" t="s">
        <v>339</v>
      </c>
      <c r="E46" s="12" t="s">
        <v>140</v>
      </c>
      <c r="F46" s="12" t="n">
        <v>1</v>
      </c>
      <c r="G46" s="12" t="n">
        <v>0</v>
      </c>
      <c r="H46" s="13" t="str">
        <f aca="false">IF(G46=F46,"PASS","OPEN")</f>
        <v>OPEN</v>
      </c>
    </row>
    <row r="47" customFormat="false" ht="15" hidden="false" customHeight="false" outlineLevel="0" collapsed="false">
      <c r="A47" s="12" t="s">
        <v>394</v>
      </c>
      <c r="B47" s="12" t="s">
        <v>279</v>
      </c>
      <c r="C47" s="12" t="s">
        <v>341</v>
      </c>
      <c r="D47" s="12" t="s">
        <v>342</v>
      </c>
      <c r="E47" s="12" t="s">
        <v>140</v>
      </c>
      <c r="F47" s="12" t="n">
        <v>1</v>
      </c>
      <c r="G47" s="12" t="n">
        <v>0</v>
      </c>
      <c r="H47" s="13" t="str">
        <f aca="false">IF(G47=F47,"PASS","OPEN")</f>
        <v>OPEN</v>
      </c>
    </row>
    <row r="48" customFormat="false" ht="15" hidden="false" customHeight="false" outlineLevel="0" collapsed="false">
      <c r="A48" s="12" t="s">
        <v>395</v>
      </c>
      <c r="B48" s="12" t="s">
        <v>279</v>
      </c>
      <c r="C48" s="12" t="s">
        <v>344</v>
      </c>
      <c r="D48" s="12" t="s">
        <v>345</v>
      </c>
      <c r="E48" s="12" t="s">
        <v>346</v>
      </c>
      <c r="F48" s="12" t="n">
        <v>1</v>
      </c>
      <c r="G48" s="12" t="n">
        <v>0</v>
      </c>
      <c r="H48" s="13" t="str">
        <f aca="false">IF(G48=F48,"PASS","OPEN")</f>
        <v>OPEN</v>
      </c>
    </row>
    <row r="49" customFormat="false" ht="15" hidden="false" customHeight="false" outlineLevel="0" collapsed="false">
      <c r="A49" s="12" t="s">
        <v>396</v>
      </c>
      <c r="B49" s="12" t="s">
        <v>279</v>
      </c>
      <c r="C49" s="12" t="s">
        <v>348</v>
      </c>
      <c r="D49" s="12" t="s">
        <v>349</v>
      </c>
      <c r="E49" s="12" t="s">
        <v>140</v>
      </c>
      <c r="F49" s="12" t="n">
        <v>1</v>
      </c>
      <c r="G49" s="12" t="n">
        <v>0</v>
      </c>
      <c r="H49" s="13" t="str">
        <f aca="false">IF(G49=F49,"PASS","OPEN")</f>
        <v>OPEN</v>
      </c>
    </row>
    <row r="50" customFormat="false" ht="15" hidden="false" customHeight="false" outlineLevel="0" collapsed="false">
      <c r="A50" s="12" t="s">
        <v>397</v>
      </c>
      <c r="B50" s="12" t="s">
        <v>279</v>
      </c>
      <c r="C50" s="12" t="s">
        <v>351</v>
      </c>
      <c r="D50" s="12" t="s">
        <v>352</v>
      </c>
      <c r="E50" s="12" t="s">
        <v>140</v>
      </c>
      <c r="F50" s="12" t="n">
        <v>1</v>
      </c>
      <c r="G50" s="12" t="n">
        <v>0</v>
      </c>
      <c r="H50" s="13" t="str">
        <f aca="false">IF(G50=F50,"PASS","OPEN")</f>
        <v>OPEN</v>
      </c>
    </row>
    <row r="51" customFormat="false" ht="15" hidden="false" customHeight="false" outlineLevel="0" collapsed="false">
      <c r="A51" s="12" t="s">
        <v>398</v>
      </c>
      <c r="B51" s="12" t="s">
        <v>279</v>
      </c>
      <c r="C51" s="12" t="s">
        <v>354</v>
      </c>
      <c r="D51" s="12" t="s">
        <v>355</v>
      </c>
      <c r="E51" s="12" t="s">
        <v>140</v>
      </c>
      <c r="F51" s="12" t="n">
        <v>1</v>
      </c>
      <c r="G51" s="12" t="n">
        <v>0</v>
      </c>
      <c r="H51" s="13" t="str">
        <f aca="false">IF(G51=F51,"PASS","OPEN")</f>
        <v>OPEN</v>
      </c>
    </row>
    <row r="52" customFormat="false" ht="15" hidden="false" customHeight="false" outlineLevel="0" collapsed="false">
      <c r="A52" s="12" t="s">
        <v>399</v>
      </c>
      <c r="B52" s="12" t="s">
        <v>279</v>
      </c>
      <c r="C52" s="12" t="s">
        <v>357</v>
      </c>
      <c r="D52" s="12" t="s">
        <v>358</v>
      </c>
      <c r="E52" s="12" t="s">
        <v>140</v>
      </c>
      <c r="F52" s="12" t="n">
        <v>1</v>
      </c>
      <c r="G52" s="12" t="n">
        <v>0</v>
      </c>
      <c r="H52" s="13" t="str">
        <f aca="false">IF(G52=F52,"PASS","OPEN")</f>
        <v>OPEN</v>
      </c>
    </row>
    <row r="53" customFormat="false" ht="15" hidden="false" customHeight="false" outlineLevel="0" collapsed="false">
      <c r="A53" s="12" t="s">
        <v>400</v>
      </c>
      <c r="B53" s="12" t="s">
        <v>279</v>
      </c>
      <c r="C53" s="12" t="s">
        <v>360</v>
      </c>
      <c r="D53" s="12" t="s">
        <v>361</v>
      </c>
      <c r="E53" s="12" t="s">
        <v>362</v>
      </c>
      <c r="F53" s="12" t="n">
        <v>1</v>
      </c>
      <c r="G53" s="12" t="n">
        <v>1</v>
      </c>
      <c r="H53" s="13" t="str">
        <f aca="false">IF(G53=F53,"PASS","OPEN")</f>
        <v>PASS</v>
      </c>
    </row>
    <row r="54" customFormat="false" ht="15" hidden="false" customHeight="false" outlineLevel="0" collapsed="false">
      <c r="A54" s="12" t="s">
        <v>401</v>
      </c>
      <c r="B54" s="12" t="s">
        <v>279</v>
      </c>
      <c r="C54" s="12" t="s">
        <v>364</v>
      </c>
      <c r="D54" s="12" t="s">
        <v>365</v>
      </c>
      <c r="E54" s="12" t="s">
        <v>362</v>
      </c>
      <c r="F54" s="12" t="n">
        <v>1</v>
      </c>
      <c r="G54" s="12" t="n">
        <v>1</v>
      </c>
      <c r="H54" s="13" t="str">
        <f aca="false">IF(G54=F54,"PASS","OPEN")</f>
        <v>PASS</v>
      </c>
    </row>
    <row r="55" customFormat="false" ht="15" hidden="false" customHeight="false" outlineLevel="0" collapsed="false">
      <c r="A55" s="12" t="s">
        <v>402</v>
      </c>
      <c r="B55" s="12" t="s">
        <v>282</v>
      </c>
      <c r="C55" s="12" t="s">
        <v>329</v>
      </c>
      <c r="D55" s="12" t="s">
        <v>330</v>
      </c>
      <c r="E55" s="12" t="s">
        <v>140</v>
      </c>
      <c r="F55" s="12" t="n">
        <v>1</v>
      </c>
      <c r="G55" s="12" t="n">
        <v>0</v>
      </c>
      <c r="H55" s="13" t="str">
        <f aca="false">IF(G55=F55,"PASS","OPEN")</f>
        <v>OPEN</v>
      </c>
    </row>
    <row r="56" customFormat="false" ht="15" hidden="false" customHeight="false" outlineLevel="0" collapsed="false">
      <c r="A56" s="12" t="s">
        <v>403</v>
      </c>
      <c r="B56" s="12" t="s">
        <v>282</v>
      </c>
      <c r="C56" s="12" t="s">
        <v>332</v>
      </c>
      <c r="D56" s="12" t="s">
        <v>333</v>
      </c>
      <c r="E56" s="12" t="s">
        <v>140</v>
      </c>
      <c r="F56" s="12" t="n">
        <v>1</v>
      </c>
      <c r="G56" s="12" t="n">
        <v>0</v>
      </c>
      <c r="H56" s="13" t="str">
        <f aca="false">IF(G56=F56,"PASS","OPEN")</f>
        <v>OPEN</v>
      </c>
    </row>
    <row r="57" customFormat="false" ht="15" hidden="false" customHeight="false" outlineLevel="0" collapsed="false">
      <c r="A57" s="12" t="s">
        <v>404</v>
      </c>
      <c r="B57" s="12" t="s">
        <v>282</v>
      </c>
      <c r="C57" s="12" t="s">
        <v>335</v>
      </c>
      <c r="D57" s="12" t="s">
        <v>336</v>
      </c>
      <c r="E57" s="12" t="s">
        <v>140</v>
      </c>
      <c r="F57" s="12" t="n">
        <v>1</v>
      </c>
      <c r="G57" s="12" t="n">
        <v>0</v>
      </c>
      <c r="H57" s="13" t="str">
        <f aca="false">IF(G57=F57,"PASS","OPEN")</f>
        <v>OPEN</v>
      </c>
    </row>
    <row r="58" customFormat="false" ht="15" hidden="false" customHeight="false" outlineLevel="0" collapsed="false">
      <c r="A58" s="12" t="s">
        <v>405</v>
      </c>
      <c r="B58" s="12" t="s">
        <v>282</v>
      </c>
      <c r="C58" s="12" t="s">
        <v>338</v>
      </c>
      <c r="D58" s="12" t="s">
        <v>339</v>
      </c>
      <c r="E58" s="12" t="s">
        <v>140</v>
      </c>
      <c r="F58" s="12" t="n">
        <v>1</v>
      </c>
      <c r="G58" s="12" t="n">
        <v>0</v>
      </c>
      <c r="H58" s="13" t="str">
        <f aca="false">IF(G58=F58,"PASS","OPEN")</f>
        <v>OPEN</v>
      </c>
    </row>
    <row r="59" customFormat="false" ht="15" hidden="false" customHeight="false" outlineLevel="0" collapsed="false">
      <c r="A59" s="12" t="s">
        <v>406</v>
      </c>
      <c r="B59" s="12" t="s">
        <v>282</v>
      </c>
      <c r="C59" s="12" t="s">
        <v>341</v>
      </c>
      <c r="D59" s="12" t="s">
        <v>342</v>
      </c>
      <c r="E59" s="12" t="s">
        <v>140</v>
      </c>
      <c r="F59" s="12" t="n">
        <v>1</v>
      </c>
      <c r="G59" s="12" t="n">
        <v>0</v>
      </c>
      <c r="H59" s="13" t="str">
        <f aca="false">IF(G59=F59,"PASS","OPEN")</f>
        <v>OPEN</v>
      </c>
    </row>
    <row r="60" customFormat="false" ht="15" hidden="false" customHeight="false" outlineLevel="0" collapsed="false">
      <c r="A60" s="12" t="s">
        <v>407</v>
      </c>
      <c r="B60" s="12" t="s">
        <v>282</v>
      </c>
      <c r="C60" s="12" t="s">
        <v>344</v>
      </c>
      <c r="D60" s="12" t="s">
        <v>345</v>
      </c>
      <c r="E60" s="12" t="s">
        <v>346</v>
      </c>
      <c r="F60" s="12" t="n">
        <v>1</v>
      </c>
      <c r="G60" s="12" t="n">
        <v>0</v>
      </c>
      <c r="H60" s="13" t="str">
        <f aca="false">IF(G60=F60,"PASS","OPEN")</f>
        <v>OPEN</v>
      </c>
    </row>
    <row r="61" customFormat="false" ht="15" hidden="false" customHeight="false" outlineLevel="0" collapsed="false">
      <c r="A61" s="12" t="s">
        <v>408</v>
      </c>
      <c r="B61" s="12" t="s">
        <v>282</v>
      </c>
      <c r="C61" s="12" t="s">
        <v>348</v>
      </c>
      <c r="D61" s="12" t="s">
        <v>349</v>
      </c>
      <c r="E61" s="12" t="s">
        <v>140</v>
      </c>
      <c r="F61" s="12" t="n">
        <v>1</v>
      </c>
      <c r="G61" s="12" t="n">
        <v>0</v>
      </c>
      <c r="H61" s="13" t="str">
        <f aca="false">IF(G61=F61,"PASS","OPEN")</f>
        <v>OPEN</v>
      </c>
    </row>
    <row r="62" customFormat="false" ht="15" hidden="false" customHeight="false" outlineLevel="0" collapsed="false">
      <c r="A62" s="12" t="s">
        <v>409</v>
      </c>
      <c r="B62" s="12" t="s">
        <v>282</v>
      </c>
      <c r="C62" s="12" t="s">
        <v>351</v>
      </c>
      <c r="D62" s="12" t="s">
        <v>352</v>
      </c>
      <c r="E62" s="12" t="s">
        <v>140</v>
      </c>
      <c r="F62" s="12" t="n">
        <v>1</v>
      </c>
      <c r="G62" s="12" t="n">
        <v>0</v>
      </c>
      <c r="H62" s="13" t="str">
        <f aca="false">IF(G62=F62,"PASS","OPEN")</f>
        <v>OPEN</v>
      </c>
    </row>
    <row r="63" customFormat="false" ht="15" hidden="false" customHeight="false" outlineLevel="0" collapsed="false">
      <c r="A63" s="12" t="s">
        <v>410</v>
      </c>
      <c r="B63" s="12" t="s">
        <v>282</v>
      </c>
      <c r="C63" s="12" t="s">
        <v>354</v>
      </c>
      <c r="D63" s="12" t="s">
        <v>355</v>
      </c>
      <c r="E63" s="12" t="s">
        <v>140</v>
      </c>
      <c r="F63" s="12" t="n">
        <v>1</v>
      </c>
      <c r="G63" s="12" t="n">
        <v>0</v>
      </c>
      <c r="H63" s="13" t="str">
        <f aca="false">IF(G63=F63,"PASS","OPEN")</f>
        <v>OPEN</v>
      </c>
    </row>
    <row r="64" customFormat="false" ht="15" hidden="false" customHeight="false" outlineLevel="0" collapsed="false">
      <c r="A64" s="12" t="s">
        <v>411</v>
      </c>
      <c r="B64" s="12" t="s">
        <v>282</v>
      </c>
      <c r="C64" s="12" t="s">
        <v>357</v>
      </c>
      <c r="D64" s="12" t="s">
        <v>358</v>
      </c>
      <c r="E64" s="12" t="s">
        <v>140</v>
      </c>
      <c r="F64" s="12" t="n">
        <v>1</v>
      </c>
      <c r="G64" s="12" t="n">
        <v>0</v>
      </c>
      <c r="H64" s="13" t="str">
        <f aca="false">IF(G64=F64,"PASS","OPEN")</f>
        <v>OPEN</v>
      </c>
    </row>
    <row r="65" customFormat="false" ht="15" hidden="false" customHeight="false" outlineLevel="0" collapsed="false">
      <c r="A65" s="12" t="s">
        <v>412</v>
      </c>
      <c r="B65" s="12" t="s">
        <v>282</v>
      </c>
      <c r="C65" s="12" t="s">
        <v>360</v>
      </c>
      <c r="D65" s="12" t="s">
        <v>361</v>
      </c>
      <c r="E65" s="12" t="s">
        <v>362</v>
      </c>
      <c r="F65" s="12" t="n">
        <v>1</v>
      </c>
      <c r="G65" s="12" t="n">
        <v>1</v>
      </c>
      <c r="H65" s="13" t="str">
        <f aca="false">IF(G65=F65,"PASS","OPEN")</f>
        <v>PASS</v>
      </c>
    </row>
    <row r="66" customFormat="false" ht="15" hidden="false" customHeight="false" outlineLevel="0" collapsed="false">
      <c r="A66" s="12" t="s">
        <v>413</v>
      </c>
      <c r="B66" s="12" t="s">
        <v>282</v>
      </c>
      <c r="C66" s="12" t="s">
        <v>364</v>
      </c>
      <c r="D66" s="12" t="s">
        <v>365</v>
      </c>
      <c r="E66" s="12" t="s">
        <v>362</v>
      </c>
      <c r="F66" s="12" t="n">
        <v>1</v>
      </c>
      <c r="G66" s="12" t="n">
        <v>1</v>
      </c>
      <c r="H66" s="13" t="str">
        <f aca="false">IF(G66=F66,"PASS","OPEN")</f>
        <v>PASS</v>
      </c>
    </row>
    <row r="67" customFormat="false" ht="15" hidden="false" customHeight="false" outlineLevel="0" collapsed="false">
      <c r="A67" s="12" t="s">
        <v>414</v>
      </c>
      <c r="B67" s="12" t="s">
        <v>285</v>
      </c>
      <c r="C67" s="12" t="s">
        <v>329</v>
      </c>
      <c r="D67" s="12" t="s">
        <v>330</v>
      </c>
      <c r="E67" s="12" t="s">
        <v>140</v>
      </c>
      <c r="F67" s="12" t="n">
        <v>1</v>
      </c>
      <c r="G67" s="12" t="n">
        <v>0</v>
      </c>
      <c r="H67" s="13" t="str">
        <f aca="false">IF(G67=F67,"PASS","OPEN")</f>
        <v>OPEN</v>
      </c>
    </row>
    <row r="68" customFormat="false" ht="15" hidden="false" customHeight="false" outlineLevel="0" collapsed="false">
      <c r="A68" s="12" t="s">
        <v>415</v>
      </c>
      <c r="B68" s="12" t="s">
        <v>285</v>
      </c>
      <c r="C68" s="12" t="s">
        <v>332</v>
      </c>
      <c r="D68" s="12" t="s">
        <v>333</v>
      </c>
      <c r="E68" s="12" t="s">
        <v>140</v>
      </c>
      <c r="F68" s="12" t="n">
        <v>1</v>
      </c>
      <c r="G68" s="12" t="n">
        <v>0</v>
      </c>
      <c r="H68" s="13" t="str">
        <f aca="false">IF(G68=F68,"PASS","OPEN")</f>
        <v>OPEN</v>
      </c>
    </row>
    <row r="69" customFormat="false" ht="15" hidden="false" customHeight="false" outlineLevel="0" collapsed="false">
      <c r="A69" s="12" t="s">
        <v>416</v>
      </c>
      <c r="B69" s="12" t="s">
        <v>285</v>
      </c>
      <c r="C69" s="12" t="s">
        <v>335</v>
      </c>
      <c r="D69" s="12" t="s">
        <v>336</v>
      </c>
      <c r="E69" s="12" t="s">
        <v>140</v>
      </c>
      <c r="F69" s="12" t="n">
        <v>1</v>
      </c>
      <c r="G69" s="12" t="n">
        <v>0</v>
      </c>
      <c r="H69" s="13" t="str">
        <f aca="false">IF(G69=F69,"PASS","OPEN")</f>
        <v>OPEN</v>
      </c>
    </row>
    <row r="70" customFormat="false" ht="15" hidden="false" customHeight="false" outlineLevel="0" collapsed="false">
      <c r="A70" s="12" t="s">
        <v>417</v>
      </c>
      <c r="B70" s="12" t="s">
        <v>285</v>
      </c>
      <c r="C70" s="12" t="s">
        <v>338</v>
      </c>
      <c r="D70" s="12" t="s">
        <v>339</v>
      </c>
      <c r="E70" s="12" t="s">
        <v>140</v>
      </c>
      <c r="F70" s="12" t="n">
        <v>1</v>
      </c>
      <c r="G70" s="12" t="n">
        <v>0</v>
      </c>
      <c r="H70" s="13" t="str">
        <f aca="false">IF(G70=F70,"PASS","OPEN")</f>
        <v>OPEN</v>
      </c>
    </row>
    <row r="71" customFormat="false" ht="15" hidden="false" customHeight="false" outlineLevel="0" collapsed="false">
      <c r="A71" s="12" t="s">
        <v>418</v>
      </c>
      <c r="B71" s="12" t="s">
        <v>285</v>
      </c>
      <c r="C71" s="12" t="s">
        <v>341</v>
      </c>
      <c r="D71" s="12" t="s">
        <v>342</v>
      </c>
      <c r="E71" s="12" t="s">
        <v>140</v>
      </c>
      <c r="F71" s="12" t="n">
        <v>1</v>
      </c>
      <c r="G71" s="12" t="n">
        <v>0</v>
      </c>
      <c r="H71" s="13" t="str">
        <f aca="false">IF(G71=F71,"PASS","OPEN")</f>
        <v>OPEN</v>
      </c>
    </row>
    <row r="72" customFormat="false" ht="15" hidden="false" customHeight="false" outlineLevel="0" collapsed="false">
      <c r="A72" s="12" t="s">
        <v>419</v>
      </c>
      <c r="B72" s="12" t="s">
        <v>285</v>
      </c>
      <c r="C72" s="12" t="s">
        <v>344</v>
      </c>
      <c r="D72" s="12" t="s">
        <v>345</v>
      </c>
      <c r="E72" s="12" t="s">
        <v>346</v>
      </c>
      <c r="F72" s="12" t="n">
        <v>1</v>
      </c>
      <c r="G72" s="12" t="n">
        <v>0</v>
      </c>
      <c r="H72" s="13" t="str">
        <f aca="false">IF(G72=F72,"PASS","OPEN")</f>
        <v>OPEN</v>
      </c>
    </row>
    <row r="73" customFormat="false" ht="15" hidden="false" customHeight="false" outlineLevel="0" collapsed="false">
      <c r="A73" s="12" t="s">
        <v>420</v>
      </c>
      <c r="B73" s="12" t="s">
        <v>285</v>
      </c>
      <c r="C73" s="12" t="s">
        <v>348</v>
      </c>
      <c r="D73" s="12" t="s">
        <v>349</v>
      </c>
      <c r="E73" s="12" t="s">
        <v>140</v>
      </c>
      <c r="F73" s="12" t="n">
        <v>1</v>
      </c>
      <c r="G73" s="12" t="n">
        <v>0</v>
      </c>
      <c r="H73" s="13" t="str">
        <f aca="false">IF(G73=F73,"PASS","OPEN")</f>
        <v>OPEN</v>
      </c>
    </row>
    <row r="74" customFormat="false" ht="15" hidden="false" customHeight="false" outlineLevel="0" collapsed="false">
      <c r="A74" s="12" t="s">
        <v>421</v>
      </c>
      <c r="B74" s="12" t="s">
        <v>285</v>
      </c>
      <c r="C74" s="12" t="s">
        <v>351</v>
      </c>
      <c r="D74" s="12" t="s">
        <v>352</v>
      </c>
      <c r="E74" s="12" t="s">
        <v>140</v>
      </c>
      <c r="F74" s="12" t="n">
        <v>1</v>
      </c>
      <c r="G74" s="12" t="n">
        <v>0</v>
      </c>
      <c r="H74" s="13" t="str">
        <f aca="false">IF(G74=F74,"PASS","OPEN")</f>
        <v>OPEN</v>
      </c>
    </row>
    <row r="75" customFormat="false" ht="15" hidden="false" customHeight="false" outlineLevel="0" collapsed="false">
      <c r="A75" s="12" t="s">
        <v>422</v>
      </c>
      <c r="B75" s="12" t="s">
        <v>285</v>
      </c>
      <c r="C75" s="12" t="s">
        <v>354</v>
      </c>
      <c r="D75" s="12" t="s">
        <v>355</v>
      </c>
      <c r="E75" s="12" t="s">
        <v>140</v>
      </c>
      <c r="F75" s="12" t="n">
        <v>1</v>
      </c>
      <c r="G75" s="12" t="n">
        <v>0</v>
      </c>
      <c r="H75" s="13" t="str">
        <f aca="false">IF(G75=F75,"PASS","OPEN")</f>
        <v>OPEN</v>
      </c>
    </row>
    <row r="76" customFormat="false" ht="15" hidden="false" customHeight="false" outlineLevel="0" collapsed="false">
      <c r="A76" s="12" t="s">
        <v>423</v>
      </c>
      <c r="B76" s="12" t="s">
        <v>285</v>
      </c>
      <c r="C76" s="12" t="s">
        <v>357</v>
      </c>
      <c r="D76" s="12" t="s">
        <v>358</v>
      </c>
      <c r="E76" s="12" t="s">
        <v>140</v>
      </c>
      <c r="F76" s="12" t="n">
        <v>1</v>
      </c>
      <c r="G76" s="12" t="n">
        <v>0</v>
      </c>
      <c r="H76" s="13" t="str">
        <f aca="false">IF(G76=F76,"PASS","OPEN")</f>
        <v>OPEN</v>
      </c>
    </row>
    <row r="77" customFormat="false" ht="15" hidden="false" customHeight="false" outlineLevel="0" collapsed="false">
      <c r="A77" s="12" t="s">
        <v>424</v>
      </c>
      <c r="B77" s="12" t="s">
        <v>285</v>
      </c>
      <c r="C77" s="12" t="s">
        <v>360</v>
      </c>
      <c r="D77" s="12" t="s">
        <v>361</v>
      </c>
      <c r="E77" s="12" t="s">
        <v>362</v>
      </c>
      <c r="F77" s="12" t="n">
        <v>1</v>
      </c>
      <c r="G77" s="12" t="n">
        <v>1</v>
      </c>
      <c r="H77" s="13" t="str">
        <f aca="false">IF(G77=F77,"PASS","OPEN")</f>
        <v>PASS</v>
      </c>
    </row>
    <row r="78" customFormat="false" ht="15" hidden="false" customHeight="false" outlineLevel="0" collapsed="false">
      <c r="A78" s="12" t="s">
        <v>425</v>
      </c>
      <c r="B78" s="12" t="s">
        <v>285</v>
      </c>
      <c r="C78" s="12" t="s">
        <v>364</v>
      </c>
      <c r="D78" s="12" t="s">
        <v>365</v>
      </c>
      <c r="E78" s="12" t="s">
        <v>362</v>
      </c>
      <c r="F78" s="12" t="n">
        <v>1</v>
      </c>
      <c r="G78" s="12" t="n">
        <v>1</v>
      </c>
      <c r="H78" s="13" t="str">
        <f aca="false">IF(G78=F78,"PASS","OPEN")</f>
        <v>PASS</v>
      </c>
    </row>
    <row r="79" customFormat="false" ht="15" hidden="false" customHeight="false" outlineLevel="0" collapsed="false">
      <c r="A79" s="12" t="s">
        <v>426</v>
      </c>
      <c r="B79" s="12" t="s">
        <v>288</v>
      </c>
      <c r="C79" s="12" t="s">
        <v>329</v>
      </c>
      <c r="D79" s="12" t="s">
        <v>330</v>
      </c>
      <c r="E79" s="12" t="s">
        <v>140</v>
      </c>
      <c r="F79" s="12" t="n">
        <v>1</v>
      </c>
      <c r="G79" s="12" t="n">
        <v>0</v>
      </c>
      <c r="H79" s="13" t="str">
        <f aca="false">IF(G79=F79,"PASS","OPEN")</f>
        <v>OPEN</v>
      </c>
    </row>
    <row r="80" customFormat="false" ht="15" hidden="false" customHeight="false" outlineLevel="0" collapsed="false">
      <c r="A80" s="12" t="s">
        <v>427</v>
      </c>
      <c r="B80" s="12" t="s">
        <v>288</v>
      </c>
      <c r="C80" s="12" t="s">
        <v>332</v>
      </c>
      <c r="D80" s="12" t="s">
        <v>333</v>
      </c>
      <c r="E80" s="12" t="s">
        <v>140</v>
      </c>
      <c r="F80" s="12" t="n">
        <v>1</v>
      </c>
      <c r="G80" s="12" t="n">
        <v>0</v>
      </c>
      <c r="H80" s="13" t="str">
        <f aca="false">IF(G80=F80,"PASS","OPEN")</f>
        <v>OPEN</v>
      </c>
    </row>
    <row r="81" customFormat="false" ht="15" hidden="false" customHeight="false" outlineLevel="0" collapsed="false">
      <c r="A81" s="12" t="s">
        <v>428</v>
      </c>
      <c r="B81" s="12" t="s">
        <v>288</v>
      </c>
      <c r="C81" s="12" t="s">
        <v>335</v>
      </c>
      <c r="D81" s="12" t="s">
        <v>336</v>
      </c>
      <c r="E81" s="12" t="s">
        <v>140</v>
      </c>
      <c r="F81" s="12" t="n">
        <v>1</v>
      </c>
      <c r="G81" s="12" t="n">
        <v>0</v>
      </c>
      <c r="H81" s="13" t="str">
        <f aca="false">IF(G81=F81,"PASS","OPEN")</f>
        <v>OPEN</v>
      </c>
    </row>
    <row r="82" customFormat="false" ht="15" hidden="false" customHeight="false" outlineLevel="0" collapsed="false">
      <c r="A82" s="12" t="s">
        <v>429</v>
      </c>
      <c r="B82" s="12" t="s">
        <v>288</v>
      </c>
      <c r="C82" s="12" t="s">
        <v>338</v>
      </c>
      <c r="D82" s="12" t="s">
        <v>339</v>
      </c>
      <c r="E82" s="12" t="s">
        <v>140</v>
      </c>
      <c r="F82" s="12" t="n">
        <v>1</v>
      </c>
      <c r="G82" s="12" t="n">
        <v>0</v>
      </c>
      <c r="H82" s="13" t="str">
        <f aca="false">IF(G82=F82,"PASS","OPEN")</f>
        <v>OPEN</v>
      </c>
    </row>
    <row r="83" customFormat="false" ht="15" hidden="false" customHeight="false" outlineLevel="0" collapsed="false">
      <c r="A83" s="12" t="s">
        <v>430</v>
      </c>
      <c r="B83" s="12" t="s">
        <v>288</v>
      </c>
      <c r="C83" s="12" t="s">
        <v>341</v>
      </c>
      <c r="D83" s="12" t="s">
        <v>342</v>
      </c>
      <c r="E83" s="12" t="s">
        <v>140</v>
      </c>
      <c r="F83" s="12" t="n">
        <v>1</v>
      </c>
      <c r="G83" s="12" t="n">
        <v>0</v>
      </c>
      <c r="H83" s="13" t="str">
        <f aca="false">IF(G83=F83,"PASS","OPEN")</f>
        <v>OPEN</v>
      </c>
    </row>
    <row r="84" customFormat="false" ht="15" hidden="false" customHeight="false" outlineLevel="0" collapsed="false">
      <c r="A84" s="12" t="s">
        <v>431</v>
      </c>
      <c r="B84" s="12" t="s">
        <v>288</v>
      </c>
      <c r="C84" s="12" t="s">
        <v>344</v>
      </c>
      <c r="D84" s="12" t="s">
        <v>345</v>
      </c>
      <c r="E84" s="12" t="s">
        <v>346</v>
      </c>
      <c r="F84" s="12" t="n">
        <v>1</v>
      </c>
      <c r="G84" s="12" t="n">
        <v>0</v>
      </c>
      <c r="H84" s="13" t="str">
        <f aca="false">IF(G84=F84,"PASS","OPEN")</f>
        <v>OPEN</v>
      </c>
    </row>
    <row r="85" customFormat="false" ht="15" hidden="false" customHeight="false" outlineLevel="0" collapsed="false">
      <c r="A85" s="12" t="s">
        <v>432</v>
      </c>
      <c r="B85" s="12" t="s">
        <v>288</v>
      </c>
      <c r="C85" s="12" t="s">
        <v>348</v>
      </c>
      <c r="D85" s="12" t="s">
        <v>349</v>
      </c>
      <c r="E85" s="12" t="s">
        <v>140</v>
      </c>
      <c r="F85" s="12" t="n">
        <v>1</v>
      </c>
      <c r="G85" s="12" t="n">
        <v>0</v>
      </c>
      <c r="H85" s="13" t="str">
        <f aca="false">IF(G85=F85,"PASS","OPEN")</f>
        <v>OPEN</v>
      </c>
    </row>
    <row r="86" customFormat="false" ht="15" hidden="false" customHeight="false" outlineLevel="0" collapsed="false">
      <c r="A86" s="12" t="s">
        <v>433</v>
      </c>
      <c r="B86" s="12" t="s">
        <v>288</v>
      </c>
      <c r="C86" s="12" t="s">
        <v>351</v>
      </c>
      <c r="D86" s="12" t="s">
        <v>352</v>
      </c>
      <c r="E86" s="12" t="s">
        <v>140</v>
      </c>
      <c r="F86" s="12" t="n">
        <v>1</v>
      </c>
      <c r="G86" s="12" t="n">
        <v>0</v>
      </c>
      <c r="H86" s="13" t="str">
        <f aca="false">IF(G86=F86,"PASS","OPEN")</f>
        <v>OPEN</v>
      </c>
    </row>
    <row r="87" customFormat="false" ht="15" hidden="false" customHeight="false" outlineLevel="0" collapsed="false">
      <c r="A87" s="12" t="s">
        <v>434</v>
      </c>
      <c r="B87" s="12" t="s">
        <v>288</v>
      </c>
      <c r="C87" s="12" t="s">
        <v>354</v>
      </c>
      <c r="D87" s="12" t="s">
        <v>355</v>
      </c>
      <c r="E87" s="12" t="s">
        <v>140</v>
      </c>
      <c r="F87" s="12" t="n">
        <v>1</v>
      </c>
      <c r="G87" s="12" t="n">
        <v>0</v>
      </c>
      <c r="H87" s="13" t="str">
        <f aca="false">IF(G87=F87,"PASS","OPEN")</f>
        <v>OPEN</v>
      </c>
    </row>
    <row r="88" customFormat="false" ht="15" hidden="false" customHeight="false" outlineLevel="0" collapsed="false">
      <c r="A88" s="12" t="s">
        <v>435</v>
      </c>
      <c r="B88" s="12" t="s">
        <v>288</v>
      </c>
      <c r="C88" s="12" t="s">
        <v>357</v>
      </c>
      <c r="D88" s="12" t="s">
        <v>358</v>
      </c>
      <c r="E88" s="12" t="s">
        <v>140</v>
      </c>
      <c r="F88" s="12" t="n">
        <v>1</v>
      </c>
      <c r="G88" s="12" t="n">
        <v>0</v>
      </c>
      <c r="H88" s="13" t="str">
        <f aca="false">IF(G88=F88,"PASS","OPEN")</f>
        <v>OPEN</v>
      </c>
    </row>
    <row r="89" customFormat="false" ht="15" hidden="false" customHeight="false" outlineLevel="0" collapsed="false">
      <c r="A89" s="12" t="s">
        <v>436</v>
      </c>
      <c r="B89" s="12" t="s">
        <v>288</v>
      </c>
      <c r="C89" s="12" t="s">
        <v>360</v>
      </c>
      <c r="D89" s="12" t="s">
        <v>361</v>
      </c>
      <c r="E89" s="12" t="s">
        <v>362</v>
      </c>
      <c r="F89" s="12" t="n">
        <v>1</v>
      </c>
      <c r="G89" s="12" t="n">
        <v>1</v>
      </c>
      <c r="H89" s="13" t="str">
        <f aca="false">IF(G89=F89,"PASS","OPEN")</f>
        <v>PASS</v>
      </c>
    </row>
    <row r="90" customFormat="false" ht="15" hidden="false" customHeight="false" outlineLevel="0" collapsed="false">
      <c r="A90" s="12" t="s">
        <v>437</v>
      </c>
      <c r="B90" s="12" t="s">
        <v>288</v>
      </c>
      <c r="C90" s="12" t="s">
        <v>364</v>
      </c>
      <c r="D90" s="12" t="s">
        <v>365</v>
      </c>
      <c r="E90" s="12" t="s">
        <v>362</v>
      </c>
      <c r="F90" s="12" t="n">
        <v>1</v>
      </c>
      <c r="G90" s="12" t="n">
        <v>1</v>
      </c>
      <c r="H90" s="13" t="str">
        <f aca="false">IF(G90=F90,"PASS","OPEN")</f>
        <v>PASS</v>
      </c>
    </row>
    <row r="91" customFormat="false" ht="15" hidden="false" customHeight="false" outlineLevel="0" collapsed="false">
      <c r="A91" s="12" t="s">
        <v>438</v>
      </c>
      <c r="B91" s="12" t="s">
        <v>289</v>
      </c>
      <c r="C91" s="12" t="s">
        <v>329</v>
      </c>
      <c r="D91" s="12" t="s">
        <v>330</v>
      </c>
      <c r="E91" s="12" t="s">
        <v>140</v>
      </c>
      <c r="F91" s="12" t="n">
        <v>1</v>
      </c>
      <c r="G91" s="12" t="n">
        <v>0</v>
      </c>
      <c r="H91" s="13" t="str">
        <f aca="false">IF(G91=F91,"PASS","OPEN")</f>
        <v>OPEN</v>
      </c>
    </row>
    <row r="92" customFormat="false" ht="15" hidden="false" customHeight="false" outlineLevel="0" collapsed="false">
      <c r="A92" s="12" t="s">
        <v>439</v>
      </c>
      <c r="B92" s="12" t="s">
        <v>289</v>
      </c>
      <c r="C92" s="12" t="s">
        <v>332</v>
      </c>
      <c r="D92" s="12" t="s">
        <v>333</v>
      </c>
      <c r="E92" s="12" t="s">
        <v>140</v>
      </c>
      <c r="F92" s="12" t="n">
        <v>1</v>
      </c>
      <c r="G92" s="12" t="n">
        <v>0</v>
      </c>
      <c r="H92" s="13" t="str">
        <f aca="false">IF(G92=F92,"PASS","OPEN")</f>
        <v>OPEN</v>
      </c>
    </row>
    <row r="93" customFormat="false" ht="15" hidden="false" customHeight="false" outlineLevel="0" collapsed="false">
      <c r="A93" s="12" t="s">
        <v>440</v>
      </c>
      <c r="B93" s="12" t="s">
        <v>289</v>
      </c>
      <c r="C93" s="12" t="s">
        <v>335</v>
      </c>
      <c r="D93" s="12" t="s">
        <v>336</v>
      </c>
      <c r="E93" s="12" t="s">
        <v>140</v>
      </c>
      <c r="F93" s="12" t="n">
        <v>1</v>
      </c>
      <c r="G93" s="12" t="n">
        <v>0</v>
      </c>
      <c r="H93" s="13" t="str">
        <f aca="false">IF(G93=F93,"PASS","OPEN")</f>
        <v>OPEN</v>
      </c>
    </row>
    <row r="94" customFormat="false" ht="15" hidden="false" customHeight="false" outlineLevel="0" collapsed="false">
      <c r="A94" s="12" t="s">
        <v>441</v>
      </c>
      <c r="B94" s="12" t="s">
        <v>289</v>
      </c>
      <c r="C94" s="12" t="s">
        <v>338</v>
      </c>
      <c r="D94" s="12" t="s">
        <v>339</v>
      </c>
      <c r="E94" s="12" t="s">
        <v>140</v>
      </c>
      <c r="F94" s="12" t="n">
        <v>1</v>
      </c>
      <c r="G94" s="12" t="n">
        <v>0</v>
      </c>
      <c r="H94" s="13" t="str">
        <f aca="false">IF(G94=F94,"PASS","OPEN")</f>
        <v>OPEN</v>
      </c>
    </row>
    <row r="95" customFormat="false" ht="15" hidden="false" customHeight="false" outlineLevel="0" collapsed="false">
      <c r="A95" s="12" t="s">
        <v>442</v>
      </c>
      <c r="B95" s="12" t="s">
        <v>289</v>
      </c>
      <c r="C95" s="12" t="s">
        <v>341</v>
      </c>
      <c r="D95" s="12" t="s">
        <v>342</v>
      </c>
      <c r="E95" s="12" t="s">
        <v>140</v>
      </c>
      <c r="F95" s="12" t="n">
        <v>1</v>
      </c>
      <c r="G95" s="12" t="n">
        <v>0</v>
      </c>
      <c r="H95" s="13" t="str">
        <f aca="false">IF(G95=F95,"PASS","OPEN")</f>
        <v>OPEN</v>
      </c>
    </row>
    <row r="96" customFormat="false" ht="15" hidden="false" customHeight="false" outlineLevel="0" collapsed="false">
      <c r="A96" s="12" t="s">
        <v>443</v>
      </c>
      <c r="B96" s="12" t="s">
        <v>289</v>
      </c>
      <c r="C96" s="12" t="s">
        <v>344</v>
      </c>
      <c r="D96" s="12" t="s">
        <v>345</v>
      </c>
      <c r="E96" s="12" t="s">
        <v>346</v>
      </c>
      <c r="F96" s="12" t="n">
        <v>1</v>
      </c>
      <c r="G96" s="12" t="n">
        <v>0</v>
      </c>
      <c r="H96" s="13" t="str">
        <f aca="false">IF(G96=F96,"PASS","OPEN")</f>
        <v>OPEN</v>
      </c>
    </row>
    <row r="97" customFormat="false" ht="15" hidden="false" customHeight="false" outlineLevel="0" collapsed="false">
      <c r="A97" s="12" t="s">
        <v>444</v>
      </c>
      <c r="B97" s="12" t="s">
        <v>289</v>
      </c>
      <c r="C97" s="12" t="s">
        <v>348</v>
      </c>
      <c r="D97" s="12" t="s">
        <v>349</v>
      </c>
      <c r="E97" s="12" t="s">
        <v>140</v>
      </c>
      <c r="F97" s="12" t="n">
        <v>1</v>
      </c>
      <c r="G97" s="12" t="n">
        <v>0</v>
      </c>
      <c r="H97" s="13" t="str">
        <f aca="false">IF(G97=F97,"PASS","OPEN")</f>
        <v>OPEN</v>
      </c>
    </row>
    <row r="98" customFormat="false" ht="15" hidden="false" customHeight="false" outlineLevel="0" collapsed="false">
      <c r="A98" s="12" t="s">
        <v>445</v>
      </c>
      <c r="B98" s="12" t="s">
        <v>289</v>
      </c>
      <c r="C98" s="12" t="s">
        <v>351</v>
      </c>
      <c r="D98" s="12" t="s">
        <v>352</v>
      </c>
      <c r="E98" s="12" t="s">
        <v>140</v>
      </c>
      <c r="F98" s="12" t="n">
        <v>1</v>
      </c>
      <c r="G98" s="12" t="n">
        <v>0</v>
      </c>
      <c r="H98" s="13" t="str">
        <f aca="false">IF(G98=F98,"PASS","OPEN")</f>
        <v>OPEN</v>
      </c>
    </row>
    <row r="99" customFormat="false" ht="15" hidden="false" customHeight="false" outlineLevel="0" collapsed="false">
      <c r="A99" s="12" t="s">
        <v>446</v>
      </c>
      <c r="B99" s="12" t="s">
        <v>289</v>
      </c>
      <c r="C99" s="12" t="s">
        <v>354</v>
      </c>
      <c r="D99" s="12" t="s">
        <v>355</v>
      </c>
      <c r="E99" s="12" t="s">
        <v>140</v>
      </c>
      <c r="F99" s="12" t="n">
        <v>1</v>
      </c>
      <c r="G99" s="12" t="n">
        <v>0</v>
      </c>
      <c r="H99" s="13" t="str">
        <f aca="false">IF(G99=F99,"PASS","OPEN")</f>
        <v>OPEN</v>
      </c>
    </row>
    <row r="100" customFormat="false" ht="15" hidden="false" customHeight="false" outlineLevel="0" collapsed="false">
      <c r="A100" s="12" t="s">
        <v>447</v>
      </c>
      <c r="B100" s="12" t="s">
        <v>289</v>
      </c>
      <c r="C100" s="12" t="s">
        <v>357</v>
      </c>
      <c r="D100" s="12" t="s">
        <v>358</v>
      </c>
      <c r="E100" s="12" t="s">
        <v>140</v>
      </c>
      <c r="F100" s="12" t="n">
        <v>1</v>
      </c>
      <c r="G100" s="12" t="n">
        <v>0</v>
      </c>
      <c r="H100" s="13" t="str">
        <f aca="false">IF(G100=F100,"PASS","OPEN")</f>
        <v>OPEN</v>
      </c>
    </row>
    <row r="101" customFormat="false" ht="15" hidden="false" customHeight="false" outlineLevel="0" collapsed="false">
      <c r="A101" s="12" t="s">
        <v>448</v>
      </c>
      <c r="B101" s="12" t="s">
        <v>289</v>
      </c>
      <c r="C101" s="12" t="s">
        <v>360</v>
      </c>
      <c r="D101" s="12" t="s">
        <v>361</v>
      </c>
      <c r="E101" s="12" t="s">
        <v>362</v>
      </c>
      <c r="F101" s="12" t="n">
        <v>1</v>
      </c>
      <c r="G101" s="12" t="n">
        <v>1</v>
      </c>
      <c r="H101" s="13" t="str">
        <f aca="false">IF(G101=F101,"PASS","OPEN")</f>
        <v>PASS</v>
      </c>
    </row>
    <row r="102" customFormat="false" ht="15" hidden="false" customHeight="false" outlineLevel="0" collapsed="false">
      <c r="A102" s="12" t="s">
        <v>449</v>
      </c>
      <c r="B102" s="12" t="s">
        <v>289</v>
      </c>
      <c r="C102" s="12" t="s">
        <v>364</v>
      </c>
      <c r="D102" s="12" t="s">
        <v>365</v>
      </c>
      <c r="E102" s="12" t="s">
        <v>362</v>
      </c>
      <c r="F102" s="12" t="n">
        <v>1</v>
      </c>
      <c r="G102" s="12" t="n">
        <v>1</v>
      </c>
      <c r="H102" s="13" t="str">
        <f aca="false">IF(G102=F102,"PASS","OPEN")</f>
        <v>PASS</v>
      </c>
    </row>
    <row r="103" customFormat="false" ht="15" hidden="false" customHeight="false" outlineLevel="0" collapsed="false">
      <c r="A103" s="12" t="s">
        <v>450</v>
      </c>
      <c r="B103" s="12" t="s">
        <v>290</v>
      </c>
      <c r="C103" s="12" t="s">
        <v>329</v>
      </c>
      <c r="D103" s="12" t="s">
        <v>330</v>
      </c>
      <c r="E103" s="12" t="s">
        <v>140</v>
      </c>
      <c r="F103" s="12" t="n">
        <v>1</v>
      </c>
      <c r="G103" s="12" t="n">
        <v>0</v>
      </c>
      <c r="H103" s="13" t="str">
        <f aca="false">IF(G103=F103,"PASS","OPEN")</f>
        <v>OPEN</v>
      </c>
    </row>
    <row r="104" customFormat="false" ht="15" hidden="false" customHeight="false" outlineLevel="0" collapsed="false">
      <c r="A104" s="12" t="s">
        <v>451</v>
      </c>
      <c r="B104" s="12" t="s">
        <v>290</v>
      </c>
      <c r="C104" s="12" t="s">
        <v>332</v>
      </c>
      <c r="D104" s="12" t="s">
        <v>333</v>
      </c>
      <c r="E104" s="12" t="s">
        <v>140</v>
      </c>
      <c r="F104" s="12" t="n">
        <v>1</v>
      </c>
      <c r="G104" s="12" t="n">
        <v>0</v>
      </c>
      <c r="H104" s="13" t="str">
        <f aca="false">IF(G104=F104,"PASS","OPEN")</f>
        <v>OPEN</v>
      </c>
    </row>
    <row r="105" customFormat="false" ht="15" hidden="false" customHeight="false" outlineLevel="0" collapsed="false">
      <c r="A105" s="12" t="s">
        <v>452</v>
      </c>
      <c r="B105" s="12" t="s">
        <v>290</v>
      </c>
      <c r="C105" s="12" t="s">
        <v>335</v>
      </c>
      <c r="D105" s="12" t="s">
        <v>336</v>
      </c>
      <c r="E105" s="12" t="s">
        <v>140</v>
      </c>
      <c r="F105" s="12" t="n">
        <v>1</v>
      </c>
      <c r="G105" s="12" t="n">
        <v>0</v>
      </c>
      <c r="H105" s="13" t="str">
        <f aca="false">IF(G105=F105,"PASS","OPEN")</f>
        <v>OPEN</v>
      </c>
    </row>
    <row r="106" customFormat="false" ht="15" hidden="false" customHeight="false" outlineLevel="0" collapsed="false">
      <c r="A106" s="12" t="s">
        <v>453</v>
      </c>
      <c r="B106" s="12" t="s">
        <v>290</v>
      </c>
      <c r="C106" s="12" t="s">
        <v>338</v>
      </c>
      <c r="D106" s="12" t="s">
        <v>339</v>
      </c>
      <c r="E106" s="12" t="s">
        <v>140</v>
      </c>
      <c r="F106" s="12" t="n">
        <v>1</v>
      </c>
      <c r="G106" s="12" t="n">
        <v>0</v>
      </c>
      <c r="H106" s="13" t="str">
        <f aca="false">IF(G106=F106,"PASS","OPEN")</f>
        <v>OPEN</v>
      </c>
    </row>
    <row r="107" customFormat="false" ht="15" hidden="false" customHeight="false" outlineLevel="0" collapsed="false">
      <c r="A107" s="12" t="s">
        <v>454</v>
      </c>
      <c r="B107" s="12" t="s">
        <v>290</v>
      </c>
      <c r="C107" s="12" t="s">
        <v>341</v>
      </c>
      <c r="D107" s="12" t="s">
        <v>342</v>
      </c>
      <c r="E107" s="12" t="s">
        <v>140</v>
      </c>
      <c r="F107" s="12" t="n">
        <v>1</v>
      </c>
      <c r="G107" s="12" t="n">
        <v>0</v>
      </c>
      <c r="H107" s="13" t="str">
        <f aca="false">IF(G107=F107,"PASS","OPEN")</f>
        <v>OPEN</v>
      </c>
    </row>
    <row r="108" customFormat="false" ht="15" hidden="false" customHeight="false" outlineLevel="0" collapsed="false">
      <c r="A108" s="12" t="s">
        <v>455</v>
      </c>
      <c r="B108" s="12" t="s">
        <v>290</v>
      </c>
      <c r="C108" s="12" t="s">
        <v>344</v>
      </c>
      <c r="D108" s="12" t="s">
        <v>345</v>
      </c>
      <c r="E108" s="12" t="s">
        <v>346</v>
      </c>
      <c r="F108" s="12" t="n">
        <v>1</v>
      </c>
      <c r="G108" s="12" t="n">
        <v>0</v>
      </c>
      <c r="H108" s="13" t="str">
        <f aca="false">IF(G108=F108,"PASS","OPEN")</f>
        <v>OPEN</v>
      </c>
    </row>
    <row r="109" customFormat="false" ht="15" hidden="false" customHeight="false" outlineLevel="0" collapsed="false">
      <c r="A109" s="12" t="s">
        <v>456</v>
      </c>
      <c r="B109" s="12" t="s">
        <v>290</v>
      </c>
      <c r="C109" s="12" t="s">
        <v>348</v>
      </c>
      <c r="D109" s="12" t="s">
        <v>349</v>
      </c>
      <c r="E109" s="12" t="s">
        <v>140</v>
      </c>
      <c r="F109" s="12" t="n">
        <v>1</v>
      </c>
      <c r="G109" s="12" t="n">
        <v>0</v>
      </c>
      <c r="H109" s="13" t="str">
        <f aca="false">IF(G109=F109,"PASS","OPEN")</f>
        <v>OPEN</v>
      </c>
    </row>
    <row r="110" customFormat="false" ht="15" hidden="false" customHeight="false" outlineLevel="0" collapsed="false">
      <c r="A110" s="12" t="s">
        <v>457</v>
      </c>
      <c r="B110" s="12" t="s">
        <v>290</v>
      </c>
      <c r="C110" s="12" t="s">
        <v>351</v>
      </c>
      <c r="D110" s="12" t="s">
        <v>352</v>
      </c>
      <c r="E110" s="12" t="s">
        <v>140</v>
      </c>
      <c r="F110" s="12" t="n">
        <v>1</v>
      </c>
      <c r="G110" s="12" t="n">
        <v>0</v>
      </c>
      <c r="H110" s="13" t="str">
        <f aca="false">IF(G110=F110,"PASS","OPEN")</f>
        <v>OPEN</v>
      </c>
    </row>
    <row r="111" customFormat="false" ht="15" hidden="false" customHeight="false" outlineLevel="0" collapsed="false">
      <c r="A111" s="12" t="s">
        <v>458</v>
      </c>
      <c r="B111" s="12" t="s">
        <v>290</v>
      </c>
      <c r="C111" s="12" t="s">
        <v>354</v>
      </c>
      <c r="D111" s="12" t="s">
        <v>355</v>
      </c>
      <c r="E111" s="12" t="s">
        <v>140</v>
      </c>
      <c r="F111" s="12" t="n">
        <v>1</v>
      </c>
      <c r="G111" s="12" t="n">
        <v>0</v>
      </c>
      <c r="H111" s="13" t="str">
        <f aca="false">IF(G111=F111,"PASS","OPEN")</f>
        <v>OPEN</v>
      </c>
    </row>
    <row r="112" customFormat="false" ht="15" hidden="false" customHeight="false" outlineLevel="0" collapsed="false">
      <c r="A112" s="12" t="s">
        <v>459</v>
      </c>
      <c r="B112" s="12" t="s">
        <v>290</v>
      </c>
      <c r="C112" s="12" t="s">
        <v>357</v>
      </c>
      <c r="D112" s="12" t="s">
        <v>358</v>
      </c>
      <c r="E112" s="12" t="s">
        <v>140</v>
      </c>
      <c r="F112" s="12" t="n">
        <v>1</v>
      </c>
      <c r="G112" s="12" t="n">
        <v>0</v>
      </c>
      <c r="H112" s="13" t="str">
        <f aca="false">IF(G112=F112,"PASS","OPEN")</f>
        <v>OPEN</v>
      </c>
    </row>
    <row r="113" customFormat="false" ht="15" hidden="false" customHeight="false" outlineLevel="0" collapsed="false">
      <c r="A113" s="12" t="s">
        <v>460</v>
      </c>
      <c r="B113" s="12" t="s">
        <v>290</v>
      </c>
      <c r="C113" s="12" t="s">
        <v>360</v>
      </c>
      <c r="D113" s="12" t="s">
        <v>361</v>
      </c>
      <c r="E113" s="12" t="s">
        <v>362</v>
      </c>
      <c r="F113" s="12" t="n">
        <v>1</v>
      </c>
      <c r="G113" s="12" t="n">
        <v>1</v>
      </c>
      <c r="H113" s="13" t="str">
        <f aca="false">IF(G113=F113,"PASS","OPEN")</f>
        <v>PASS</v>
      </c>
    </row>
    <row r="114" customFormat="false" ht="15" hidden="false" customHeight="false" outlineLevel="0" collapsed="false">
      <c r="A114" s="12" t="s">
        <v>461</v>
      </c>
      <c r="B114" s="12" t="s">
        <v>290</v>
      </c>
      <c r="C114" s="12" t="s">
        <v>364</v>
      </c>
      <c r="D114" s="12" t="s">
        <v>365</v>
      </c>
      <c r="E114" s="12" t="s">
        <v>362</v>
      </c>
      <c r="F114" s="12" t="n">
        <v>1</v>
      </c>
      <c r="G114" s="12" t="n">
        <v>1</v>
      </c>
      <c r="H114" s="13" t="str">
        <f aca="false">IF(G114=F114,"PASS","OPEN")</f>
        <v>PASS</v>
      </c>
    </row>
    <row r="115" customFormat="false" ht="15" hidden="false" customHeight="false" outlineLevel="0" collapsed="false">
      <c r="A115" s="12" t="s">
        <v>462</v>
      </c>
      <c r="B115" s="12" t="s">
        <v>291</v>
      </c>
      <c r="C115" s="12" t="s">
        <v>329</v>
      </c>
      <c r="D115" s="12" t="s">
        <v>330</v>
      </c>
      <c r="E115" s="12" t="s">
        <v>140</v>
      </c>
      <c r="F115" s="12" t="n">
        <v>1</v>
      </c>
      <c r="G115" s="12" t="n">
        <v>0</v>
      </c>
      <c r="H115" s="13" t="str">
        <f aca="false">IF(G115=F115,"PASS","OPEN")</f>
        <v>OPEN</v>
      </c>
    </row>
    <row r="116" customFormat="false" ht="15" hidden="false" customHeight="false" outlineLevel="0" collapsed="false">
      <c r="A116" s="12" t="s">
        <v>463</v>
      </c>
      <c r="B116" s="12" t="s">
        <v>291</v>
      </c>
      <c r="C116" s="12" t="s">
        <v>332</v>
      </c>
      <c r="D116" s="12" t="s">
        <v>333</v>
      </c>
      <c r="E116" s="12" t="s">
        <v>140</v>
      </c>
      <c r="F116" s="12" t="n">
        <v>1</v>
      </c>
      <c r="G116" s="12" t="n">
        <v>0</v>
      </c>
      <c r="H116" s="13" t="str">
        <f aca="false">IF(G116=F116,"PASS","OPEN")</f>
        <v>OPEN</v>
      </c>
    </row>
    <row r="117" customFormat="false" ht="15" hidden="false" customHeight="false" outlineLevel="0" collapsed="false">
      <c r="A117" s="12" t="s">
        <v>464</v>
      </c>
      <c r="B117" s="12" t="s">
        <v>291</v>
      </c>
      <c r="C117" s="12" t="s">
        <v>335</v>
      </c>
      <c r="D117" s="12" t="s">
        <v>336</v>
      </c>
      <c r="E117" s="12" t="s">
        <v>140</v>
      </c>
      <c r="F117" s="12" t="n">
        <v>1</v>
      </c>
      <c r="G117" s="12" t="n">
        <v>0</v>
      </c>
      <c r="H117" s="13" t="str">
        <f aca="false">IF(G117=F117,"PASS","OPEN")</f>
        <v>OPEN</v>
      </c>
    </row>
    <row r="118" customFormat="false" ht="15" hidden="false" customHeight="false" outlineLevel="0" collapsed="false">
      <c r="A118" s="12" t="s">
        <v>465</v>
      </c>
      <c r="B118" s="12" t="s">
        <v>291</v>
      </c>
      <c r="C118" s="12" t="s">
        <v>338</v>
      </c>
      <c r="D118" s="12" t="s">
        <v>339</v>
      </c>
      <c r="E118" s="12" t="s">
        <v>140</v>
      </c>
      <c r="F118" s="12" t="n">
        <v>1</v>
      </c>
      <c r="G118" s="12" t="n">
        <v>0</v>
      </c>
      <c r="H118" s="13" t="str">
        <f aca="false">IF(G118=F118,"PASS","OPEN")</f>
        <v>OPEN</v>
      </c>
    </row>
    <row r="119" customFormat="false" ht="15" hidden="false" customHeight="false" outlineLevel="0" collapsed="false">
      <c r="A119" s="12" t="s">
        <v>466</v>
      </c>
      <c r="B119" s="12" t="s">
        <v>291</v>
      </c>
      <c r="C119" s="12" t="s">
        <v>341</v>
      </c>
      <c r="D119" s="12" t="s">
        <v>342</v>
      </c>
      <c r="E119" s="12" t="s">
        <v>140</v>
      </c>
      <c r="F119" s="12" t="n">
        <v>1</v>
      </c>
      <c r="G119" s="12" t="n">
        <v>0</v>
      </c>
      <c r="H119" s="13" t="str">
        <f aca="false">IF(G119=F119,"PASS","OPEN")</f>
        <v>OPEN</v>
      </c>
    </row>
    <row r="120" customFormat="false" ht="15" hidden="false" customHeight="false" outlineLevel="0" collapsed="false">
      <c r="A120" s="12" t="s">
        <v>467</v>
      </c>
      <c r="B120" s="12" t="s">
        <v>291</v>
      </c>
      <c r="C120" s="12" t="s">
        <v>344</v>
      </c>
      <c r="D120" s="12" t="s">
        <v>345</v>
      </c>
      <c r="E120" s="12" t="s">
        <v>346</v>
      </c>
      <c r="F120" s="12" t="n">
        <v>1</v>
      </c>
      <c r="G120" s="12" t="n">
        <v>0</v>
      </c>
      <c r="H120" s="13" t="str">
        <f aca="false">IF(G120=F120,"PASS","OPEN")</f>
        <v>OPEN</v>
      </c>
    </row>
    <row r="121" customFormat="false" ht="15" hidden="false" customHeight="false" outlineLevel="0" collapsed="false">
      <c r="A121" s="12" t="s">
        <v>468</v>
      </c>
      <c r="B121" s="12" t="s">
        <v>291</v>
      </c>
      <c r="C121" s="12" t="s">
        <v>348</v>
      </c>
      <c r="D121" s="12" t="s">
        <v>349</v>
      </c>
      <c r="E121" s="12" t="s">
        <v>140</v>
      </c>
      <c r="F121" s="12" t="n">
        <v>1</v>
      </c>
      <c r="G121" s="12" t="n">
        <v>0</v>
      </c>
      <c r="H121" s="13" t="str">
        <f aca="false">IF(G121=F121,"PASS","OPEN")</f>
        <v>OPEN</v>
      </c>
    </row>
    <row r="122" customFormat="false" ht="15" hidden="false" customHeight="false" outlineLevel="0" collapsed="false">
      <c r="A122" s="12" t="s">
        <v>469</v>
      </c>
      <c r="B122" s="12" t="s">
        <v>291</v>
      </c>
      <c r="C122" s="12" t="s">
        <v>351</v>
      </c>
      <c r="D122" s="12" t="s">
        <v>352</v>
      </c>
      <c r="E122" s="12" t="s">
        <v>140</v>
      </c>
      <c r="F122" s="12" t="n">
        <v>1</v>
      </c>
      <c r="G122" s="12" t="n">
        <v>0</v>
      </c>
      <c r="H122" s="13" t="str">
        <f aca="false">IF(G122=F122,"PASS","OPEN")</f>
        <v>OPEN</v>
      </c>
    </row>
    <row r="123" customFormat="false" ht="15" hidden="false" customHeight="false" outlineLevel="0" collapsed="false">
      <c r="A123" s="12" t="s">
        <v>470</v>
      </c>
      <c r="B123" s="12" t="s">
        <v>291</v>
      </c>
      <c r="C123" s="12" t="s">
        <v>354</v>
      </c>
      <c r="D123" s="12" t="s">
        <v>355</v>
      </c>
      <c r="E123" s="12" t="s">
        <v>140</v>
      </c>
      <c r="F123" s="12" t="n">
        <v>1</v>
      </c>
      <c r="G123" s="12" t="n">
        <v>0</v>
      </c>
      <c r="H123" s="13" t="str">
        <f aca="false">IF(G123=F123,"PASS","OPEN")</f>
        <v>OPEN</v>
      </c>
    </row>
    <row r="124" customFormat="false" ht="15" hidden="false" customHeight="false" outlineLevel="0" collapsed="false">
      <c r="A124" s="12" t="s">
        <v>471</v>
      </c>
      <c r="B124" s="12" t="s">
        <v>291</v>
      </c>
      <c r="C124" s="12" t="s">
        <v>357</v>
      </c>
      <c r="D124" s="12" t="s">
        <v>358</v>
      </c>
      <c r="E124" s="12" t="s">
        <v>140</v>
      </c>
      <c r="F124" s="12" t="n">
        <v>1</v>
      </c>
      <c r="G124" s="12" t="n">
        <v>0</v>
      </c>
      <c r="H124" s="13" t="str">
        <f aca="false">IF(G124=F124,"PASS","OPEN")</f>
        <v>OPEN</v>
      </c>
    </row>
    <row r="125" customFormat="false" ht="15" hidden="false" customHeight="false" outlineLevel="0" collapsed="false">
      <c r="A125" s="12" t="s">
        <v>472</v>
      </c>
      <c r="B125" s="12" t="s">
        <v>291</v>
      </c>
      <c r="C125" s="12" t="s">
        <v>360</v>
      </c>
      <c r="D125" s="12" t="s">
        <v>361</v>
      </c>
      <c r="E125" s="12" t="s">
        <v>362</v>
      </c>
      <c r="F125" s="12" t="n">
        <v>1</v>
      </c>
      <c r="G125" s="12" t="n">
        <v>1</v>
      </c>
      <c r="H125" s="13" t="str">
        <f aca="false">IF(G125=F125,"PASS","OPEN")</f>
        <v>PASS</v>
      </c>
    </row>
    <row r="126" customFormat="false" ht="15" hidden="false" customHeight="false" outlineLevel="0" collapsed="false">
      <c r="A126" s="12" t="s">
        <v>473</v>
      </c>
      <c r="B126" s="12" t="s">
        <v>291</v>
      </c>
      <c r="C126" s="12" t="s">
        <v>364</v>
      </c>
      <c r="D126" s="12" t="s">
        <v>365</v>
      </c>
      <c r="E126" s="12" t="s">
        <v>362</v>
      </c>
      <c r="F126" s="12" t="n">
        <v>1</v>
      </c>
      <c r="G126" s="12" t="n">
        <v>1</v>
      </c>
      <c r="H126" s="13" t="str">
        <f aca="false">IF(G126=F126,"PASS","OPEN")</f>
        <v>PASS</v>
      </c>
    </row>
    <row r="127" customFormat="false" ht="15" hidden="false" customHeight="false" outlineLevel="0" collapsed="false">
      <c r="A127" s="12" t="s">
        <v>474</v>
      </c>
      <c r="B127" s="12" t="s">
        <v>292</v>
      </c>
      <c r="C127" s="12" t="s">
        <v>329</v>
      </c>
      <c r="D127" s="12" t="s">
        <v>330</v>
      </c>
      <c r="E127" s="12" t="s">
        <v>140</v>
      </c>
      <c r="F127" s="12" t="n">
        <v>1</v>
      </c>
      <c r="G127" s="12" t="n">
        <v>0</v>
      </c>
      <c r="H127" s="13" t="str">
        <f aca="false">IF(G127=F127,"PASS","OPEN")</f>
        <v>OPEN</v>
      </c>
    </row>
    <row r="128" customFormat="false" ht="15" hidden="false" customHeight="false" outlineLevel="0" collapsed="false">
      <c r="A128" s="12" t="s">
        <v>475</v>
      </c>
      <c r="B128" s="12" t="s">
        <v>292</v>
      </c>
      <c r="C128" s="12" t="s">
        <v>332</v>
      </c>
      <c r="D128" s="12" t="s">
        <v>333</v>
      </c>
      <c r="E128" s="12" t="s">
        <v>140</v>
      </c>
      <c r="F128" s="12" t="n">
        <v>1</v>
      </c>
      <c r="G128" s="12" t="n">
        <v>0</v>
      </c>
      <c r="H128" s="13" t="str">
        <f aca="false">IF(G128=F128,"PASS","OPEN")</f>
        <v>OPEN</v>
      </c>
    </row>
    <row r="129" customFormat="false" ht="15" hidden="false" customHeight="false" outlineLevel="0" collapsed="false">
      <c r="A129" s="12" t="s">
        <v>476</v>
      </c>
      <c r="B129" s="12" t="s">
        <v>292</v>
      </c>
      <c r="C129" s="12" t="s">
        <v>335</v>
      </c>
      <c r="D129" s="12" t="s">
        <v>336</v>
      </c>
      <c r="E129" s="12" t="s">
        <v>140</v>
      </c>
      <c r="F129" s="12" t="n">
        <v>1</v>
      </c>
      <c r="G129" s="12" t="n">
        <v>0</v>
      </c>
      <c r="H129" s="13" t="str">
        <f aca="false">IF(G129=F129,"PASS","OPEN")</f>
        <v>OPEN</v>
      </c>
    </row>
    <row r="130" customFormat="false" ht="15" hidden="false" customHeight="false" outlineLevel="0" collapsed="false">
      <c r="A130" s="12" t="s">
        <v>477</v>
      </c>
      <c r="B130" s="12" t="s">
        <v>292</v>
      </c>
      <c r="C130" s="12" t="s">
        <v>338</v>
      </c>
      <c r="D130" s="12" t="s">
        <v>339</v>
      </c>
      <c r="E130" s="12" t="s">
        <v>140</v>
      </c>
      <c r="F130" s="12" t="n">
        <v>1</v>
      </c>
      <c r="G130" s="12" t="n">
        <v>0</v>
      </c>
      <c r="H130" s="13" t="str">
        <f aca="false">IF(G130=F130,"PASS","OPEN")</f>
        <v>OPEN</v>
      </c>
    </row>
    <row r="131" customFormat="false" ht="15" hidden="false" customHeight="false" outlineLevel="0" collapsed="false">
      <c r="A131" s="12" t="s">
        <v>478</v>
      </c>
      <c r="B131" s="12" t="s">
        <v>292</v>
      </c>
      <c r="C131" s="12" t="s">
        <v>341</v>
      </c>
      <c r="D131" s="12" t="s">
        <v>342</v>
      </c>
      <c r="E131" s="12" t="s">
        <v>140</v>
      </c>
      <c r="F131" s="12" t="n">
        <v>1</v>
      </c>
      <c r="G131" s="12" t="n">
        <v>0</v>
      </c>
      <c r="H131" s="13" t="str">
        <f aca="false">IF(G131=F131,"PASS","OPEN")</f>
        <v>OPEN</v>
      </c>
    </row>
    <row r="132" customFormat="false" ht="15" hidden="false" customHeight="false" outlineLevel="0" collapsed="false">
      <c r="A132" s="12" t="s">
        <v>479</v>
      </c>
      <c r="B132" s="12" t="s">
        <v>292</v>
      </c>
      <c r="C132" s="12" t="s">
        <v>344</v>
      </c>
      <c r="D132" s="12" t="s">
        <v>345</v>
      </c>
      <c r="E132" s="12" t="s">
        <v>346</v>
      </c>
      <c r="F132" s="12" t="n">
        <v>1</v>
      </c>
      <c r="G132" s="12" t="n">
        <v>0</v>
      </c>
      <c r="H132" s="13" t="str">
        <f aca="false">IF(G132=F132,"PASS","OPEN")</f>
        <v>OPEN</v>
      </c>
    </row>
    <row r="133" customFormat="false" ht="15" hidden="false" customHeight="false" outlineLevel="0" collapsed="false">
      <c r="A133" s="12" t="s">
        <v>480</v>
      </c>
      <c r="B133" s="12" t="s">
        <v>292</v>
      </c>
      <c r="C133" s="12" t="s">
        <v>348</v>
      </c>
      <c r="D133" s="12" t="s">
        <v>349</v>
      </c>
      <c r="E133" s="12" t="s">
        <v>140</v>
      </c>
      <c r="F133" s="12" t="n">
        <v>1</v>
      </c>
      <c r="G133" s="12" t="n">
        <v>0</v>
      </c>
      <c r="H133" s="13" t="str">
        <f aca="false">IF(G133=F133,"PASS","OPEN")</f>
        <v>OPEN</v>
      </c>
    </row>
    <row r="134" customFormat="false" ht="15" hidden="false" customHeight="false" outlineLevel="0" collapsed="false">
      <c r="A134" s="12" t="s">
        <v>481</v>
      </c>
      <c r="B134" s="12" t="s">
        <v>292</v>
      </c>
      <c r="C134" s="12" t="s">
        <v>351</v>
      </c>
      <c r="D134" s="12" t="s">
        <v>352</v>
      </c>
      <c r="E134" s="12" t="s">
        <v>140</v>
      </c>
      <c r="F134" s="12" t="n">
        <v>1</v>
      </c>
      <c r="G134" s="12" t="n">
        <v>0</v>
      </c>
      <c r="H134" s="13" t="str">
        <f aca="false">IF(G134=F134,"PASS","OPEN")</f>
        <v>OPEN</v>
      </c>
    </row>
    <row r="135" customFormat="false" ht="15" hidden="false" customHeight="false" outlineLevel="0" collapsed="false">
      <c r="A135" s="12" t="s">
        <v>482</v>
      </c>
      <c r="B135" s="12" t="s">
        <v>292</v>
      </c>
      <c r="C135" s="12" t="s">
        <v>354</v>
      </c>
      <c r="D135" s="12" t="s">
        <v>355</v>
      </c>
      <c r="E135" s="12" t="s">
        <v>140</v>
      </c>
      <c r="F135" s="12" t="n">
        <v>1</v>
      </c>
      <c r="G135" s="12" t="n">
        <v>0</v>
      </c>
      <c r="H135" s="13" t="str">
        <f aca="false">IF(G135=F135,"PASS","OPEN")</f>
        <v>OPEN</v>
      </c>
    </row>
    <row r="136" customFormat="false" ht="15" hidden="false" customHeight="false" outlineLevel="0" collapsed="false">
      <c r="A136" s="12" t="s">
        <v>483</v>
      </c>
      <c r="B136" s="12" t="s">
        <v>292</v>
      </c>
      <c r="C136" s="12" t="s">
        <v>357</v>
      </c>
      <c r="D136" s="12" t="s">
        <v>358</v>
      </c>
      <c r="E136" s="12" t="s">
        <v>140</v>
      </c>
      <c r="F136" s="12" t="n">
        <v>1</v>
      </c>
      <c r="G136" s="12" t="n">
        <v>0</v>
      </c>
      <c r="H136" s="13" t="str">
        <f aca="false">IF(G136=F136,"PASS","OPEN")</f>
        <v>OPEN</v>
      </c>
    </row>
    <row r="137" customFormat="false" ht="15" hidden="false" customHeight="false" outlineLevel="0" collapsed="false">
      <c r="A137" s="12" t="s">
        <v>484</v>
      </c>
      <c r="B137" s="12" t="s">
        <v>292</v>
      </c>
      <c r="C137" s="12" t="s">
        <v>360</v>
      </c>
      <c r="D137" s="12" t="s">
        <v>361</v>
      </c>
      <c r="E137" s="12" t="s">
        <v>362</v>
      </c>
      <c r="F137" s="12" t="n">
        <v>1</v>
      </c>
      <c r="G137" s="12" t="n">
        <v>1</v>
      </c>
      <c r="H137" s="13" t="str">
        <f aca="false">IF(G137=F137,"PASS","OPEN")</f>
        <v>PASS</v>
      </c>
    </row>
    <row r="138" customFormat="false" ht="15" hidden="false" customHeight="false" outlineLevel="0" collapsed="false">
      <c r="A138" s="12" t="s">
        <v>485</v>
      </c>
      <c r="B138" s="12" t="s">
        <v>292</v>
      </c>
      <c r="C138" s="12" t="s">
        <v>364</v>
      </c>
      <c r="D138" s="12" t="s">
        <v>365</v>
      </c>
      <c r="E138" s="12" t="s">
        <v>362</v>
      </c>
      <c r="F138" s="12" t="n">
        <v>1</v>
      </c>
      <c r="G138" s="12" t="n">
        <v>1</v>
      </c>
      <c r="H138" s="13" t="str">
        <f aca="false">IF(G138=F138,"PASS","OPEN")</f>
        <v>PASS</v>
      </c>
    </row>
    <row r="139" customFormat="false" ht="15" hidden="false" customHeight="false" outlineLevel="0" collapsed="false">
      <c r="A139" s="12" t="s">
        <v>486</v>
      </c>
      <c r="B139" s="12" t="s">
        <v>295</v>
      </c>
      <c r="C139" s="12" t="s">
        <v>329</v>
      </c>
      <c r="D139" s="12" t="s">
        <v>330</v>
      </c>
      <c r="E139" s="12" t="s">
        <v>140</v>
      </c>
      <c r="F139" s="12" t="n">
        <v>1</v>
      </c>
      <c r="G139" s="12" t="n">
        <v>0</v>
      </c>
      <c r="H139" s="13" t="str">
        <f aca="false">IF(G139=F139,"PASS","OPEN")</f>
        <v>OPEN</v>
      </c>
    </row>
    <row r="140" customFormat="false" ht="15" hidden="false" customHeight="false" outlineLevel="0" collapsed="false">
      <c r="A140" s="12" t="s">
        <v>487</v>
      </c>
      <c r="B140" s="12" t="s">
        <v>295</v>
      </c>
      <c r="C140" s="12" t="s">
        <v>332</v>
      </c>
      <c r="D140" s="12" t="s">
        <v>333</v>
      </c>
      <c r="E140" s="12" t="s">
        <v>140</v>
      </c>
      <c r="F140" s="12" t="n">
        <v>1</v>
      </c>
      <c r="G140" s="12" t="n">
        <v>0</v>
      </c>
      <c r="H140" s="13" t="str">
        <f aca="false">IF(G140=F140,"PASS","OPEN")</f>
        <v>OPEN</v>
      </c>
    </row>
    <row r="141" customFormat="false" ht="15" hidden="false" customHeight="false" outlineLevel="0" collapsed="false">
      <c r="A141" s="12" t="s">
        <v>488</v>
      </c>
      <c r="B141" s="12" t="s">
        <v>295</v>
      </c>
      <c r="C141" s="12" t="s">
        <v>335</v>
      </c>
      <c r="D141" s="12" t="s">
        <v>336</v>
      </c>
      <c r="E141" s="12" t="s">
        <v>140</v>
      </c>
      <c r="F141" s="12" t="n">
        <v>1</v>
      </c>
      <c r="G141" s="12" t="n">
        <v>0</v>
      </c>
      <c r="H141" s="13" t="str">
        <f aca="false">IF(G141=F141,"PASS","OPEN")</f>
        <v>OPEN</v>
      </c>
    </row>
    <row r="142" customFormat="false" ht="15" hidden="false" customHeight="false" outlineLevel="0" collapsed="false">
      <c r="A142" s="12" t="s">
        <v>489</v>
      </c>
      <c r="B142" s="12" t="s">
        <v>295</v>
      </c>
      <c r="C142" s="12" t="s">
        <v>338</v>
      </c>
      <c r="D142" s="12" t="s">
        <v>339</v>
      </c>
      <c r="E142" s="12" t="s">
        <v>140</v>
      </c>
      <c r="F142" s="12" t="n">
        <v>1</v>
      </c>
      <c r="G142" s="12" t="n">
        <v>0</v>
      </c>
      <c r="H142" s="13" t="str">
        <f aca="false">IF(G142=F142,"PASS","OPEN")</f>
        <v>OPEN</v>
      </c>
    </row>
    <row r="143" customFormat="false" ht="15" hidden="false" customHeight="false" outlineLevel="0" collapsed="false">
      <c r="A143" s="12" t="s">
        <v>490</v>
      </c>
      <c r="B143" s="12" t="s">
        <v>295</v>
      </c>
      <c r="C143" s="12" t="s">
        <v>341</v>
      </c>
      <c r="D143" s="12" t="s">
        <v>342</v>
      </c>
      <c r="E143" s="12" t="s">
        <v>140</v>
      </c>
      <c r="F143" s="12" t="n">
        <v>1</v>
      </c>
      <c r="G143" s="12" t="n">
        <v>0</v>
      </c>
      <c r="H143" s="13" t="str">
        <f aca="false">IF(G143=F143,"PASS","OPEN")</f>
        <v>OPEN</v>
      </c>
    </row>
    <row r="144" customFormat="false" ht="15" hidden="false" customHeight="false" outlineLevel="0" collapsed="false">
      <c r="A144" s="12" t="s">
        <v>491</v>
      </c>
      <c r="B144" s="12" t="s">
        <v>295</v>
      </c>
      <c r="C144" s="12" t="s">
        <v>344</v>
      </c>
      <c r="D144" s="12" t="s">
        <v>345</v>
      </c>
      <c r="E144" s="12" t="s">
        <v>346</v>
      </c>
      <c r="F144" s="12" t="n">
        <v>1</v>
      </c>
      <c r="G144" s="12" t="n">
        <v>0</v>
      </c>
      <c r="H144" s="13" t="str">
        <f aca="false">IF(G144=F144,"PASS","OPEN")</f>
        <v>OPEN</v>
      </c>
    </row>
    <row r="145" customFormat="false" ht="15" hidden="false" customHeight="false" outlineLevel="0" collapsed="false">
      <c r="A145" s="12" t="s">
        <v>492</v>
      </c>
      <c r="B145" s="12" t="s">
        <v>295</v>
      </c>
      <c r="C145" s="12" t="s">
        <v>348</v>
      </c>
      <c r="D145" s="12" t="s">
        <v>349</v>
      </c>
      <c r="E145" s="12" t="s">
        <v>140</v>
      </c>
      <c r="F145" s="12" t="n">
        <v>1</v>
      </c>
      <c r="G145" s="12" t="n">
        <v>0</v>
      </c>
      <c r="H145" s="13" t="str">
        <f aca="false">IF(G145=F145,"PASS","OPEN")</f>
        <v>OPEN</v>
      </c>
    </row>
    <row r="146" customFormat="false" ht="15" hidden="false" customHeight="false" outlineLevel="0" collapsed="false">
      <c r="A146" s="12" t="s">
        <v>493</v>
      </c>
      <c r="B146" s="12" t="s">
        <v>295</v>
      </c>
      <c r="C146" s="12" t="s">
        <v>351</v>
      </c>
      <c r="D146" s="12" t="s">
        <v>352</v>
      </c>
      <c r="E146" s="12" t="s">
        <v>140</v>
      </c>
      <c r="F146" s="12" t="n">
        <v>1</v>
      </c>
      <c r="G146" s="12" t="n">
        <v>0</v>
      </c>
      <c r="H146" s="13" t="str">
        <f aca="false">IF(G146=F146,"PASS","OPEN")</f>
        <v>OPEN</v>
      </c>
    </row>
    <row r="147" customFormat="false" ht="15" hidden="false" customHeight="false" outlineLevel="0" collapsed="false">
      <c r="A147" s="12" t="s">
        <v>494</v>
      </c>
      <c r="B147" s="12" t="s">
        <v>295</v>
      </c>
      <c r="C147" s="12" t="s">
        <v>354</v>
      </c>
      <c r="D147" s="12" t="s">
        <v>355</v>
      </c>
      <c r="E147" s="12" t="s">
        <v>140</v>
      </c>
      <c r="F147" s="12" t="n">
        <v>1</v>
      </c>
      <c r="G147" s="12" t="n">
        <v>0</v>
      </c>
      <c r="H147" s="13" t="str">
        <f aca="false">IF(G147=F147,"PASS","OPEN")</f>
        <v>OPEN</v>
      </c>
    </row>
    <row r="148" customFormat="false" ht="15" hidden="false" customHeight="false" outlineLevel="0" collapsed="false">
      <c r="A148" s="12" t="s">
        <v>495</v>
      </c>
      <c r="B148" s="12" t="s">
        <v>295</v>
      </c>
      <c r="C148" s="12" t="s">
        <v>357</v>
      </c>
      <c r="D148" s="12" t="s">
        <v>358</v>
      </c>
      <c r="E148" s="12" t="s">
        <v>140</v>
      </c>
      <c r="F148" s="12" t="n">
        <v>1</v>
      </c>
      <c r="G148" s="12" t="n">
        <v>0</v>
      </c>
      <c r="H148" s="13" t="str">
        <f aca="false">IF(G148=F148,"PASS","OPEN")</f>
        <v>OPEN</v>
      </c>
    </row>
    <row r="149" customFormat="false" ht="15" hidden="false" customHeight="false" outlineLevel="0" collapsed="false">
      <c r="A149" s="12" t="s">
        <v>496</v>
      </c>
      <c r="B149" s="12" t="s">
        <v>295</v>
      </c>
      <c r="C149" s="12" t="s">
        <v>360</v>
      </c>
      <c r="D149" s="12" t="s">
        <v>361</v>
      </c>
      <c r="E149" s="12" t="s">
        <v>362</v>
      </c>
      <c r="F149" s="12" t="n">
        <v>1</v>
      </c>
      <c r="G149" s="12" t="n">
        <v>1</v>
      </c>
      <c r="H149" s="13" t="str">
        <f aca="false">IF(G149=F149,"PASS","OPEN")</f>
        <v>PASS</v>
      </c>
    </row>
    <row r="150" customFormat="false" ht="15" hidden="false" customHeight="false" outlineLevel="0" collapsed="false">
      <c r="A150" s="12" t="s">
        <v>497</v>
      </c>
      <c r="B150" s="12" t="s">
        <v>295</v>
      </c>
      <c r="C150" s="12" t="s">
        <v>364</v>
      </c>
      <c r="D150" s="12" t="s">
        <v>365</v>
      </c>
      <c r="E150" s="12" t="s">
        <v>362</v>
      </c>
      <c r="F150" s="12" t="n">
        <v>1</v>
      </c>
      <c r="G150" s="12" t="n">
        <v>1</v>
      </c>
      <c r="H150" s="13" t="str">
        <f aca="false">IF(G150=F150,"PASS","OPEN")</f>
        <v>PASS</v>
      </c>
    </row>
    <row r="151" customFormat="false" ht="15" hidden="false" customHeight="false" outlineLevel="0" collapsed="false">
      <c r="A151" s="12" t="s">
        <v>498</v>
      </c>
      <c r="B151" s="12" t="s">
        <v>296</v>
      </c>
      <c r="C151" s="12" t="s">
        <v>329</v>
      </c>
      <c r="D151" s="12" t="s">
        <v>330</v>
      </c>
      <c r="E151" s="12" t="s">
        <v>140</v>
      </c>
      <c r="F151" s="12" t="n">
        <v>1</v>
      </c>
      <c r="G151" s="12" t="n">
        <v>0</v>
      </c>
      <c r="H151" s="13" t="str">
        <f aca="false">IF(G151=F151,"PASS","OPEN")</f>
        <v>OPEN</v>
      </c>
    </row>
    <row r="152" customFormat="false" ht="15" hidden="false" customHeight="false" outlineLevel="0" collapsed="false">
      <c r="A152" s="12" t="s">
        <v>499</v>
      </c>
      <c r="B152" s="12" t="s">
        <v>296</v>
      </c>
      <c r="C152" s="12" t="s">
        <v>332</v>
      </c>
      <c r="D152" s="12" t="s">
        <v>333</v>
      </c>
      <c r="E152" s="12" t="s">
        <v>140</v>
      </c>
      <c r="F152" s="12" t="n">
        <v>1</v>
      </c>
      <c r="G152" s="12" t="n">
        <v>0</v>
      </c>
      <c r="H152" s="13" t="str">
        <f aca="false">IF(G152=F152,"PASS","OPEN")</f>
        <v>OPEN</v>
      </c>
    </row>
    <row r="153" customFormat="false" ht="15" hidden="false" customHeight="false" outlineLevel="0" collapsed="false">
      <c r="A153" s="12" t="s">
        <v>500</v>
      </c>
      <c r="B153" s="12" t="s">
        <v>296</v>
      </c>
      <c r="C153" s="12" t="s">
        <v>335</v>
      </c>
      <c r="D153" s="12" t="s">
        <v>336</v>
      </c>
      <c r="E153" s="12" t="s">
        <v>140</v>
      </c>
      <c r="F153" s="12" t="n">
        <v>1</v>
      </c>
      <c r="G153" s="12" t="n">
        <v>0</v>
      </c>
      <c r="H153" s="13" t="str">
        <f aca="false">IF(G153=F153,"PASS","OPEN")</f>
        <v>OPEN</v>
      </c>
    </row>
    <row r="154" customFormat="false" ht="15" hidden="false" customHeight="false" outlineLevel="0" collapsed="false">
      <c r="A154" s="12" t="s">
        <v>501</v>
      </c>
      <c r="B154" s="12" t="s">
        <v>296</v>
      </c>
      <c r="C154" s="12" t="s">
        <v>338</v>
      </c>
      <c r="D154" s="12" t="s">
        <v>339</v>
      </c>
      <c r="E154" s="12" t="s">
        <v>140</v>
      </c>
      <c r="F154" s="12" t="n">
        <v>1</v>
      </c>
      <c r="G154" s="12" t="n">
        <v>0</v>
      </c>
      <c r="H154" s="13" t="str">
        <f aca="false">IF(G154=F154,"PASS","OPEN")</f>
        <v>OPEN</v>
      </c>
    </row>
    <row r="155" customFormat="false" ht="15" hidden="false" customHeight="false" outlineLevel="0" collapsed="false">
      <c r="A155" s="12" t="s">
        <v>502</v>
      </c>
      <c r="B155" s="12" t="s">
        <v>296</v>
      </c>
      <c r="C155" s="12" t="s">
        <v>341</v>
      </c>
      <c r="D155" s="12" t="s">
        <v>342</v>
      </c>
      <c r="E155" s="12" t="s">
        <v>140</v>
      </c>
      <c r="F155" s="12" t="n">
        <v>1</v>
      </c>
      <c r="G155" s="12" t="n">
        <v>0</v>
      </c>
      <c r="H155" s="13" t="str">
        <f aca="false">IF(G155=F155,"PASS","OPEN")</f>
        <v>OPEN</v>
      </c>
    </row>
    <row r="156" customFormat="false" ht="15" hidden="false" customHeight="false" outlineLevel="0" collapsed="false">
      <c r="A156" s="12" t="s">
        <v>503</v>
      </c>
      <c r="B156" s="12" t="s">
        <v>296</v>
      </c>
      <c r="C156" s="12" t="s">
        <v>344</v>
      </c>
      <c r="D156" s="12" t="s">
        <v>345</v>
      </c>
      <c r="E156" s="12" t="s">
        <v>346</v>
      </c>
      <c r="F156" s="12" t="n">
        <v>1</v>
      </c>
      <c r="G156" s="12" t="n">
        <v>0</v>
      </c>
      <c r="H156" s="13" t="str">
        <f aca="false">IF(G156=F156,"PASS","OPEN")</f>
        <v>OPEN</v>
      </c>
    </row>
    <row r="157" customFormat="false" ht="15" hidden="false" customHeight="false" outlineLevel="0" collapsed="false">
      <c r="A157" s="12" t="s">
        <v>504</v>
      </c>
      <c r="B157" s="12" t="s">
        <v>296</v>
      </c>
      <c r="C157" s="12" t="s">
        <v>348</v>
      </c>
      <c r="D157" s="12" t="s">
        <v>349</v>
      </c>
      <c r="E157" s="12" t="s">
        <v>140</v>
      </c>
      <c r="F157" s="12" t="n">
        <v>1</v>
      </c>
      <c r="G157" s="12" t="n">
        <v>0</v>
      </c>
      <c r="H157" s="13" t="str">
        <f aca="false">IF(G157=F157,"PASS","OPEN")</f>
        <v>OPEN</v>
      </c>
    </row>
    <row r="158" customFormat="false" ht="15" hidden="false" customHeight="false" outlineLevel="0" collapsed="false">
      <c r="A158" s="12" t="s">
        <v>505</v>
      </c>
      <c r="B158" s="12" t="s">
        <v>296</v>
      </c>
      <c r="C158" s="12" t="s">
        <v>351</v>
      </c>
      <c r="D158" s="12" t="s">
        <v>352</v>
      </c>
      <c r="E158" s="12" t="s">
        <v>140</v>
      </c>
      <c r="F158" s="12" t="n">
        <v>1</v>
      </c>
      <c r="G158" s="12" t="n">
        <v>0</v>
      </c>
      <c r="H158" s="13" t="str">
        <f aca="false">IF(G158=F158,"PASS","OPEN")</f>
        <v>OPEN</v>
      </c>
    </row>
    <row r="159" customFormat="false" ht="15" hidden="false" customHeight="false" outlineLevel="0" collapsed="false">
      <c r="A159" s="12" t="s">
        <v>506</v>
      </c>
      <c r="B159" s="12" t="s">
        <v>296</v>
      </c>
      <c r="C159" s="12" t="s">
        <v>354</v>
      </c>
      <c r="D159" s="12" t="s">
        <v>355</v>
      </c>
      <c r="E159" s="12" t="s">
        <v>140</v>
      </c>
      <c r="F159" s="12" t="n">
        <v>1</v>
      </c>
      <c r="G159" s="12" t="n">
        <v>0</v>
      </c>
      <c r="H159" s="13" t="str">
        <f aca="false">IF(G159=F159,"PASS","OPEN")</f>
        <v>OPEN</v>
      </c>
    </row>
    <row r="160" customFormat="false" ht="15" hidden="false" customHeight="false" outlineLevel="0" collapsed="false">
      <c r="A160" s="12" t="s">
        <v>507</v>
      </c>
      <c r="B160" s="12" t="s">
        <v>296</v>
      </c>
      <c r="C160" s="12" t="s">
        <v>357</v>
      </c>
      <c r="D160" s="12" t="s">
        <v>358</v>
      </c>
      <c r="E160" s="12" t="s">
        <v>140</v>
      </c>
      <c r="F160" s="12" t="n">
        <v>1</v>
      </c>
      <c r="G160" s="12" t="n">
        <v>0</v>
      </c>
      <c r="H160" s="13" t="str">
        <f aca="false">IF(G160=F160,"PASS","OPEN")</f>
        <v>OPEN</v>
      </c>
    </row>
    <row r="161" customFormat="false" ht="15" hidden="false" customHeight="false" outlineLevel="0" collapsed="false">
      <c r="A161" s="12" t="s">
        <v>508</v>
      </c>
      <c r="B161" s="12" t="s">
        <v>296</v>
      </c>
      <c r="C161" s="12" t="s">
        <v>360</v>
      </c>
      <c r="D161" s="12" t="s">
        <v>361</v>
      </c>
      <c r="E161" s="12" t="s">
        <v>362</v>
      </c>
      <c r="F161" s="12" t="n">
        <v>1</v>
      </c>
      <c r="G161" s="12" t="n">
        <v>1</v>
      </c>
      <c r="H161" s="13" t="str">
        <f aca="false">IF(G161=F161,"PASS","OPEN")</f>
        <v>PASS</v>
      </c>
    </row>
    <row r="162" customFormat="false" ht="15" hidden="false" customHeight="false" outlineLevel="0" collapsed="false">
      <c r="A162" s="12" t="s">
        <v>509</v>
      </c>
      <c r="B162" s="12" t="s">
        <v>296</v>
      </c>
      <c r="C162" s="12" t="s">
        <v>364</v>
      </c>
      <c r="D162" s="12" t="s">
        <v>365</v>
      </c>
      <c r="E162" s="12" t="s">
        <v>362</v>
      </c>
      <c r="F162" s="12" t="n">
        <v>1</v>
      </c>
      <c r="G162" s="12" t="n">
        <v>1</v>
      </c>
      <c r="H162" s="13" t="str">
        <f aca="false">IF(G162=F162,"PASS","OPEN")</f>
        <v>PASS</v>
      </c>
    </row>
    <row r="163" customFormat="false" ht="15" hidden="false" customHeight="false" outlineLevel="0" collapsed="false">
      <c r="A163" s="12" t="s">
        <v>510</v>
      </c>
      <c r="B163" s="12" t="s">
        <v>297</v>
      </c>
      <c r="C163" s="12" t="s">
        <v>329</v>
      </c>
      <c r="D163" s="12" t="s">
        <v>330</v>
      </c>
      <c r="E163" s="12" t="s">
        <v>140</v>
      </c>
      <c r="F163" s="12" t="n">
        <v>1</v>
      </c>
      <c r="G163" s="12" t="n">
        <v>0</v>
      </c>
      <c r="H163" s="13" t="str">
        <f aca="false">IF(G163=F163,"PASS","OPEN")</f>
        <v>OPEN</v>
      </c>
    </row>
    <row r="164" customFormat="false" ht="15" hidden="false" customHeight="false" outlineLevel="0" collapsed="false">
      <c r="A164" s="12" t="s">
        <v>511</v>
      </c>
      <c r="B164" s="12" t="s">
        <v>297</v>
      </c>
      <c r="C164" s="12" t="s">
        <v>332</v>
      </c>
      <c r="D164" s="12" t="s">
        <v>333</v>
      </c>
      <c r="E164" s="12" t="s">
        <v>140</v>
      </c>
      <c r="F164" s="12" t="n">
        <v>1</v>
      </c>
      <c r="G164" s="12" t="n">
        <v>0</v>
      </c>
      <c r="H164" s="13" t="str">
        <f aca="false">IF(G164=F164,"PASS","OPEN")</f>
        <v>OPEN</v>
      </c>
    </row>
    <row r="165" customFormat="false" ht="15" hidden="false" customHeight="false" outlineLevel="0" collapsed="false">
      <c r="A165" s="12" t="s">
        <v>512</v>
      </c>
      <c r="B165" s="12" t="s">
        <v>297</v>
      </c>
      <c r="C165" s="12" t="s">
        <v>335</v>
      </c>
      <c r="D165" s="12" t="s">
        <v>336</v>
      </c>
      <c r="E165" s="12" t="s">
        <v>140</v>
      </c>
      <c r="F165" s="12" t="n">
        <v>1</v>
      </c>
      <c r="G165" s="12" t="n">
        <v>0</v>
      </c>
      <c r="H165" s="13" t="str">
        <f aca="false">IF(G165=F165,"PASS","OPEN")</f>
        <v>OPEN</v>
      </c>
    </row>
    <row r="166" customFormat="false" ht="15" hidden="false" customHeight="false" outlineLevel="0" collapsed="false">
      <c r="A166" s="12" t="s">
        <v>513</v>
      </c>
      <c r="B166" s="12" t="s">
        <v>297</v>
      </c>
      <c r="C166" s="12" t="s">
        <v>338</v>
      </c>
      <c r="D166" s="12" t="s">
        <v>339</v>
      </c>
      <c r="E166" s="12" t="s">
        <v>140</v>
      </c>
      <c r="F166" s="12" t="n">
        <v>1</v>
      </c>
      <c r="G166" s="12" t="n">
        <v>0</v>
      </c>
      <c r="H166" s="13" t="str">
        <f aca="false">IF(G166=F166,"PASS","OPEN")</f>
        <v>OPEN</v>
      </c>
    </row>
    <row r="167" customFormat="false" ht="15" hidden="false" customHeight="false" outlineLevel="0" collapsed="false">
      <c r="A167" s="12" t="s">
        <v>514</v>
      </c>
      <c r="B167" s="12" t="s">
        <v>297</v>
      </c>
      <c r="C167" s="12" t="s">
        <v>341</v>
      </c>
      <c r="D167" s="12" t="s">
        <v>342</v>
      </c>
      <c r="E167" s="12" t="s">
        <v>140</v>
      </c>
      <c r="F167" s="12" t="n">
        <v>1</v>
      </c>
      <c r="G167" s="12" t="n">
        <v>0</v>
      </c>
      <c r="H167" s="13" t="str">
        <f aca="false">IF(G167=F167,"PASS","OPEN")</f>
        <v>OPEN</v>
      </c>
    </row>
    <row r="168" customFormat="false" ht="15" hidden="false" customHeight="false" outlineLevel="0" collapsed="false">
      <c r="A168" s="12" t="s">
        <v>515</v>
      </c>
      <c r="B168" s="12" t="s">
        <v>297</v>
      </c>
      <c r="C168" s="12" t="s">
        <v>344</v>
      </c>
      <c r="D168" s="12" t="s">
        <v>345</v>
      </c>
      <c r="E168" s="12" t="s">
        <v>346</v>
      </c>
      <c r="F168" s="12" t="n">
        <v>1</v>
      </c>
      <c r="G168" s="12" t="n">
        <v>0</v>
      </c>
      <c r="H168" s="13" t="str">
        <f aca="false">IF(G168=F168,"PASS","OPEN")</f>
        <v>OPEN</v>
      </c>
    </row>
    <row r="169" customFormat="false" ht="15" hidden="false" customHeight="false" outlineLevel="0" collapsed="false">
      <c r="A169" s="12" t="s">
        <v>516</v>
      </c>
      <c r="B169" s="12" t="s">
        <v>297</v>
      </c>
      <c r="C169" s="12" t="s">
        <v>348</v>
      </c>
      <c r="D169" s="12" t="s">
        <v>349</v>
      </c>
      <c r="E169" s="12" t="s">
        <v>140</v>
      </c>
      <c r="F169" s="12" t="n">
        <v>1</v>
      </c>
      <c r="G169" s="12" t="n">
        <v>0</v>
      </c>
      <c r="H169" s="13" t="str">
        <f aca="false">IF(G169=F169,"PASS","OPEN")</f>
        <v>OPEN</v>
      </c>
    </row>
    <row r="170" customFormat="false" ht="15" hidden="false" customHeight="false" outlineLevel="0" collapsed="false">
      <c r="A170" s="12" t="s">
        <v>517</v>
      </c>
      <c r="B170" s="12" t="s">
        <v>297</v>
      </c>
      <c r="C170" s="12" t="s">
        <v>351</v>
      </c>
      <c r="D170" s="12" t="s">
        <v>352</v>
      </c>
      <c r="E170" s="12" t="s">
        <v>140</v>
      </c>
      <c r="F170" s="12" t="n">
        <v>1</v>
      </c>
      <c r="G170" s="12" t="n">
        <v>0</v>
      </c>
      <c r="H170" s="13" t="str">
        <f aca="false">IF(G170=F170,"PASS","OPEN")</f>
        <v>OPEN</v>
      </c>
    </row>
    <row r="171" customFormat="false" ht="15" hidden="false" customHeight="false" outlineLevel="0" collapsed="false">
      <c r="A171" s="12" t="s">
        <v>518</v>
      </c>
      <c r="B171" s="12" t="s">
        <v>297</v>
      </c>
      <c r="C171" s="12" t="s">
        <v>354</v>
      </c>
      <c r="D171" s="12" t="s">
        <v>355</v>
      </c>
      <c r="E171" s="12" t="s">
        <v>140</v>
      </c>
      <c r="F171" s="12" t="n">
        <v>1</v>
      </c>
      <c r="G171" s="12" t="n">
        <v>0</v>
      </c>
      <c r="H171" s="13" t="str">
        <f aca="false">IF(G171=F171,"PASS","OPEN")</f>
        <v>OPEN</v>
      </c>
    </row>
    <row r="172" customFormat="false" ht="15" hidden="false" customHeight="false" outlineLevel="0" collapsed="false">
      <c r="A172" s="12" t="s">
        <v>519</v>
      </c>
      <c r="B172" s="12" t="s">
        <v>297</v>
      </c>
      <c r="C172" s="12" t="s">
        <v>357</v>
      </c>
      <c r="D172" s="12" t="s">
        <v>358</v>
      </c>
      <c r="E172" s="12" t="s">
        <v>140</v>
      </c>
      <c r="F172" s="12" t="n">
        <v>1</v>
      </c>
      <c r="G172" s="12" t="n">
        <v>0</v>
      </c>
      <c r="H172" s="13" t="str">
        <f aca="false">IF(G172=F172,"PASS","OPEN")</f>
        <v>OPEN</v>
      </c>
    </row>
    <row r="173" customFormat="false" ht="15" hidden="false" customHeight="false" outlineLevel="0" collapsed="false">
      <c r="A173" s="12" t="s">
        <v>520</v>
      </c>
      <c r="B173" s="12" t="s">
        <v>297</v>
      </c>
      <c r="C173" s="12" t="s">
        <v>360</v>
      </c>
      <c r="D173" s="12" t="s">
        <v>361</v>
      </c>
      <c r="E173" s="12" t="s">
        <v>362</v>
      </c>
      <c r="F173" s="12" t="n">
        <v>1</v>
      </c>
      <c r="G173" s="12" t="n">
        <v>1</v>
      </c>
      <c r="H173" s="13" t="str">
        <f aca="false">IF(G173=F173,"PASS","OPEN")</f>
        <v>PASS</v>
      </c>
    </row>
    <row r="174" customFormat="false" ht="15" hidden="false" customHeight="false" outlineLevel="0" collapsed="false">
      <c r="A174" s="12" t="s">
        <v>521</v>
      </c>
      <c r="B174" s="12" t="s">
        <v>297</v>
      </c>
      <c r="C174" s="12" t="s">
        <v>364</v>
      </c>
      <c r="D174" s="12" t="s">
        <v>365</v>
      </c>
      <c r="E174" s="12" t="s">
        <v>362</v>
      </c>
      <c r="F174" s="12" t="n">
        <v>1</v>
      </c>
      <c r="G174" s="12" t="n">
        <v>1</v>
      </c>
      <c r="H174" s="13" t="str">
        <f aca="false">IF(G174=F174,"PASS","OPEN")</f>
        <v>PASS</v>
      </c>
    </row>
    <row r="175" customFormat="false" ht="15" hidden="false" customHeight="false" outlineLevel="0" collapsed="false">
      <c r="A175" s="12" t="s">
        <v>522</v>
      </c>
      <c r="B175" s="12" t="s">
        <v>298</v>
      </c>
      <c r="C175" s="12" t="s">
        <v>329</v>
      </c>
      <c r="D175" s="12" t="s">
        <v>330</v>
      </c>
      <c r="E175" s="12" t="s">
        <v>140</v>
      </c>
      <c r="F175" s="12" t="n">
        <v>1</v>
      </c>
      <c r="G175" s="12" t="n">
        <v>0</v>
      </c>
      <c r="H175" s="13" t="str">
        <f aca="false">IF(G175=F175,"PASS","OPEN")</f>
        <v>OPEN</v>
      </c>
    </row>
    <row r="176" customFormat="false" ht="15" hidden="false" customHeight="false" outlineLevel="0" collapsed="false">
      <c r="A176" s="12" t="s">
        <v>523</v>
      </c>
      <c r="B176" s="12" t="s">
        <v>298</v>
      </c>
      <c r="C176" s="12" t="s">
        <v>332</v>
      </c>
      <c r="D176" s="12" t="s">
        <v>333</v>
      </c>
      <c r="E176" s="12" t="s">
        <v>140</v>
      </c>
      <c r="F176" s="12" t="n">
        <v>1</v>
      </c>
      <c r="G176" s="12" t="n">
        <v>0</v>
      </c>
      <c r="H176" s="13" t="str">
        <f aca="false">IF(G176=F176,"PASS","OPEN")</f>
        <v>OPEN</v>
      </c>
    </row>
    <row r="177" customFormat="false" ht="15" hidden="false" customHeight="false" outlineLevel="0" collapsed="false">
      <c r="A177" s="12" t="s">
        <v>524</v>
      </c>
      <c r="B177" s="12" t="s">
        <v>298</v>
      </c>
      <c r="C177" s="12" t="s">
        <v>335</v>
      </c>
      <c r="D177" s="12" t="s">
        <v>336</v>
      </c>
      <c r="E177" s="12" t="s">
        <v>140</v>
      </c>
      <c r="F177" s="12" t="n">
        <v>1</v>
      </c>
      <c r="G177" s="12" t="n">
        <v>0</v>
      </c>
      <c r="H177" s="13" t="str">
        <f aca="false">IF(G177=F177,"PASS","OPEN")</f>
        <v>OPEN</v>
      </c>
    </row>
    <row r="178" customFormat="false" ht="15" hidden="false" customHeight="false" outlineLevel="0" collapsed="false">
      <c r="A178" s="12" t="s">
        <v>525</v>
      </c>
      <c r="B178" s="12" t="s">
        <v>298</v>
      </c>
      <c r="C178" s="12" t="s">
        <v>338</v>
      </c>
      <c r="D178" s="12" t="s">
        <v>339</v>
      </c>
      <c r="E178" s="12" t="s">
        <v>140</v>
      </c>
      <c r="F178" s="12" t="n">
        <v>1</v>
      </c>
      <c r="G178" s="12" t="n">
        <v>0</v>
      </c>
      <c r="H178" s="13" t="str">
        <f aca="false">IF(G178=F178,"PASS","OPEN")</f>
        <v>OPEN</v>
      </c>
    </row>
    <row r="179" customFormat="false" ht="15" hidden="false" customHeight="false" outlineLevel="0" collapsed="false">
      <c r="A179" s="12" t="s">
        <v>526</v>
      </c>
      <c r="B179" s="12" t="s">
        <v>298</v>
      </c>
      <c r="C179" s="12" t="s">
        <v>341</v>
      </c>
      <c r="D179" s="12" t="s">
        <v>342</v>
      </c>
      <c r="E179" s="12" t="s">
        <v>140</v>
      </c>
      <c r="F179" s="12" t="n">
        <v>1</v>
      </c>
      <c r="G179" s="12" t="n">
        <v>0</v>
      </c>
      <c r="H179" s="13" t="str">
        <f aca="false">IF(G179=F179,"PASS","OPEN")</f>
        <v>OPEN</v>
      </c>
    </row>
    <row r="180" customFormat="false" ht="15" hidden="false" customHeight="false" outlineLevel="0" collapsed="false">
      <c r="A180" s="12" t="s">
        <v>527</v>
      </c>
      <c r="B180" s="12" t="s">
        <v>298</v>
      </c>
      <c r="C180" s="12" t="s">
        <v>344</v>
      </c>
      <c r="D180" s="12" t="s">
        <v>345</v>
      </c>
      <c r="E180" s="12" t="s">
        <v>346</v>
      </c>
      <c r="F180" s="12" t="n">
        <v>1</v>
      </c>
      <c r="G180" s="12" t="n">
        <v>0</v>
      </c>
      <c r="H180" s="13" t="str">
        <f aca="false">IF(G180=F180,"PASS","OPEN")</f>
        <v>OPEN</v>
      </c>
    </row>
    <row r="181" customFormat="false" ht="15" hidden="false" customHeight="false" outlineLevel="0" collapsed="false">
      <c r="A181" s="12" t="s">
        <v>528</v>
      </c>
      <c r="B181" s="12" t="s">
        <v>298</v>
      </c>
      <c r="C181" s="12" t="s">
        <v>348</v>
      </c>
      <c r="D181" s="12" t="s">
        <v>349</v>
      </c>
      <c r="E181" s="12" t="s">
        <v>140</v>
      </c>
      <c r="F181" s="12" t="n">
        <v>1</v>
      </c>
      <c r="G181" s="12" t="n">
        <v>0</v>
      </c>
      <c r="H181" s="13" t="str">
        <f aca="false">IF(G181=F181,"PASS","OPEN")</f>
        <v>OPEN</v>
      </c>
    </row>
    <row r="182" customFormat="false" ht="15" hidden="false" customHeight="false" outlineLevel="0" collapsed="false">
      <c r="A182" s="12" t="s">
        <v>529</v>
      </c>
      <c r="B182" s="12" t="s">
        <v>298</v>
      </c>
      <c r="C182" s="12" t="s">
        <v>351</v>
      </c>
      <c r="D182" s="12" t="s">
        <v>352</v>
      </c>
      <c r="E182" s="12" t="s">
        <v>140</v>
      </c>
      <c r="F182" s="12" t="n">
        <v>1</v>
      </c>
      <c r="G182" s="12" t="n">
        <v>0</v>
      </c>
      <c r="H182" s="13" t="str">
        <f aca="false">IF(G182=F182,"PASS","OPEN")</f>
        <v>OPEN</v>
      </c>
    </row>
    <row r="183" customFormat="false" ht="15" hidden="false" customHeight="false" outlineLevel="0" collapsed="false">
      <c r="A183" s="12" t="s">
        <v>530</v>
      </c>
      <c r="B183" s="12" t="s">
        <v>298</v>
      </c>
      <c r="C183" s="12" t="s">
        <v>354</v>
      </c>
      <c r="D183" s="12" t="s">
        <v>355</v>
      </c>
      <c r="E183" s="12" t="s">
        <v>140</v>
      </c>
      <c r="F183" s="12" t="n">
        <v>1</v>
      </c>
      <c r="G183" s="12" t="n">
        <v>0</v>
      </c>
      <c r="H183" s="13" t="str">
        <f aca="false">IF(G183=F183,"PASS","OPEN")</f>
        <v>OPEN</v>
      </c>
    </row>
    <row r="184" customFormat="false" ht="15" hidden="false" customHeight="false" outlineLevel="0" collapsed="false">
      <c r="A184" s="12" t="s">
        <v>531</v>
      </c>
      <c r="B184" s="12" t="s">
        <v>298</v>
      </c>
      <c r="C184" s="12" t="s">
        <v>357</v>
      </c>
      <c r="D184" s="12" t="s">
        <v>358</v>
      </c>
      <c r="E184" s="12" t="s">
        <v>140</v>
      </c>
      <c r="F184" s="12" t="n">
        <v>1</v>
      </c>
      <c r="G184" s="12" t="n">
        <v>0</v>
      </c>
      <c r="H184" s="13" t="str">
        <f aca="false">IF(G184=F184,"PASS","OPEN")</f>
        <v>OPEN</v>
      </c>
    </row>
    <row r="185" customFormat="false" ht="15" hidden="false" customHeight="false" outlineLevel="0" collapsed="false">
      <c r="A185" s="12" t="s">
        <v>532</v>
      </c>
      <c r="B185" s="12" t="s">
        <v>298</v>
      </c>
      <c r="C185" s="12" t="s">
        <v>360</v>
      </c>
      <c r="D185" s="12" t="s">
        <v>361</v>
      </c>
      <c r="E185" s="12" t="s">
        <v>362</v>
      </c>
      <c r="F185" s="12" t="n">
        <v>1</v>
      </c>
      <c r="G185" s="12" t="n">
        <v>1</v>
      </c>
      <c r="H185" s="13" t="str">
        <f aca="false">IF(G185=F185,"PASS","OPEN")</f>
        <v>PASS</v>
      </c>
    </row>
    <row r="186" customFormat="false" ht="15" hidden="false" customHeight="false" outlineLevel="0" collapsed="false">
      <c r="A186" s="12" t="s">
        <v>533</v>
      </c>
      <c r="B186" s="12" t="s">
        <v>298</v>
      </c>
      <c r="C186" s="12" t="s">
        <v>364</v>
      </c>
      <c r="D186" s="12" t="s">
        <v>365</v>
      </c>
      <c r="E186" s="12" t="s">
        <v>362</v>
      </c>
      <c r="F186" s="12" t="n">
        <v>1</v>
      </c>
      <c r="G186" s="12" t="n">
        <v>1</v>
      </c>
      <c r="H186" s="13" t="str">
        <f aca="false">IF(G186=F186,"PASS","OPEN")</f>
        <v>PASS</v>
      </c>
    </row>
    <row r="187" customFormat="false" ht="15" hidden="false" customHeight="false" outlineLevel="0" collapsed="false">
      <c r="A187" s="12" t="s">
        <v>534</v>
      </c>
      <c r="B187" s="12" t="s">
        <v>299</v>
      </c>
      <c r="C187" s="12" t="s">
        <v>329</v>
      </c>
      <c r="D187" s="12" t="s">
        <v>330</v>
      </c>
      <c r="E187" s="12" t="s">
        <v>140</v>
      </c>
      <c r="F187" s="12" t="n">
        <v>1</v>
      </c>
      <c r="G187" s="12" t="n">
        <v>0</v>
      </c>
      <c r="H187" s="13" t="str">
        <f aca="false">IF(G187=F187,"PASS","OPEN")</f>
        <v>OPEN</v>
      </c>
    </row>
    <row r="188" customFormat="false" ht="15" hidden="false" customHeight="false" outlineLevel="0" collapsed="false">
      <c r="A188" s="12" t="s">
        <v>535</v>
      </c>
      <c r="B188" s="12" t="s">
        <v>299</v>
      </c>
      <c r="C188" s="12" t="s">
        <v>332</v>
      </c>
      <c r="D188" s="12" t="s">
        <v>333</v>
      </c>
      <c r="E188" s="12" t="s">
        <v>140</v>
      </c>
      <c r="F188" s="12" t="n">
        <v>1</v>
      </c>
      <c r="G188" s="12" t="n">
        <v>0</v>
      </c>
      <c r="H188" s="13" t="str">
        <f aca="false">IF(G188=F188,"PASS","OPEN")</f>
        <v>OPEN</v>
      </c>
    </row>
    <row r="189" customFormat="false" ht="15" hidden="false" customHeight="false" outlineLevel="0" collapsed="false">
      <c r="A189" s="12" t="s">
        <v>536</v>
      </c>
      <c r="B189" s="12" t="s">
        <v>299</v>
      </c>
      <c r="C189" s="12" t="s">
        <v>335</v>
      </c>
      <c r="D189" s="12" t="s">
        <v>336</v>
      </c>
      <c r="E189" s="12" t="s">
        <v>140</v>
      </c>
      <c r="F189" s="12" t="n">
        <v>1</v>
      </c>
      <c r="G189" s="12" t="n">
        <v>0</v>
      </c>
      <c r="H189" s="13" t="str">
        <f aca="false">IF(G189=F189,"PASS","OPEN")</f>
        <v>OPEN</v>
      </c>
    </row>
    <row r="190" customFormat="false" ht="15" hidden="false" customHeight="false" outlineLevel="0" collapsed="false">
      <c r="A190" s="12" t="s">
        <v>537</v>
      </c>
      <c r="B190" s="12" t="s">
        <v>299</v>
      </c>
      <c r="C190" s="12" t="s">
        <v>338</v>
      </c>
      <c r="D190" s="12" t="s">
        <v>339</v>
      </c>
      <c r="E190" s="12" t="s">
        <v>140</v>
      </c>
      <c r="F190" s="12" t="n">
        <v>1</v>
      </c>
      <c r="G190" s="12" t="n">
        <v>0</v>
      </c>
      <c r="H190" s="13" t="str">
        <f aca="false">IF(G190=F190,"PASS","OPEN")</f>
        <v>OPEN</v>
      </c>
    </row>
    <row r="191" customFormat="false" ht="15" hidden="false" customHeight="false" outlineLevel="0" collapsed="false">
      <c r="A191" s="12" t="s">
        <v>538</v>
      </c>
      <c r="B191" s="12" t="s">
        <v>299</v>
      </c>
      <c r="C191" s="12" t="s">
        <v>341</v>
      </c>
      <c r="D191" s="12" t="s">
        <v>342</v>
      </c>
      <c r="E191" s="12" t="s">
        <v>140</v>
      </c>
      <c r="F191" s="12" t="n">
        <v>1</v>
      </c>
      <c r="G191" s="12" t="n">
        <v>0</v>
      </c>
      <c r="H191" s="13" t="str">
        <f aca="false">IF(G191=F191,"PASS","OPEN")</f>
        <v>OPEN</v>
      </c>
    </row>
    <row r="192" customFormat="false" ht="15" hidden="false" customHeight="false" outlineLevel="0" collapsed="false">
      <c r="A192" s="12" t="s">
        <v>539</v>
      </c>
      <c r="B192" s="12" t="s">
        <v>299</v>
      </c>
      <c r="C192" s="12" t="s">
        <v>344</v>
      </c>
      <c r="D192" s="12" t="s">
        <v>345</v>
      </c>
      <c r="E192" s="12" t="s">
        <v>346</v>
      </c>
      <c r="F192" s="12" t="n">
        <v>1</v>
      </c>
      <c r="G192" s="12" t="n">
        <v>0</v>
      </c>
      <c r="H192" s="13" t="str">
        <f aca="false">IF(G192=F192,"PASS","OPEN")</f>
        <v>OPEN</v>
      </c>
    </row>
    <row r="193" customFormat="false" ht="15" hidden="false" customHeight="false" outlineLevel="0" collapsed="false">
      <c r="A193" s="12" t="s">
        <v>540</v>
      </c>
      <c r="B193" s="12" t="s">
        <v>299</v>
      </c>
      <c r="C193" s="12" t="s">
        <v>348</v>
      </c>
      <c r="D193" s="12" t="s">
        <v>349</v>
      </c>
      <c r="E193" s="12" t="s">
        <v>140</v>
      </c>
      <c r="F193" s="12" t="n">
        <v>1</v>
      </c>
      <c r="G193" s="12" t="n">
        <v>0</v>
      </c>
      <c r="H193" s="13" t="str">
        <f aca="false">IF(G193=F193,"PASS","OPEN")</f>
        <v>OPEN</v>
      </c>
    </row>
    <row r="194" customFormat="false" ht="15" hidden="false" customHeight="false" outlineLevel="0" collapsed="false">
      <c r="A194" s="12" t="s">
        <v>541</v>
      </c>
      <c r="B194" s="12" t="s">
        <v>299</v>
      </c>
      <c r="C194" s="12" t="s">
        <v>351</v>
      </c>
      <c r="D194" s="12" t="s">
        <v>352</v>
      </c>
      <c r="E194" s="12" t="s">
        <v>140</v>
      </c>
      <c r="F194" s="12" t="n">
        <v>1</v>
      </c>
      <c r="G194" s="12" t="n">
        <v>0</v>
      </c>
      <c r="H194" s="13" t="str">
        <f aca="false">IF(G194=F194,"PASS","OPEN")</f>
        <v>OPEN</v>
      </c>
    </row>
    <row r="195" customFormat="false" ht="15" hidden="false" customHeight="false" outlineLevel="0" collapsed="false">
      <c r="A195" s="12" t="s">
        <v>542</v>
      </c>
      <c r="B195" s="12" t="s">
        <v>299</v>
      </c>
      <c r="C195" s="12" t="s">
        <v>354</v>
      </c>
      <c r="D195" s="12" t="s">
        <v>355</v>
      </c>
      <c r="E195" s="12" t="s">
        <v>140</v>
      </c>
      <c r="F195" s="12" t="n">
        <v>1</v>
      </c>
      <c r="G195" s="12" t="n">
        <v>0</v>
      </c>
      <c r="H195" s="13" t="str">
        <f aca="false">IF(G195=F195,"PASS","OPEN")</f>
        <v>OPEN</v>
      </c>
    </row>
    <row r="196" customFormat="false" ht="15" hidden="false" customHeight="false" outlineLevel="0" collapsed="false">
      <c r="A196" s="12" t="s">
        <v>543</v>
      </c>
      <c r="B196" s="12" t="s">
        <v>299</v>
      </c>
      <c r="C196" s="12" t="s">
        <v>357</v>
      </c>
      <c r="D196" s="12" t="s">
        <v>358</v>
      </c>
      <c r="E196" s="12" t="s">
        <v>140</v>
      </c>
      <c r="F196" s="12" t="n">
        <v>1</v>
      </c>
      <c r="G196" s="12" t="n">
        <v>0</v>
      </c>
      <c r="H196" s="13" t="str">
        <f aca="false">IF(G196=F196,"PASS","OPEN")</f>
        <v>OPEN</v>
      </c>
    </row>
    <row r="197" customFormat="false" ht="15" hidden="false" customHeight="false" outlineLevel="0" collapsed="false">
      <c r="A197" s="12" t="s">
        <v>544</v>
      </c>
      <c r="B197" s="12" t="s">
        <v>299</v>
      </c>
      <c r="C197" s="12" t="s">
        <v>360</v>
      </c>
      <c r="D197" s="12" t="s">
        <v>361</v>
      </c>
      <c r="E197" s="12" t="s">
        <v>362</v>
      </c>
      <c r="F197" s="12" t="n">
        <v>1</v>
      </c>
      <c r="G197" s="12" t="n">
        <v>1</v>
      </c>
      <c r="H197" s="13" t="str">
        <f aca="false">IF(G197=F197,"PASS","OPEN")</f>
        <v>PASS</v>
      </c>
    </row>
    <row r="198" customFormat="false" ht="15" hidden="false" customHeight="false" outlineLevel="0" collapsed="false">
      <c r="A198" s="12" t="s">
        <v>545</v>
      </c>
      <c r="B198" s="12" t="s">
        <v>299</v>
      </c>
      <c r="C198" s="12" t="s">
        <v>364</v>
      </c>
      <c r="D198" s="12" t="s">
        <v>365</v>
      </c>
      <c r="E198" s="12" t="s">
        <v>362</v>
      </c>
      <c r="F198" s="12" t="n">
        <v>1</v>
      </c>
      <c r="G198" s="12" t="n">
        <v>1</v>
      </c>
      <c r="H198" s="13" t="str">
        <f aca="false">IF(G198=F198,"PASS","OPEN")</f>
        <v>PASS</v>
      </c>
    </row>
    <row r="199" customFormat="false" ht="15" hidden="false" customHeight="false" outlineLevel="0" collapsed="false">
      <c r="A199" s="12" t="s">
        <v>546</v>
      </c>
      <c r="B199" s="12" t="s">
        <v>302</v>
      </c>
      <c r="C199" s="12" t="s">
        <v>329</v>
      </c>
      <c r="D199" s="12" t="s">
        <v>330</v>
      </c>
      <c r="E199" s="12" t="s">
        <v>140</v>
      </c>
      <c r="F199" s="12" t="n">
        <v>1</v>
      </c>
      <c r="G199" s="12" t="n">
        <v>0</v>
      </c>
      <c r="H199" s="13" t="str">
        <f aca="false">IF(G199=F199,"PASS","OPEN")</f>
        <v>OPEN</v>
      </c>
    </row>
    <row r="200" customFormat="false" ht="15" hidden="false" customHeight="false" outlineLevel="0" collapsed="false">
      <c r="A200" s="12" t="s">
        <v>547</v>
      </c>
      <c r="B200" s="12" t="s">
        <v>302</v>
      </c>
      <c r="C200" s="12" t="s">
        <v>332</v>
      </c>
      <c r="D200" s="12" t="s">
        <v>333</v>
      </c>
      <c r="E200" s="12" t="s">
        <v>140</v>
      </c>
      <c r="F200" s="12" t="n">
        <v>1</v>
      </c>
      <c r="G200" s="12" t="n">
        <v>0</v>
      </c>
      <c r="H200" s="13" t="str">
        <f aca="false">IF(G200=F200,"PASS","OPEN")</f>
        <v>OPEN</v>
      </c>
    </row>
    <row r="201" customFormat="false" ht="15" hidden="false" customHeight="false" outlineLevel="0" collapsed="false">
      <c r="A201" s="12" t="s">
        <v>548</v>
      </c>
      <c r="B201" s="12" t="s">
        <v>302</v>
      </c>
      <c r="C201" s="12" t="s">
        <v>335</v>
      </c>
      <c r="D201" s="12" t="s">
        <v>336</v>
      </c>
      <c r="E201" s="12" t="s">
        <v>140</v>
      </c>
      <c r="F201" s="12" t="n">
        <v>1</v>
      </c>
      <c r="G201" s="12" t="n">
        <v>0</v>
      </c>
      <c r="H201" s="13" t="str">
        <f aca="false">IF(G201=F201,"PASS","OPEN")</f>
        <v>OPEN</v>
      </c>
    </row>
    <row r="202" customFormat="false" ht="15" hidden="false" customHeight="false" outlineLevel="0" collapsed="false">
      <c r="A202" s="12" t="s">
        <v>549</v>
      </c>
      <c r="B202" s="12" t="s">
        <v>302</v>
      </c>
      <c r="C202" s="12" t="s">
        <v>338</v>
      </c>
      <c r="D202" s="12" t="s">
        <v>339</v>
      </c>
      <c r="E202" s="12" t="s">
        <v>140</v>
      </c>
      <c r="F202" s="12" t="n">
        <v>1</v>
      </c>
      <c r="G202" s="12" t="n">
        <v>0</v>
      </c>
      <c r="H202" s="13" t="str">
        <f aca="false">IF(G202=F202,"PASS","OPEN")</f>
        <v>OPEN</v>
      </c>
    </row>
    <row r="203" customFormat="false" ht="15" hidden="false" customHeight="false" outlineLevel="0" collapsed="false">
      <c r="A203" s="12" t="s">
        <v>550</v>
      </c>
      <c r="B203" s="12" t="s">
        <v>302</v>
      </c>
      <c r="C203" s="12" t="s">
        <v>341</v>
      </c>
      <c r="D203" s="12" t="s">
        <v>342</v>
      </c>
      <c r="E203" s="12" t="s">
        <v>140</v>
      </c>
      <c r="F203" s="12" t="n">
        <v>1</v>
      </c>
      <c r="G203" s="12" t="n">
        <v>0</v>
      </c>
      <c r="H203" s="13" t="str">
        <f aca="false">IF(G203=F203,"PASS","OPEN")</f>
        <v>OPEN</v>
      </c>
    </row>
    <row r="204" customFormat="false" ht="15" hidden="false" customHeight="false" outlineLevel="0" collapsed="false">
      <c r="A204" s="12" t="s">
        <v>551</v>
      </c>
      <c r="B204" s="12" t="s">
        <v>302</v>
      </c>
      <c r="C204" s="12" t="s">
        <v>344</v>
      </c>
      <c r="D204" s="12" t="s">
        <v>345</v>
      </c>
      <c r="E204" s="12" t="s">
        <v>346</v>
      </c>
      <c r="F204" s="12" t="n">
        <v>1</v>
      </c>
      <c r="G204" s="12" t="n">
        <v>0</v>
      </c>
      <c r="H204" s="13" t="str">
        <f aca="false">IF(G204=F204,"PASS","OPEN")</f>
        <v>OPEN</v>
      </c>
    </row>
    <row r="205" customFormat="false" ht="15" hidden="false" customHeight="false" outlineLevel="0" collapsed="false">
      <c r="A205" s="12" t="s">
        <v>552</v>
      </c>
      <c r="B205" s="12" t="s">
        <v>302</v>
      </c>
      <c r="C205" s="12" t="s">
        <v>348</v>
      </c>
      <c r="D205" s="12" t="s">
        <v>349</v>
      </c>
      <c r="E205" s="12" t="s">
        <v>140</v>
      </c>
      <c r="F205" s="12" t="n">
        <v>1</v>
      </c>
      <c r="G205" s="12" t="n">
        <v>0</v>
      </c>
      <c r="H205" s="13" t="str">
        <f aca="false">IF(G205=F205,"PASS","OPEN")</f>
        <v>OPEN</v>
      </c>
    </row>
    <row r="206" customFormat="false" ht="15" hidden="false" customHeight="false" outlineLevel="0" collapsed="false">
      <c r="A206" s="12" t="s">
        <v>553</v>
      </c>
      <c r="B206" s="12" t="s">
        <v>302</v>
      </c>
      <c r="C206" s="12" t="s">
        <v>351</v>
      </c>
      <c r="D206" s="12" t="s">
        <v>352</v>
      </c>
      <c r="E206" s="12" t="s">
        <v>140</v>
      </c>
      <c r="F206" s="12" t="n">
        <v>1</v>
      </c>
      <c r="G206" s="12" t="n">
        <v>0</v>
      </c>
      <c r="H206" s="13" t="str">
        <f aca="false">IF(G206=F206,"PASS","OPEN")</f>
        <v>OPEN</v>
      </c>
    </row>
    <row r="207" customFormat="false" ht="15" hidden="false" customHeight="false" outlineLevel="0" collapsed="false">
      <c r="A207" s="12" t="s">
        <v>554</v>
      </c>
      <c r="B207" s="12" t="s">
        <v>302</v>
      </c>
      <c r="C207" s="12" t="s">
        <v>354</v>
      </c>
      <c r="D207" s="12" t="s">
        <v>355</v>
      </c>
      <c r="E207" s="12" t="s">
        <v>140</v>
      </c>
      <c r="F207" s="12" t="n">
        <v>1</v>
      </c>
      <c r="G207" s="12" t="n">
        <v>0</v>
      </c>
      <c r="H207" s="13" t="str">
        <f aca="false">IF(G207=F207,"PASS","OPEN")</f>
        <v>OPEN</v>
      </c>
    </row>
    <row r="208" customFormat="false" ht="15" hidden="false" customHeight="false" outlineLevel="0" collapsed="false">
      <c r="A208" s="12" t="s">
        <v>555</v>
      </c>
      <c r="B208" s="12" t="s">
        <v>302</v>
      </c>
      <c r="C208" s="12" t="s">
        <v>357</v>
      </c>
      <c r="D208" s="12" t="s">
        <v>358</v>
      </c>
      <c r="E208" s="12" t="s">
        <v>140</v>
      </c>
      <c r="F208" s="12" t="n">
        <v>1</v>
      </c>
      <c r="G208" s="12" t="n">
        <v>0</v>
      </c>
      <c r="H208" s="13" t="str">
        <f aca="false">IF(G208=F208,"PASS","OPEN")</f>
        <v>OPEN</v>
      </c>
    </row>
    <row r="209" customFormat="false" ht="15" hidden="false" customHeight="false" outlineLevel="0" collapsed="false">
      <c r="A209" s="12" t="s">
        <v>556</v>
      </c>
      <c r="B209" s="12" t="s">
        <v>302</v>
      </c>
      <c r="C209" s="12" t="s">
        <v>360</v>
      </c>
      <c r="D209" s="12" t="s">
        <v>361</v>
      </c>
      <c r="E209" s="12" t="s">
        <v>362</v>
      </c>
      <c r="F209" s="12" t="n">
        <v>1</v>
      </c>
      <c r="G209" s="12" t="n">
        <v>1</v>
      </c>
      <c r="H209" s="13" t="str">
        <f aca="false">IF(G209=F209,"PASS","OPEN")</f>
        <v>PASS</v>
      </c>
    </row>
    <row r="210" customFormat="false" ht="15" hidden="false" customHeight="false" outlineLevel="0" collapsed="false">
      <c r="A210" s="12" t="s">
        <v>557</v>
      </c>
      <c r="B210" s="12" t="s">
        <v>302</v>
      </c>
      <c r="C210" s="12" t="s">
        <v>364</v>
      </c>
      <c r="D210" s="12" t="s">
        <v>365</v>
      </c>
      <c r="E210" s="12" t="s">
        <v>362</v>
      </c>
      <c r="F210" s="12" t="n">
        <v>1</v>
      </c>
      <c r="G210" s="12" t="n">
        <v>1</v>
      </c>
      <c r="H210" s="13" t="str">
        <f aca="false">IF(G210=F210,"PASS","OPEN")</f>
        <v>PASS</v>
      </c>
    </row>
    <row r="211" customFormat="false" ht="15" hidden="false" customHeight="false" outlineLevel="0" collapsed="false">
      <c r="A211" s="12" t="s">
        <v>558</v>
      </c>
      <c r="B211" s="12" t="s">
        <v>303</v>
      </c>
      <c r="C211" s="12" t="s">
        <v>329</v>
      </c>
      <c r="D211" s="12" t="s">
        <v>330</v>
      </c>
      <c r="E211" s="12" t="s">
        <v>140</v>
      </c>
      <c r="F211" s="12" t="n">
        <v>1</v>
      </c>
      <c r="G211" s="12" t="n">
        <v>0</v>
      </c>
      <c r="H211" s="13" t="str">
        <f aca="false">IF(G211=F211,"PASS","OPEN")</f>
        <v>OPEN</v>
      </c>
    </row>
    <row r="212" customFormat="false" ht="15" hidden="false" customHeight="false" outlineLevel="0" collapsed="false">
      <c r="A212" s="12" t="s">
        <v>559</v>
      </c>
      <c r="B212" s="12" t="s">
        <v>303</v>
      </c>
      <c r="C212" s="12" t="s">
        <v>332</v>
      </c>
      <c r="D212" s="12" t="s">
        <v>333</v>
      </c>
      <c r="E212" s="12" t="s">
        <v>140</v>
      </c>
      <c r="F212" s="12" t="n">
        <v>1</v>
      </c>
      <c r="G212" s="12" t="n">
        <v>0</v>
      </c>
      <c r="H212" s="13" t="str">
        <f aca="false">IF(G212=F212,"PASS","OPEN")</f>
        <v>OPEN</v>
      </c>
    </row>
    <row r="213" customFormat="false" ht="15" hidden="false" customHeight="false" outlineLevel="0" collapsed="false">
      <c r="A213" s="12" t="s">
        <v>560</v>
      </c>
      <c r="B213" s="12" t="s">
        <v>303</v>
      </c>
      <c r="C213" s="12" t="s">
        <v>335</v>
      </c>
      <c r="D213" s="12" t="s">
        <v>336</v>
      </c>
      <c r="E213" s="12" t="s">
        <v>140</v>
      </c>
      <c r="F213" s="12" t="n">
        <v>1</v>
      </c>
      <c r="G213" s="12" t="n">
        <v>0</v>
      </c>
      <c r="H213" s="13" t="str">
        <f aca="false">IF(G213=F213,"PASS","OPEN")</f>
        <v>OPEN</v>
      </c>
    </row>
    <row r="214" customFormat="false" ht="15" hidden="false" customHeight="false" outlineLevel="0" collapsed="false">
      <c r="A214" s="12" t="s">
        <v>561</v>
      </c>
      <c r="B214" s="12" t="s">
        <v>303</v>
      </c>
      <c r="C214" s="12" t="s">
        <v>338</v>
      </c>
      <c r="D214" s="12" t="s">
        <v>339</v>
      </c>
      <c r="E214" s="12" t="s">
        <v>140</v>
      </c>
      <c r="F214" s="12" t="n">
        <v>1</v>
      </c>
      <c r="G214" s="12" t="n">
        <v>0</v>
      </c>
      <c r="H214" s="13" t="str">
        <f aca="false">IF(G214=F214,"PASS","OPEN")</f>
        <v>OPEN</v>
      </c>
    </row>
    <row r="215" customFormat="false" ht="15" hidden="false" customHeight="false" outlineLevel="0" collapsed="false">
      <c r="A215" s="12" t="s">
        <v>562</v>
      </c>
      <c r="B215" s="12" t="s">
        <v>303</v>
      </c>
      <c r="C215" s="12" t="s">
        <v>341</v>
      </c>
      <c r="D215" s="12" t="s">
        <v>342</v>
      </c>
      <c r="E215" s="12" t="s">
        <v>140</v>
      </c>
      <c r="F215" s="12" t="n">
        <v>1</v>
      </c>
      <c r="G215" s="12" t="n">
        <v>0</v>
      </c>
      <c r="H215" s="13" t="str">
        <f aca="false">IF(G215=F215,"PASS","OPEN")</f>
        <v>OPEN</v>
      </c>
    </row>
    <row r="216" customFormat="false" ht="15" hidden="false" customHeight="false" outlineLevel="0" collapsed="false">
      <c r="A216" s="12" t="s">
        <v>563</v>
      </c>
      <c r="B216" s="12" t="s">
        <v>303</v>
      </c>
      <c r="C216" s="12" t="s">
        <v>344</v>
      </c>
      <c r="D216" s="12" t="s">
        <v>345</v>
      </c>
      <c r="E216" s="12" t="s">
        <v>346</v>
      </c>
      <c r="F216" s="12" t="n">
        <v>1</v>
      </c>
      <c r="G216" s="12" t="n">
        <v>0</v>
      </c>
      <c r="H216" s="13" t="str">
        <f aca="false">IF(G216=F216,"PASS","OPEN")</f>
        <v>OPEN</v>
      </c>
    </row>
    <row r="217" customFormat="false" ht="15" hidden="false" customHeight="false" outlineLevel="0" collapsed="false">
      <c r="A217" s="12" t="s">
        <v>564</v>
      </c>
      <c r="B217" s="12" t="s">
        <v>303</v>
      </c>
      <c r="C217" s="12" t="s">
        <v>348</v>
      </c>
      <c r="D217" s="12" t="s">
        <v>349</v>
      </c>
      <c r="E217" s="12" t="s">
        <v>140</v>
      </c>
      <c r="F217" s="12" t="n">
        <v>1</v>
      </c>
      <c r="G217" s="12" t="n">
        <v>0</v>
      </c>
      <c r="H217" s="13" t="str">
        <f aca="false">IF(G217=F217,"PASS","OPEN")</f>
        <v>OPEN</v>
      </c>
    </row>
    <row r="218" customFormat="false" ht="15" hidden="false" customHeight="false" outlineLevel="0" collapsed="false">
      <c r="A218" s="12" t="s">
        <v>565</v>
      </c>
      <c r="B218" s="12" t="s">
        <v>303</v>
      </c>
      <c r="C218" s="12" t="s">
        <v>351</v>
      </c>
      <c r="D218" s="12" t="s">
        <v>352</v>
      </c>
      <c r="E218" s="12" t="s">
        <v>140</v>
      </c>
      <c r="F218" s="12" t="n">
        <v>1</v>
      </c>
      <c r="G218" s="12" t="n">
        <v>0</v>
      </c>
      <c r="H218" s="13" t="str">
        <f aca="false">IF(G218=F218,"PASS","OPEN")</f>
        <v>OPEN</v>
      </c>
    </row>
    <row r="219" customFormat="false" ht="15" hidden="false" customHeight="false" outlineLevel="0" collapsed="false">
      <c r="A219" s="12" t="s">
        <v>566</v>
      </c>
      <c r="B219" s="12" t="s">
        <v>303</v>
      </c>
      <c r="C219" s="12" t="s">
        <v>354</v>
      </c>
      <c r="D219" s="12" t="s">
        <v>355</v>
      </c>
      <c r="E219" s="12" t="s">
        <v>140</v>
      </c>
      <c r="F219" s="12" t="n">
        <v>1</v>
      </c>
      <c r="G219" s="12" t="n">
        <v>0</v>
      </c>
      <c r="H219" s="13" t="str">
        <f aca="false">IF(G219=F219,"PASS","OPEN")</f>
        <v>OPEN</v>
      </c>
    </row>
    <row r="220" customFormat="false" ht="15" hidden="false" customHeight="false" outlineLevel="0" collapsed="false">
      <c r="A220" s="12" t="s">
        <v>567</v>
      </c>
      <c r="B220" s="12" t="s">
        <v>303</v>
      </c>
      <c r="C220" s="12" t="s">
        <v>357</v>
      </c>
      <c r="D220" s="12" t="s">
        <v>358</v>
      </c>
      <c r="E220" s="12" t="s">
        <v>140</v>
      </c>
      <c r="F220" s="12" t="n">
        <v>1</v>
      </c>
      <c r="G220" s="12" t="n">
        <v>0</v>
      </c>
      <c r="H220" s="13" t="str">
        <f aca="false">IF(G220=F220,"PASS","OPEN")</f>
        <v>OPEN</v>
      </c>
    </row>
    <row r="221" customFormat="false" ht="15" hidden="false" customHeight="false" outlineLevel="0" collapsed="false">
      <c r="A221" s="12" t="s">
        <v>568</v>
      </c>
      <c r="B221" s="12" t="s">
        <v>303</v>
      </c>
      <c r="C221" s="12" t="s">
        <v>360</v>
      </c>
      <c r="D221" s="12" t="s">
        <v>361</v>
      </c>
      <c r="E221" s="12" t="s">
        <v>362</v>
      </c>
      <c r="F221" s="12" t="n">
        <v>1</v>
      </c>
      <c r="G221" s="12" t="n">
        <v>1</v>
      </c>
      <c r="H221" s="13" t="str">
        <f aca="false">IF(G221=F221,"PASS","OPEN")</f>
        <v>PASS</v>
      </c>
    </row>
    <row r="222" customFormat="false" ht="15" hidden="false" customHeight="false" outlineLevel="0" collapsed="false">
      <c r="A222" s="12" t="s">
        <v>569</v>
      </c>
      <c r="B222" s="12" t="s">
        <v>303</v>
      </c>
      <c r="C222" s="12" t="s">
        <v>364</v>
      </c>
      <c r="D222" s="12" t="s">
        <v>365</v>
      </c>
      <c r="E222" s="12" t="s">
        <v>362</v>
      </c>
      <c r="F222" s="12" t="n">
        <v>1</v>
      </c>
      <c r="G222" s="12" t="n">
        <v>1</v>
      </c>
      <c r="H222" s="13" t="str">
        <f aca="false">IF(G222=F222,"PASS","OPEN")</f>
        <v>PASS</v>
      </c>
    </row>
    <row r="223" customFormat="false" ht="15" hidden="false" customHeight="false" outlineLevel="0" collapsed="false">
      <c r="A223" s="12" t="s">
        <v>570</v>
      </c>
      <c r="B223" s="12" t="s">
        <v>304</v>
      </c>
      <c r="C223" s="12" t="s">
        <v>329</v>
      </c>
      <c r="D223" s="12" t="s">
        <v>330</v>
      </c>
      <c r="E223" s="12" t="s">
        <v>140</v>
      </c>
      <c r="F223" s="12" t="n">
        <v>1</v>
      </c>
      <c r="G223" s="12" t="n">
        <v>0</v>
      </c>
      <c r="H223" s="13" t="str">
        <f aca="false">IF(G223=F223,"PASS","OPEN")</f>
        <v>OPEN</v>
      </c>
    </row>
    <row r="224" customFormat="false" ht="15" hidden="false" customHeight="false" outlineLevel="0" collapsed="false">
      <c r="A224" s="12" t="s">
        <v>571</v>
      </c>
      <c r="B224" s="12" t="s">
        <v>304</v>
      </c>
      <c r="C224" s="12" t="s">
        <v>332</v>
      </c>
      <c r="D224" s="12" t="s">
        <v>333</v>
      </c>
      <c r="E224" s="12" t="s">
        <v>140</v>
      </c>
      <c r="F224" s="12" t="n">
        <v>1</v>
      </c>
      <c r="G224" s="12" t="n">
        <v>0</v>
      </c>
      <c r="H224" s="13" t="str">
        <f aca="false">IF(G224=F224,"PASS","OPEN")</f>
        <v>OPEN</v>
      </c>
    </row>
    <row r="225" customFormat="false" ht="15" hidden="false" customHeight="false" outlineLevel="0" collapsed="false">
      <c r="A225" s="12" t="s">
        <v>572</v>
      </c>
      <c r="B225" s="12" t="s">
        <v>304</v>
      </c>
      <c r="C225" s="12" t="s">
        <v>335</v>
      </c>
      <c r="D225" s="12" t="s">
        <v>336</v>
      </c>
      <c r="E225" s="12" t="s">
        <v>140</v>
      </c>
      <c r="F225" s="12" t="n">
        <v>1</v>
      </c>
      <c r="G225" s="12" t="n">
        <v>0</v>
      </c>
      <c r="H225" s="13" t="str">
        <f aca="false">IF(G225=F225,"PASS","OPEN")</f>
        <v>OPEN</v>
      </c>
    </row>
    <row r="226" customFormat="false" ht="15" hidden="false" customHeight="false" outlineLevel="0" collapsed="false">
      <c r="A226" s="12" t="s">
        <v>573</v>
      </c>
      <c r="B226" s="12" t="s">
        <v>304</v>
      </c>
      <c r="C226" s="12" t="s">
        <v>338</v>
      </c>
      <c r="D226" s="12" t="s">
        <v>339</v>
      </c>
      <c r="E226" s="12" t="s">
        <v>140</v>
      </c>
      <c r="F226" s="12" t="n">
        <v>1</v>
      </c>
      <c r="G226" s="12" t="n">
        <v>0</v>
      </c>
      <c r="H226" s="13" t="str">
        <f aca="false">IF(G226=F226,"PASS","OPEN")</f>
        <v>OPEN</v>
      </c>
    </row>
    <row r="227" customFormat="false" ht="15" hidden="false" customHeight="false" outlineLevel="0" collapsed="false">
      <c r="A227" s="12" t="s">
        <v>574</v>
      </c>
      <c r="B227" s="12" t="s">
        <v>304</v>
      </c>
      <c r="C227" s="12" t="s">
        <v>341</v>
      </c>
      <c r="D227" s="12" t="s">
        <v>342</v>
      </c>
      <c r="E227" s="12" t="s">
        <v>140</v>
      </c>
      <c r="F227" s="12" t="n">
        <v>1</v>
      </c>
      <c r="G227" s="12" t="n">
        <v>0</v>
      </c>
      <c r="H227" s="13" t="str">
        <f aca="false">IF(G227=F227,"PASS","OPEN")</f>
        <v>OPEN</v>
      </c>
    </row>
    <row r="228" customFormat="false" ht="15" hidden="false" customHeight="false" outlineLevel="0" collapsed="false">
      <c r="A228" s="12" t="s">
        <v>575</v>
      </c>
      <c r="B228" s="12" t="s">
        <v>304</v>
      </c>
      <c r="C228" s="12" t="s">
        <v>344</v>
      </c>
      <c r="D228" s="12" t="s">
        <v>345</v>
      </c>
      <c r="E228" s="12" t="s">
        <v>346</v>
      </c>
      <c r="F228" s="12" t="n">
        <v>1</v>
      </c>
      <c r="G228" s="12" t="n">
        <v>0</v>
      </c>
      <c r="H228" s="13" t="str">
        <f aca="false">IF(G228=F228,"PASS","OPEN")</f>
        <v>OPEN</v>
      </c>
    </row>
    <row r="229" customFormat="false" ht="15" hidden="false" customHeight="false" outlineLevel="0" collapsed="false">
      <c r="A229" s="12" t="s">
        <v>576</v>
      </c>
      <c r="B229" s="12" t="s">
        <v>304</v>
      </c>
      <c r="C229" s="12" t="s">
        <v>348</v>
      </c>
      <c r="D229" s="12" t="s">
        <v>349</v>
      </c>
      <c r="E229" s="12" t="s">
        <v>140</v>
      </c>
      <c r="F229" s="12" t="n">
        <v>1</v>
      </c>
      <c r="G229" s="12" t="n">
        <v>0</v>
      </c>
      <c r="H229" s="13" t="str">
        <f aca="false">IF(G229=F229,"PASS","OPEN")</f>
        <v>OPEN</v>
      </c>
    </row>
    <row r="230" customFormat="false" ht="15" hidden="false" customHeight="false" outlineLevel="0" collapsed="false">
      <c r="A230" s="12" t="s">
        <v>577</v>
      </c>
      <c r="B230" s="12" t="s">
        <v>304</v>
      </c>
      <c r="C230" s="12" t="s">
        <v>351</v>
      </c>
      <c r="D230" s="12" t="s">
        <v>352</v>
      </c>
      <c r="E230" s="12" t="s">
        <v>140</v>
      </c>
      <c r="F230" s="12" t="n">
        <v>1</v>
      </c>
      <c r="G230" s="12" t="n">
        <v>0</v>
      </c>
      <c r="H230" s="13" t="str">
        <f aca="false">IF(G230=F230,"PASS","OPEN")</f>
        <v>OPEN</v>
      </c>
    </row>
    <row r="231" customFormat="false" ht="15" hidden="false" customHeight="false" outlineLevel="0" collapsed="false">
      <c r="A231" s="12" t="s">
        <v>578</v>
      </c>
      <c r="B231" s="12" t="s">
        <v>304</v>
      </c>
      <c r="C231" s="12" t="s">
        <v>354</v>
      </c>
      <c r="D231" s="12" t="s">
        <v>355</v>
      </c>
      <c r="E231" s="12" t="s">
        <v>140</v>
      </c>
      <c r="F231" s="12" t="n">
        <v>1</v>
      </c>
      <c r="G231" s="12" t="n">
        <v>0</v>
      </c>
      <c r="H231" s="13" t="str">
        <f aca="false">IF(G231=F231,"PASS","OPEN")</f>
        <v>OPEN</v>
      </c>
    </row>
    <row r="232" customFormat="false" ht="15" hidden="false" customHeight="false" outlineLevel="0" collapsed="false">
      <c r="A232" s="12" t="s">
        <v>579</v>
      </c>
      <c r="B232" s="12" t="s">
        <v>304</v>
      </c>
      <c r="C232" s="12" t="s">
        <v>357</v>
      </c>
      <c r="D232" s="12" t="s">
        <v>358</v>
      </c>
      <c r="E232" s="12" t="s">
        <v>140</v>
      </c>
      <c r="F232" s="12" t="n">
        <v>1</v>
      </c>
      <c r="G232" s="12" t="n">
        <v>0</v>
      </c>
      <c r="H232" s="13" t="str">
        <f aca="false">IF(G232=F232,"PASS","OPEN")</f>
        <v>OPEN</v>
      </c>
    </row>
    <row r="233" customFormat="false" ht="15" hidden="false" customHeight="false" outlineLevel="0" collapsed="false">
      <c r="A233" s="12" t="s">
        <v>580</v>
      </c>
      <c r="B233" s="12" t="s">
        <v>304</v>
      </c>
      <c r="C233" s="12" t="s">
        <v>360</v>
      </c>
      <c r="D233" s="12" t="s">
        <v>361</v>
      </c>
      <c r="E233" s="12" t="s">
        <v>362</v>
      </c>
      <c r="F233" s="12" t="n">
        <v>1</v>
      </c>
      <c r="G233" s="12" t="n">
        <v>1</v>
      </c>
      <c r="H233" s="13" t="str">
        <f aca="false">IF(G233=F233,"PASS","OPEN")</f>
        <v>PASS</v>
      </c>
    </row>
    <row r="234" customFormat="false" ht="15" hidden="false" customHeight="false" outlineLevel="0" collapsed="false">
      <c r="A234" s="12" t="s">
        <v>581</v>
      </c>
      <c r="B234" s="12" t="s">
        <v>304</v>
      </c>
      <c r="C234" s="12" t="s">
        <v>364</v>
      </c>
      <c r="D234" s="12" t="s">
        <v>365</v>
      </c>
      <c r="E234" s="12" t="s">
        <v>362</v>
      </c>
      <c r="F234" s="12" t="n">
        <v>1</v>
      </c>
      <c r="G234" s="12" t="n">
        <v>1</v>
      </c>
      <c r="H234" s="13" t="str">
        <f aca="false">IF(G234=F234,"PASS","OPEN")</f>
        <v>PASS</v>
      </c>
    </row>
    <row r="235" customFormat="false" ht="15" hidden="false" customHeight="false" outlineLevel="0" collapsed="false">
      <c r="A235" s="12" t="s">
        <v>582</v>
      </c>
      <c r="B235" s="12" t="s">
        <v>305</v>
      </c>
      <c r="C235" s="12" t="s">
        <v>329</v>
      </c>
      <c r="D235" s="12" t="s">
        <v>330</v>
      </c>
      <c r="E235" s="12" t="s">
        <v>140</v>
      </c>
      <c r="F235" s="12" t="n">
        <v>1</v>
      </c>
      <c r="G235" s="12" t="n">
        <v>0</v>
      </c>
      <c r="H235" s="13" t="str">
        <f aca="false">IF(G235=F235,"PASS","OPEN")</f>
        <v>OPEN</v>
      </c>
    </row>
    <row r="236" customFormat="false" ht="15" hidden="false" customHeight="false" outlineLevel="0" collapsed="false">
      <c r="A236" s="12" t="s">
        <v>583</v>
      </c>
      <c r="B236" s="12" t="s">
        <v>305</v>
      </c>
      <c r="C236" s="12" t="s">
        <v>332</v>
      </c>
      <c r="D236" s="12" t="s">
        <v>333</v>
      </c>
      <c r="E236" s="12" t="s">
        <v>140</v>
      </c>
      <c r="F236" s="12" t="n">
        <v>1</v>
      </c>
      <c r="G236" s="12" t="n">
        <v>0</v>
      </c>
      <c r="H236" s="13" t="str">
        <f aca="false">IF(G236=F236,"PASS","OPEN")</f>
        <v>OPEN</v>
      </c>
    </row>
    <row r="237" customFormat="false" ht="15" hidden="false" customHeight="false" outlineLevel="0" collapsed="false">
      <c r="A237" s="12" t="s">
        <v>584</v>
      </c>
      <c r="B237" s="12" t="s">
        <v>305</v>
      </c>
      <c r="C237" s="12" t="s">
        <v>335</v>
      </c>
      <c r="D237" s="12" t="s">
        <v>336</v>
      </c>
      <c r="E237" s="12" t="s">
        <v>140</v>
      </c>
      <c r="F237" s="12" t="n">
        <v>1</v>
      </c>
      <c r="G237" s="12" t="n">
        <v>0</v>
      </c>
      <c r="H237" s="13" t="str">
        <f aca="false">IF(G237=F237,"PASS","OPEN")</f>
        <v>OPEN</v>
      </c>
    </row>
    <row r="238" customFormat="false" ht="15" hidden="false" customHeight="false" outlineLevel="0" collapsed="false">
      <c r="A238" s="12" t="s">
        <v>585</v>
      </c>
      <c r="B238" s="12" t="s">
        <v>305</v>
      </c>
      <c r="C238" s="12" t="s">
        <v>338</v>
      </c>
      <c r="D238" s="12" t="s">
        <v>339</v>
      </c>
      <c r="E238" s="12" t="s">
        <v>140</v>
      </c>
      <c r="F238" s="12" t="n">
        <v>1</v>
      </c>
      <c r="G238" s="12" t="n">
        <v>0</v>
      </c>
      <c r="H238" s="13" t="str">
        <f aca="false">IF(G238=F238,"PASS","OPEN")</f>
        <v>OPEN</v>
      </c>
    </row>
    <row r="239" customFormat="false" ht="15" hidden="false" customHeight="false" outlineLevel="0" collapsed="false">
      <c r="A239" s="12" t="s">
        <v>586</v>
      </c>
      <c r="B239" s="12" t="s">
        <v>305</v>
      </c>
      <c r="C239" s="12" t="s">
        <v>341</v>
      </c>
      <c r="D239" s="12" t="s">
        <v>342</v>
      </c>
      <c r="E239" s="12" t="s">
        <v>140</v>
      </c>
      <c r="F239" s="12" t="n">
        <v>1</v>
      </c>
      <c r="G239" s="12" t="n">
        <v>0</v>
      </c>
      <c r="H239" s="13" t="str">
        <f aca="false">IF(G239=F239,"PASS","OPEN")</f>
        <v>OPEN</v>
      </c>
    </row>
    <row r="240" customFormat="false" ht="15" hidden="false" customHeight="false" outlineLevel="0" collapsed="false">
      <c r="A240" s="12" t="s">
        <v>587</v>
      </c>
      <c r="B240" s="12" t="s">
        <v>305</v>
      </c>
      <c r="C240" s="12" t="s">
        <v>344</v>
      </c>
      <c r="D240" s="12" t="s">
        <v>345</v>
      </c>
      <c r="E240" s="12" t="s">
        <v>346</v>
      </c>
      <c r="F240" s="12" t="n">
        <v>1</v>
      </c>
      <c r="G240" s="12" t="n">
        <v>0</v>
      </c>
      <c r="H240" s="13" t="str">
        <f aca="false">IF(G240=F240,"PASS","OPEN")</f>
        <v>OPEN</v>
      </c>
    </row>
    <row r="241" customFormat="false" ht="15" hidden="false" customHeight="false" outlineLevel="0" collapsed="false">
      <c r="A241" s="12" t="s">
        <v>588</v>
      </c>
      <c r="B241" s="12" t="s">
        <v>305</v>
      </c>
      <c r="C241" s="12" t="s">
        <v>348</v>
      </c>
      <c r="D241" s="12" t="s">
        <v>349</v>
      </c>
      <c r="E241" s="12" t="s">
        <v>140</v>
      </c>
      <c r="F241" s="12" t="n">
        <v>1</v>
      </c>
      <c r="G241" s="12" t="n">
        <v>0</v>
      </c>
      <c r="H241" s="13" t="str">
        <f aca="false">IF(G241=F241,"PASS","OPEN")</f>
        <v>OPEN</v>
      </c>
    </row>
    <row r="242" customFormat="false" ht="15" hidden="false" customHeight="false" outlineLevel="0" collapsed="false">
      <c r="A242" s="12" t="s">
        <v>589</v>
      </c>
      <c r="B242" s="12" t="s">
        <v>305</v>
      </c>
      <c r="C242" s="12" t="s">
        <v>351</v>
      </c>
      <c r="D242" s="12" t="s">
        <v>352</v>
      </c>
      <c r="E242" s="12" t="s">
        <v>140</v>
      </c>
      <c r="F242" s="12" t="n">
        <v>1</v>
      </c>
      <c r="G242" s="12" t="n">
        <v>0</v>
      </c>
      <c r="H242" s="13" t="str">
        <f aca="false">IF(G242=F242,"PASS","OPEN")</f>
        <v>OPEN</v>
      </c>
    </row>
    <row r="243" customFormat="false" ht="15" hidden="false" customHeight="false" outlineLevel="0" collapsed="false">
      <c r="A243" s="12" t="s">
        <v>590</v>
      </c>
      <c r="B243" s="12" t="s">
        <v>305</v>
      </c>
      <c r="C243" s="12" t="s">
        <v>354</v>
      </c>
      <c r="D243" s="12" t="s">
        <v>355</v>
      </c>
      <c r="E243" s="12" t="s">
        <v>140</v>
      </c>
      <c r="F243" s="12" t="n">
        <v>1</v>
      </c>
      <c r="G243" s="12" t="n">
        <v>0</v>
      </c>
      <c r="H243" s="13" t="str">
        <f aca="false">IF(G243=F243,"PASS","OPEN")</f>
        <v>OPEN</v>
      </c>
    </row>
    <row r="244" customFormat="false" ht="15" hidden="false" customHeight="false" outlineLevel="0" collapsed="false">
      <c r="A244" s="12" t="s">
        <v>591</v>
      </c>
      <c r="B244" s="12" t="s">
        <v>305</v>
      </c>
      <c r="C244" s="12" t="s">
        <v>357</v>
      </c>
      <c r="D244" s="12" t="s">
        <v>358</v>
      </c>
      <c r="E244" s="12" t="s">
        <v>140</v>
      </c>
      <c r="F244" s="12" t="n">
        <v>1</v>
      </c>
      <c r="G244" s="12" t="n">
        <v>0</v>
      </c>
      <c r="H244" s="13" t="str">
        <f aca="false">IF(G244=F244,"PASS","OPEN")</f>
        <v>OPEN</v>
      </c>
    </row>
    <row r="245" customFormat="false" ht="15" hidden="false" customHeight="false" outlineLevel="0" collapsed="false">
      <c r="A245" s="12" t="s">
        <v>592</v>
      </c>
      <c r="B245" s="12" t="s">
        <v>305</v>
      </c>
      <c r="C245" s="12" t="s">
        <v>360</v>
      </c>
      <c r="D245" s="12" t="s">
        <v>361</v>
      </c>
      <c r="E245" s="12" t="s">
        <v>362</v>
      </c>
      <c r="F245" s="12" t="n">
        <v>1</v>
      </c>
      <c r="G245" s="12" t="n">
        <v>1</v>
      </c>
      <c r="H245" s="13" t="str">
        <f aca="false">IF(G245=F245,"PASS","OPEN")</f>
        <v>PASS</v>
      </c>
    </row>
    <row r="246" customFormat="false" ht="15" hidden="false" customHeight="false" outlineLevel="0" collapsed="false">
      <c r="A246" s="12" t="s">
        <v>593</v>
      </c>
      <c r="B246" s="12" t="s">
        <v>305</v>
      </c>
      <c r="C246" s="12" t="s">
        <v>364</v>
      </c>
      <c r="D246" s="12" t="s">
        <v>365</v>
      </c>
      <c r="E246" s="12" t="s">
        <v>362</v>
      </c>
      <c r="F246" s="12" t="n">
        <v>1</v>
      </c>
      <c r="G246" s="12" t="n">
        <v>1</v>
      </c>
      <c r="H246" s="13" t="str">
        <f aca="false">IF(G246=F246,"PASS","OPEN")</f>
        <v>PASS</v>
      </c>
    </row>
    <row r="247" customFormat="false" ht="15" hidden="false" customHeight="false" outlineLevel="0" collapsed="false">
      <c r="A247" s="12" t="s">
        <v>594</v>
      </c>
      <c r="B247" s="12" t="s">
        <v>306</v>
      </c>
      <c r="C247" s="12" t="s">
        <v>329</v>
      </c>
      <c r="D247" s="12" t="s">
        <v>330</v>
      </c>
      <c r="E247" s="12" t="s">
        <v>140</v>
      </c>
      <c r="F247" s="12" t="n">
        <v>1</v>
      </c>
      <c r="G247" s="12" t="n">
        <v>0</v>
      </c>
      <c r="H247" s="13" t="str">
        <f aca="false">IF(G247=F247,"PASS","OPEN")</f>
        <v>OPEN</v>
      </c>
    </row>
    <row r="248" customFormat="false" ht="15" hidden="false" customHeight="false" outlineLevel="0" collapsed="false">
      <c r="A248" s="12" t="s">
        <v>595</v>
      </c>
      <c r="B248" s="12" t="s">
        <v>306</v>
      </c>
      <c r="C248" s="12" t="s">
        <v>332</v>
      </c>
      <c r="D248" s="12" t="s">
        <v>333</v>
      </c>
      <c r="E248" s="12" t="s">
        <v>140</v>
      </c>
      <c r="F248" s="12" t="n">
        <v>1</v>
      </c>
      <c r="G248" s="12" t="n">
        <v>0</v>
      </c>
      <c r="H248" s="13" t="str">
        <f aca="false">IF(G248=F248,"PASS","OPEN")</f>
        <v>OPEN</v>
      </c>
    </row>
    <row r="249" customFormat="false" ht="15" hidden="false" customHeight="false" outlineLevel="0" collapsed="false">
      <c r="A249" s="12" t="s">
        <v>596</v>
      </c>
      <c r="B249" s="12" t="s">
        <v>306</v>
      </c>
      <c r="C249" s="12" t="s">
        <v>335</v>
      </c>
      <c r="D249" s="12" t="s">
        <v>336</v>
      </c>
      <c r="E249" s="12" t="s">
        <v>140</v>
      </c>
      <c r="F249" s="12" t="n">
        <v>1</v>
      </c>
      <c r="G249" s="12" t="n">
        <v>0</v>
      </c>
      <c r="H249" s="13" t="str">
        <f aca="false">IF(G249=F249,"PASS","OPEN")</f>
        <v>OPEN</v>
      </c>
    </row>
    <row r="250" customFormat="false" ht="15" hidden="false" customHeight="false" outlineLevel="0" collapsed="false">
      <c r="A250" s="12" t="s">
        <v>597</v>
      </c>
      <c r="B250" s="12" t="s">
        <v>306</v>
      </c>
      <c r="C250" s="12" t="s">
        <v>338</v>
      </c>
      <c r="D250" s="12" t="s">
        <v>339</v>
      </c>
      <c r="E250" s="12" t="s">
        <v>140</v>
      </c>
      <c r="F250" s="12" t="n">
        <v>1</v>
      </c>
      <c r="G250" s="12" t="n">
        <v>0</v>
      </c>
      <c r="H250" s="13" t="str">
        <f aca="false">IF(G250=F250,"PASS","OPEN")</f>
        <v>OPEN</v>
      </c>
    </row>
    <row r="251" customFormat="false" ht="15" hidden="false" customHeight="false" outlineLevel="0" collapsed="false">
      <c r="A251" s="12" t="s">
        <v>598</v>
      </c>
      <c r="B251" s="12" t="s">
        <v>306</v>
      </c>
      <c r="C251" s="12" t="s">
        <v>341</v>
      </c>
      <c r="D251" s="12" t="s">
        <v>342</v>
      </c>
      <c r="E251" s="12" t="s">
        <v>140</v>
      </c>
      <c r="F251" s="12" t="n">
        <v>1</v>
      </c>
      <c r="G251" s="12" t="n">
        <v>0</v>
      </c>
      <c r="H251" s="13" t="str">
        <f aca="false">IF(G251=F251,"PASS","OPEN")</f>
        <v>OPEN</v>
      </c>
    </row>
    <row r="252" customFormat="false" ht="15" hidden="false" customHeight="false" outlineLevel="0" collapsed="false">
      <c r="A252" s="12" t="s">
        <v>599</v>
      </c>
      <c r="B252" s="12" t="s">
        <v>306</v>
      </c>
      <c r="C252" s="12" t="s">
        <v>344</v>
      </c>
      <c r="D252" s="12" t="s">
        <v>345</v>
      </c>
      <c r="E252" s="12" t="s">
        <v>346</v>
      </c>
      <c r="F252" s="12" t="n">
        <v>1</v>
      </c>
      <c r="G252" s="12" t="n">
        <v>0</v>
      </c>
      <c r="H252" s="13" t="str">
        <f aca="false">IF(G252=F252,"PASS","OPEN")</f>
        <v>OPEN</v>
      </c>
    </row>
    <row r="253" customFormat="false" ht="15" hidden="false" customHeight="false" outlineLevel="0" collapsed="false">
      <c r="A253" s="12" t="s">
        <v>600</v>
      </c>
      <c r="B253" s="12" t="s">
        <v>306</v>
      </c>
      <c r="C253" s="12" t="s">
        <v>348</v>
      </c>
      <c r="D253" s="12" t="s">
        <v>349</v>
      </c>
      <c r="E253" s="12" t="s">
        <v>140</v>
      </c>
      <c r="F253" s="12" t="n">
        <v>1</v>
      </c>
      <c r="G253" s="12" t="n">
        <v>0</v>
      </c>
      <c r="H253" s="13" t="str">
        <f aca="false">IF(G253=F253,"PASS","OPEN")</f>
        <v>OPEN</v>
      </c>
    </row>
    <row r="254" customFormat="false" ht="15" hidden="false" customHeight="false" outlineLevel="0" collapsed="false">
      <c r="A254" s="12" t="s">
        <v>601</v>
      </c>
      <c r="B254" s="12" t="s">
        <v>306</v>
      </c>
      <c r="C254" s="12" t="s">
        <v>351</v>
      </c>
      <c r="D254" s="12" t="s">
        <v>352</v>
      </c>
      <c r="E254" s="12" t="s">
        <v>140</v>
      </c>
      <c r="F254" s="12" t="n">
        <v>1</v>
      </c>
      <c r="G254" s="12" t="n">
        <v>0</v>
      </c>
      <c r="H254" s="13" t="str">
        <f aca="false">IF(G254=F254,"PASS","OPEN")</f>
        <v>OPEN</v>
      </c>
    </row>
    <row r="255" customFormat="false" ht="15" hidden="false" customHeight="false" outlineLevel="0" collapsed="false">
      <c r="A255" s="12" t="s">
        <v>602</v>
      </c>
      <c r="B255" s="12" t="s">
        <v>306</v>
      </c>
      <c r="C255" s="12" t="s">
        <v>354</v>
      </c>
      <c r="D255" s="12" t="s">
        <v>355</v>
      </c>
      <c r="E255" s="12" t="s">
        <v>140</v>
      </c>
      <c r="F255" s="12" t="n">
        <v>1</v>
      </c>
      <c r="G255" s="12" t="n">
        <v>0</v>
      </c>
      <c r="H255" s="13" t="str">
        <f aca="false">IF(G255=F255,"PASS","OPEN")</f>
        <v>OPEN</v>
      </c>
    </row>
    <row r="256" customFormat="false" ht="15" hidden="false" customHeight="false" outlineLevel="0" collapsed="false">
      <c r="A256" s="12" t="s">
        <v>603</v>
      </c>
      <c r="B256" s="12" t="s">
        <v>306</v>
      </c>
      <c r="C256" s="12" t="s">
        <v>357</v>
      </c>
      <c r="D256" s="12" t="s">
        <v>358</v>
      </c>
      <c r="E256" s="12" t="s">
        <v>140</v>
      </c>
      <c r="F256" s="12" t="n">
        <v>1</v>
      </c>
      <c r="G256" s="12" t="n">
        <v>0</v>
      </c>
      <c r="H256" s="13" t="str">
        <f aca="false">IF(G256=F256,"PASS","OPEN")</f>
        <v>OPEN</v>
      </c>
    </row>
    <row r="257" customFormat="false" ht="15" hidden="false" customHeight="false" outlineLevel="0" collapsed="false">
      <c r="A257" s="12" t="s">
        <v>604</v>
      </c>
      <c r="B257" s="12" t="s">
        <v>306</v>
      </c>
      <c r="C257" s="12" t="s">
        <v>360</v>
      </c>
      <c r="D257" s="12" t="s">
        <v>361</v>
      </c>
      <c r="E257" s="12" t="s">
        <v>362</v>
      </c>
      <c r="F257" s="12" t="n">
        <v>1</v>
      </c>
      <c r="G257" s="12" t="n">
        <v>1</v>
      </c>
      <c r="H257" s="13" t="str">
        <f aca="false">IF(G257=F257,"PASS","OPEN")</f>
        <v>PASS</v>
      </c>
    </row>
    <row r="258" customFormat="false" ht="15" hidden="false" customHeight="false" outlineLevel="0" collapsed="false">
      <c r="A258" s="12" t="s">
        <v>605</v>
      </c>
      <c r="B258" s="12" t="s">
        <v>306</v>
      </c>
      <c r="C258" s="12" t="s">
        <v>364</v>
      </c>
      <c r="D258" s="12" t="s">
        <v>365</v>
      </c>
      <c r="E258" s="12" t="s">
        <v>362</v>
      </c>
      <c r="F258" s="12" t="n">
        <v>1</v>
      </c>
      <c r="G258" s="12" t="n">
        <v>1</v>
      </c>
      <c r="H258" s="13" t="str">
        <f aca="false">IF(G258=F258,"PASS","OPEN")</f>
        <v>PASS</v>
      </c>
    </row>
    <row r="259" customFormat="false" ht="15" hidden="false" customHeight="false" outlineLevel="0" collapsed="false">
      <c r="A259" s="12" t="s">
        <v>606</v>
      </c>
      <c r="B259" s="12" t="s">
        <v>309</v>
      </c>
      <c r="C259" s="12" t="s">
        <v>329</v>
      </c>
      <c r="D259" s="12" t="s">
        <v>330</v>
      </c>
      <c r="E259" s="12" t="s">
        <v>140</v>
      </c>
      <c r="F259" s="12" t="n">
        <v>1</v>
      </c>
      <c r="G259" s="12" t="n">
        <v>0</v>
      </c>
      <c r="H259" s="13" t="str">
        <f aca="false">IF(G259=F259,"PASS","OPEN")</f>
        <v>OPEN</v>
      </c>
    </row>
    <row r="260" customFormat="false" ht="15" hidden="false" customHeight="false" outlineLevel="0" collapsed="false">
      <c r="A260" s="12" t="s">
        <v>607</v>
      </c>
      <c r="B260" s="12" t="s">
        <v>309</v>
      </c>
      <c r="C260" s="12" t="s">
        <v>332</v>
      </c>
      <c r="D260" s="12" t="s">
        <v>333</v>
      </c>
      <c r="E260" s="12" t="s">
        <v>140</v>
      </c>
      <c r="F260" s="12" t="n">
        <v>1</v>
      </c>
      <c r="G260" s="12" t="n">
        <v>0</v>
      </c>
      <c r="H260" s="13" t="str">
        <f aca="false">IF(G260=F260,"PASS","OPEN")</f>
        <v>OPEN</v>
      </c>
    </row>
    <row r="261" customFormat="false" ht="15" hidden="false" customHeight="false" outlineLevel="0" collapsed="false">
      <c r="A261" s="12" t="s">
        <v>608</v>
      </c>
      <c r="B261" s="12" t="s">
        <v>309</v>
      </c>
      <c r="C261" s="12" t="s">
        <v>335</v>
      </c>
      <c r="D261" s="12" t="s">
        <v>336</v>
      </c>
      <c r="E261" s="12" t="s">
        <v>140</v>
      </c>
      <c r="F261" s="12" t="n">
        <v>1</v>
      </c>
      <c r="G261" s="12" t="n">
        <v>0</v>
      </c>
      <c r="H261" s="13" t="str">
        <f aca="false">IF(G261=F261,"PASS","OPEN")</f>
        <v>OPEN</v>
      </c>
    </row>
    <row r="262" customFormat="false" ht="15" hidden="false" customHeight="false" outlineLevel="0" collapsed="false">
      <c r="A262" s="12" t="s">
        <v>609</v>
      </c>
      <c r="B262" s="12" t="s">
        <v>309</v>
      </c>
      <c r="C262" s="12" t="s">
        <v>338</v>
      </c>
      <c r="D262" s="12" t="s">
        <v>339</v>
      </c>
      <c r="E262" s="12" t="s">
        <v>140</v>
      </c>
      <c r="F262" s="12" t="n">
        <v>1</v>
      </c>
      <c r="G262" s="12" t="n">
        <v>0</v>
      </c>
      <c r="H262" s="13" t="str">
        <f aca="false">IF(G262=F262,"PASS","OPEN")</f>
        <v>OPEN</v>
      </c>
    </row>
    <row r="263" customFormat="false" ht="15" hidden="false" customHeight="false" outlineLevel="0" collapsed="false">
      <c r="A263" s="12" t="s">
        <v>610</v>
      </c>
      <c r="B263" s="12" t="s">
        <v>309</v>
      </c>
      <c r="C263" s="12" t="s">
        <v>341</v>
      </c>
      <c r="D263" s="12" t="s">
        <v>342</v>
      </c>
      <c r="E263" s="12" t="s">
        <v>140</v>
      </c>
      <c r="F263" s="12" t="n">
        <v>1</v>
      </c>
      <c r="G263" s="12" t="n">
        <v>0</v>
      </c>
      <c r="H263" s="13" t="str">
        <f aca="false">IF(G263=F263,"PASS","OPEN")</f>
        <v>OPEN</v>
      </c>
    </row>
    <row r="264" customFormat="false" ht="15" hidden="false" customHeight="false" outlineLevel="0" collapsed="false">
      <c r="A264" s="12" t="s">
        <v>611</v>
      </c>
      <c r="B264" s="12" t="s">
        <v>309</v>
      </c>
      <c r="C264" s="12" t="s">
        <v>344</v>
      </c>
      <c r="D264" s="12" t="s">
        <v>345</v>
      </c>
      <c r="E264" s="12" t="s">
        <v>346</v>
      </c>
      <c r="F264" s="12" t="n">
        <v>1</v>
      </c>
      <c r="G264" s="12" t="n">
        <v>0</v>
      </c>
      <c r="H264" s="13" t="str">
        <f aca="false">IF(G264=F264,"PASS","OPEN")</f>
        <v>OPEN</v>
      </c>
    </row>
    <row r="265" customFormat="false" ht="15" hidden="false" customHeight="false" outlineLevel="0" collapsed="false">
      <c r="A265" s="12" t="s">
        <v>612</v>
      </c>
      <c r="B265" s="12" t="s">
        <v>309</v>
      </c>
      <c r="C265" s="12" t="s">
        <v>348</v>
      </c>
      <c r="D265" s="12" t="s">
        <v>349</v>
      </c>
      <c r="E265" s="12" t="s">
        <v>140</v>
      </c>
      <c r="F265" s="12" t="n">
        <v>1</v>
      </c>
      <c r="G265" s="12" t="n">
        <v>0</v>
      </c>
      <c r="H265" s="13" t="str">
        <f aca="false">IF(G265=F265,"PASS","OPEN")</f>
        <v>OPEN</v>
      </c>
    </row>
    <row r="266" customFormat="false" ht="15" hidden="false" customHeight="false" outlineLevel="0" collapsed="false">
      <c r="A266" s="12" t="s">
        <v>613</v>
      </c>
      <c r="B266" s="12" t="s">
        <v>309</v>
      </c>
      <c r="C266" s="12" t="s">
        <v>351</v>
      </c>
      <c r="D266" s="12" t="s">
        <v>352</v>
      </c>
      <c r="E266" s="12" t="s">
        <v>140</v>
      </c>
      <c r="F266" s="12" t="n">
        <v>1</v>
      </c>
      <c r="G266" s="12" t="n">
        <v>0</v>
      </c>
      <c r="H266" s="13" t="str">
        <f aca="false">IF(G266=F266,"PASS","OPEN")</f>
        <v>OPEN</v>
      </c>
    </row>
    <row r="267" customFormat="false" ht="15" hidden="false" customHeight="false" outlineLevel="0" collapsed="false">
      <c r="A267" s="12" t="s">
        <v>614</v>
      </c>
      <c r="B267" s="12" t="s">
        <v>309</v>
      </c>
      <c r="C267" s="12" t="s">
        <v>354</v>
      </c>
      <c r="D267" s="12" t="s">
        <v>355</v>
      </c>
      <c r="E267" s="12" t="s">
        <v>140</v>
      </c>
      <c r="F267" s="12" t="n">
        <v>1</v>
      </c>
      <c r="G267" s="12" t="n">
        <v>0</v>
      </c>
      <c r="H267" s="13" t="str">
        <f aca="false">IF(G267=F267,"PASS","OPEN")</f>
        <v>OPEN</v>
      </c>
    </row>
    <row r="268" customFormat="false" ht="15" hidden="false" customHeight="false" outlineLevel="0" collapsed="false">
      <c r="A268" s="12" t="s">
        <v>615</v>
      </c>
      <c r="B268" s="12" t="s">
        <v>309</v>
      </c>
      <c r="C268" s="12" t="s">
        <v>357</v>
      </c>
      <c r="D268" s="12" t="s">
        <v>358</v>
      </c>
      <c r="E268" s="12" t="s">
        <v>140</v>
      </c>
      <c r="F268" s="12" t="n">
        <v>1</v>
      </c>
      <c r="G268" s="12" t="n">
        <v>0</v>
      </c>
      <c r="H268" s="13" t="str">
        <f aca="false">IF(G268=F268,"PASS","OPEN")</f>
        <v>OPEN</v>
      </c>
    </row>
    <row r="269" customFormat="false" ht="15" hidden="false" customHeight="false" outlineLevel="0" collapsed="false">
      <c r="A269" s="12" t="s">
        <v>616</v>
      </c>
      <c r="B269" s="12" t="s">
        <v>309</v>
      </c>
      <c r="C269" s="12" t="s">
        <v>360</v>
      </c>
      <c r="D269" s="12" t="s">
        <v>361</v>
      </c>
      <c r="E269" s="12" t="s">
        <v>362</v>
      </c>
      <c r="F269" s="12" t="n">
        <v>1</v>
      </c>
      <c r="G269" s="12" t="n">
        <v>1</v>
      </c>
      <c r="H269" s="13" t="str">
        <f aca="false">IF(G269=F269,"PASS","OPEN")</f>
        <v>PASS</v>
      </c>
    </row>
    <row r="270" customFormat="false" ht="15" hidden="false" customHeight="false" outlineLevel="0" collapsed="false">
      <c r="A270" s="12" t="s">
        <v>617</v>
      </c>
      <c r="B270" s="12" t="s">
        <v>309</v>
      </c>
      <c r="C270" s="12" t="s">
        <v>364</v>
      </c>
      <c r="D270" s="12" t="s">
        <v>365</v>
      </c>
      <c r="E270" s="12" t="s">
        <v>362</v>
      </c>
      <c r="F270" s="12" t="n">
        <v>1</v>
      </c>
      <c r="G270" s="12" t="n">
        <v>1</v>
      </c>
      <c r="H270" s="13" t="str">
        <f aca="false">IF(G270=F270,"PASS","OPEN")</f>
        <v>PASS</v>
      </c>
    </row>
    <row r="271" customFormat="false" ht="15" hidden="false" customHeight="false" outlineLevel="0" collapsed="false">
      <c r="A271" s="12" t="s">
        <v>618</v>
      </c>
      <c r="B271" s="12" t="s">
        <v>310</v>
      </c>
      <c r="C271" s="12" t="s">
        <v>329</v>
      </c>
      <c r="D271" s="12" t="s">
        <v>330</v>
      </c>
      <c r="E271" s="12" t="s">
        <v>140</v>
      </c>
      <c r="F271" s="12" t="n">
        <v>1</v>
      </c>
      <c r="G271" s="12" t="n">
        <v>0</v>
      </c>
      <c r="H271" s="13" t="str">
        <f aca="false">IF(G271=F271,"PASS","OPEN")</f>
        <v>OPEN</v>
      </c>
    </row>
    <row r="272" customFormat="false" ht="15" hidden="false" customHeight="false" outlineLevel="0" collapsed="false">
      <c r="A272" s="12" t="s">
        <v>619</v>
      </c>
      <c r="B272" s="12" t="s">
        <v>310</v>
      </c>
      <c r="C272" s="12" t="s">
        <v>332</v>
      </c>
      <c r="D272" s="12" t="s">
        <v>333</v>
      </c>
      <c r="E272" s="12" t="s">
        <v>140</v>
      </c>
      <c r="F272" s="12" t="n">
        <v>1</v>
      </c>
      <c r="G272" s="12" t="n">
        <v>0</v>
      </c>
      <c r="H272" s="13" t="str">
        <f aca="false">IF(G272=F272,"PASS","OPEN")</f>
        <v>OPEN</v>
      </c>
    </row>
    <row r="273" customFormat="false" ht="15" hidden="false" customHeight="false" outlineLevel="0" collapsed="false">
      <c r="A273" s="12" t="s">
        <v>620</v>
      </c>
      <c r="B273" s="12" t="s">
        <v>310</v>
      </c>
      <c r="C273" s="12" t="s">
        <v>335</v>
      </c>
      <c r="D273" s="12" t="s">
        <v>336</v>
      </c>
      <c r="E273" s="12" t="s">
        <v>140</v>
      </c>
      <c r="F273" s="12" t="n">
        <v>1</v>
      </c>
      <c r="G273" s="12" t="n">
        <v>0</v>
      </c>
      <c r="H273" s="13" t="str">
        <f aca="false">IF(G273=F273,"PASS","OPEN")</f>
        <v>OPEN</v>
      </c>
    </row>
    <row r="274" customFormat="false" ht="15" hidden="false" customHeight="false" outlineLevel="0" collapsed="false">
      <c r="A274" s="12" t="s">
        <v>621</v>
      </c>
      <c r="B274" s="12" t="s">
        <v>310</v>
      </c>
      <c r="C274" s="12" t="s">
        <v>338</v>
      </c>
      <c r="D274" s="12" t="s">
        <v>339</v>
      </c>
      <c r="E274" s="12" t="s">
        <v>140</v>
      </c>
      <c r="F274" s="12" t="n">
        <v>1</v>
      </c>
      <c r="G274" s="12" t="n">
        <v>0</v>
      </c>
      <c r="H274" s="13" t="str">
        <f aca="false">IF(G274=F274,"PASS","OPEN")</f>
        <v>OPEN</v>
      </c>
    </row>
    <row r="275" customFormat="false" ht="15" hidden="false" customHeight="false" outlineLevel="0" collapsed="false">
      <c r="A275" s="12" t="s">
        <v>622</v>
      </c>
      <c r="B275" s="12" t="s">
        <v>310</v>
      </c>
      <c r="C275" s="12" t="s">
        <v>341</v>
      </c>
      <c r="D275" s="12" t="s">
        <v>342</v>
      </c>
      <c r="E275" s="12" t="s">
        <v>140</v>
      </c>
      <c r="F275" s="12" t="n">
        <v>1</v>
      </c>
      <c r="G275" s="12" t="n">
        <v>0</v>
      </c>
      <c r="H275" s="13" t="str">
        <f aca="false">IF(G275=F275,"PASS","OPEN")</f>
        <v>OPEN</v>
      </c>
    </row>
    <row r="276" customFormat="false" ht="15" hidden="false" customHeight="false" outlineLevel="0" collapsed="false">
      <c r="A276" s="12" t="s">
        <v>623</v>
      </c>
      <c r="B276" s="12" t="s">
        <v>310</v>
      </c>
      <c r="C276" s="12" t="s">
        <v>344</v>
      </c>
      <c r="D276" s="12" t="s">
        <v>345</v>
      </c>
      <c r="E276" s="12" t="s">
        <v>346</v>
      </c>
      <c r="F276" s="12" t="n">
        <v>1</v>
      </c>
      <c r="G276" s="12" t="n">
        <v>0</v>
      </c>
      <c r="H276" s="13" t="str">
        <f aca="false">IF(G276=F276,"PASS","OPEN")</f>
        <v>OPEN</v>
      </c>
    </row>
    <row r="277" customFormat="false" ht="15" hidden="false" customHeight="false" outlineLevel="0" collapsed="false">
      <c r="A277" s="12" t="s">
        <v>624</v>
      </c>
      <c r="B277" s="12" t="s">
        <v>310</v>
      </c>
      <c r="C277" s="12" t="s">
        <v>348</v>
      </c>
      <c r="D277" s="12" t="s">
        <v>349</v>
      </c>
      <c r="E277" s="12" t="s">
        <v>140</v>
      </c>
      <c r="F277" s="12" t="n">
        <v>1</v>
      </c>
      <c r="G277" s="12" t="n">
        <v>0</v>
      </c>
      <c r="H277" s="13" t="str">
        <f aca="false">IF(G277=F277,"PASS","OPEN")</f>
        <v>OPEN</v>
      </c>
    </row>
    <row r="278" customFormat="false" ht="15" hidden="false" customHeight="false" outlineLevel="0" collapsed="false">
      <c r="A278" s="12" t="s">
        <v>625</v>
      </c>
      <c r="B278" s="12" t="s">
        <v>310</v>
      </c>
      <c r="C278" s="12" t="s">
        <v>351</v>
      </c>
      <c r="D278" s="12" t="s">
        <v>352</v>
      </c>
      <c r="E278" s="12" t="s">
        <v>140</v>
      </c>
      <c r="F278" s="12" t="n">
        <v>1</v>
      </c>
      <c r="G278" s="12" t="n">
        <v>0</v>
      </c>
      <c r="H278" s="13" t="str">
        <f aca="false">IF(G278=F278,"PASS","OPEN")</f>
        <v>OPEN</v>
      </c>
    </row>
    <row r="279" customFormat="false" ht="15" hidden="false" customHeight="false" outlineLevel="0" collapsed="false">
      <c r="A279" s="12" t="s">
        <v>626</v>
      </c>
      <c r="B279" s="12" t="s">
        <v>310</v>
      </c>
      <c r="C279" s="12" t="s">
        <v>354</v>
      </c>
      <c r="D279" s="12" t="s">
        <v>355</v>
      </c>
      <c r="E279" s="12" t="s">
        <v>140</v>
      </c>
      <c r="F279" s="12" t="n">
        <v>1</v>
      </c>
      <c r="G279" s="12" t="n">
        <v>0</v>
      </c>
      <c r="H279" s="13" t="str">
        <f aca="false">IF(G279=F279,"PASS","OPEN")</f>
        <v>OPEN</v>
      </c>
    </row>
    <row r="280" customFormat="false" ht="15" hidden="false" customHeight="false" outlineLevel="0" collapsed="false">
      <c r="A280" s="12" t="s">
        <v>627</v>
      </c>
      <c r="B280" s="12" t="s">
        <v>310</v>
      </c>
      <c r="C280" s="12" t="s">
        <v>357</v>
      </c>
      <c r="D280" s="12" t="s">
        <v>358</v>
      </c>
      <c r="E280" s="12" t="s">
        <v>140</v>
      </c>
      <c r="F280" s="12" t="n">
        <v>1</v>
      </c>
      <c r="G280" s="12" t="n">
        <v>0</v>
      </c>
      <c r="H280" s="13" t="str">
        <f aca="false">IF(G280=F280,"PASS","OPEN")</f>
        <v>OPEN</v>
      </c>
    </row>
    <row r="281" customFormat="false" ht="15" hidden="false" customHeight="false" outlineLevel="0" collapsed="false">
      <c r="A281" s="12" t="s">
        <v>628</v>
      </c>
      <c r="B281" s="12" t="s">
        <v>310</v>
      </c>
      <c r="C281" s="12" t="s">
        <v>360</v>
      </c>
      <c r="D281" s="12" t="s">
        <v>361</v>
      </c>
      <c r="E281" s="12" t="s">
        <v>362</v>
      </c>
      <c r="F281" s="12" t="n">
        <v>1</v>
      </c>
      <c r="G281" s="12" t="n">
        <v>1</v>
      </c>
      <c r="H281" s="13" t="str">
        <f aca="false">IF(G281=F281,"PASS","OPEN")</f>
        <v>PASS</v>
      </c>
    </row>
    <row r="282" customFormat="false" ht="15" hidden="false" customHeight="false" outlineLevel="0" collapsed="false">
      <c r="A282" s="12" t="s">
        <v>629</v>
      </c>
      <c r="B282" s="12" t="s">
        <v>310</v>
      </c>
      <c r="C282" s="12" t="s">
        <v>364</v>
      </c>
      <c r="D282" s="12" t="s">
        <v>365</v>
      </c>
      <c r="E282" s="12" t="s">
        <v>362</v>
      </c>
      <c r="F282" s="12" t="n">
        <v>1</v>
      </c>
      <c r="G282" s="12" t="n">
        <v>1</v>
      </c>
      <c r="H282" s="13" t="str">
        <f aca="false">IF(G282=F282,"PASS","OPEN")</f>
        <v>PASS</v>
      </c>
    </row>
    <row r="283" customFormat="false" ht="15" hidden="false" customHeight="false" outlineLevel="0" collapsed="false">
      <c r="A283" s="12" t="s">
        <v>630</v>
      </c>
      <c r="B283" s="12" t="s">
        <v>311</v>
      </c>
      <c r="C283" s="12" t="s">
        <v>329</v>
      </c>
      <c r="D283" s="12" t="s">
        <v>330</v>
      </c>
      <c r="E283" s="12" t="s">
        <v>140</v>
      </c>
      <c r="F283" s="12" t="n">
        <v>1</v>
      </c>
      <c r="G283" s="12" t="n">
        <v>0</v>
      </c>
      <c r="H283" s="13" t="str">
        <f aca="false">IF(G283=F283,"PASS","OPEN")</f>
        <v>OPEN</v>
      </c>
    </row>
    <row r="284" customFormat="false" ht="15" hidden="false" customHeight="false" outlineLevel="0" collapsed="false">
      <c r="A284" s="12" t="s">
        <v>631</v>
      </c>
      <c r="B284" s="12" t="s">
        <v>311</v>
      </c>
      <c r="C284" s="12" t="s">
        <v>332</v>
      </c>
      <c r="D284" s="12" t="s">
        <v>333</v>
      </c>
      <c r="E284" s="12" t="s">
        <v>140</v>
      </c>
      <c r="F284" s="12" t="n">
        <v>1</v>
      </c>
      <c r="G284" s="12" t="n">
        <v>0</v>
      </c>
      <c r="H284" s="13" t="str">
        <f aca="false">IF(G284=F284,"PASS","OPEN")</f>
        <v>OPEN</v>
      </c>
    </row>
    <row r="285" customFormat="false" ht="15" hidden="false" customHeight="false" outlineLevel="0" collapsed="false">
      <c r="A285" s="12" t="s">
        <v>632</v>
      </c>
      <c r="B285" s="12" t="s">
        <v>311</v>
      </c>
      <c r="C285" s="12" t="s">
        <v>335</v>
      </c>
      <c r="D285" s="12" t="s">
        <v>336</v>
      </c>
      <c r="E285" s="12" t="s">
        <v>140</v>
      </c>
      <c r="F285" s="12" t="n">
        <v>1</v>
      </c>
      <c r="G285" s="12" t="n">
        <v>0</v>
      </c>
      <c r="H285" s="13" t="str">
        <f aca="false">IF(G285=F285,"PASS","OPEN")</f>
        <v>OPEN</v>
      </c>
    </row>
    <row r="286" customFormat="false" ht="15" hidden="false" customHeight="false" outlineLevel="0" collapsed="false">
      <c r="A286" s="12" t="s">
        <v>633</v>
      </c>
      <c r="B286" s="12" t="s">
        <v>311</v>
      </c>
      <c r="C286" s="12" t="s">
        <v>338</v>
      </c>
      <c r="D286" s="12" t="s">
        <v>339</v>
      </c>
      <c r="E286" s="12" t="s">
        <v>140</v>
      </c>
      <c r="F286" s="12" t="n">
        <v>1</v>
      </c>
      <c r="G286" s="12" t="n">
        <v>0</v>
      </c>
      <c r="H286" s="13" t="str">
        <f aca="false">IF(G286=F286,"PASS","OPEN")</f>
        <v>OPEN</v>
      </c>
    </row>
    <row r="287" customFormat="false" ht="15" hidden="false" customHeight="false" outlineLevel="0" collapsed="false">
      <c r="A287" s="12" t="s">
        <v>634</v>
      </c>
      <c r="B287" s="12" t="s">
        <v>311</v>
      </c>
      <c r="C287" s="12" t="s">
        <v>341</v>
      </c>
      <c r="D287" s="12" t="s">
        <v>342</v>
      </c>
      <c r="E287" s="12" t="s">
        <v>140</v>
      </c>
      <c r="F287" s="12" t="n">
        <v>1</v>
      </c>
      <c r="G287" s="12" t="n">
        <v>0</v>
      </c>
      <c r="H287" s="13" t="str">
        <f aca="false">IF(G287=F287,"PASS","OPEN")</f>
        <v>OPEN</v>
      </c>
    </row>
    <row r="288" customFormat="false" ht="15" hidden="false" customHeight="false" outlineLevel="0" collapsed="false">
      <c r="A288" s="12" t="s">
        <v>635</v>
      </c>
      <c r="B288" s="12" t="s">
        <v>311</v>
      </c>
      <c r="C288" s="12" t="s">
        <v>344</v>
      </c>
      <c r="D288" s="12" t="s">
        <v>345</v>
      </c>
      <c r="E288" s="12" t="s">
        <v>346</v>
      </c>
      <c r="F288" s="12" t="n">
        <v>1</v>
      </c>
      <c r="G288" s="12" t="n">
        <v>0</v>
      </c>
      <c r="H288" s="13" t="str">
        <f aca="false">IF(G288=F288,"PASS","OPEN")</f>
        <v>OPEN</v>
      </c>
    </row>
    <row r="289" customFormat="false" ht="15" hidden="false" customHeight="false" outlineLevel="0" collapsed="false">
      <c r="A289" s="12" t="s">
        <v>636</v>
      </c>
      <c r="B289" s="12" t="s">
        <v>311</v>
      </c>
      <c r="C289" s="12" t="s">
        <v>348</v>
      </c>
      <c r="D289" s="12" t="s">
        <v>349</v>
      </c>
      <c r="E289" s="12" t="s">
        <v>140</v>
      </c>
      <c r="F289" s="12" t="n">
        <v>1</v>
      </c>
      <c r="G289" s="12" t="n">
        <v>0</v>
      </c>
      <c r="H289" s="13" t="str">
        <f aca="false">IF(G289=F289,"PASS","OPEN")</f>
        <v>OPEN</v>
      </c>
    </row>
    <row r="290" customFormat="false" ht="15" hidden="false" customHeight="false" outlineLevel="0" collapsed="false">
      <c r="A290" s="12" t="s">
        <v>637</v>
      </c>
      <c r="B290" s="12" t="s">
        <v>311</v>
      </c>
      <c r="C290" s="12" t="s">
        <v>351</v>
      </c>
      <c r="D290" s="12" t="s">
        <v>352</v>
      </c>
      <c r="E290" s="12" t="s">
        <v>140</v>
      </c>
      <c r="F290" s="12" t="n">
        <v>1</v>
      </c>
      <c r="G290" s="12" t="n">
        <v>0</v>
      </c>
      <c r="H290" s="13" t="str">
        <f aca="false">IF(G290=F290,"PASS","OPEN")</f>
        <v>OPEN</v>
      </c>
    </row>
    <row r="291" customFormat="false" ht="15" hidden="false" customHeight="false" outlineLevel="0" collapsed="false">
      <c r="A291" s="12" t="s">
        <v>638</v>
      </c>
      <c r="B291" s="12" t="s">
        <v>311</v>
      </c>
      <c r="C291" s="12" t="s">
        <v>354</v>
      </c>
      <c r="D291" s="12" t="s">
        <v>355</v>
      </c>
      <c r="E291" s="12" t="s">
        <v>140</v>
      </c>
      <c r="F291" s="12" t="n">
        <v>1</v>
      </c>
      <c r="G291" s="12" t="n">
        <v>0</v>
      </c>
      <c r="H291" s="13" t="str">
        <f aca="false">IF(G291=F291,"PASS","OPEN")</f>
        <v>OPEN</v>
      </c>
    </row>
    <row r="292" customFormat="false" ht="15" hidden="false" customHeight="false" outlineLevel="0" collapsed="false">
      <c r="A292" s="12" t="s">
        <v>639</v>
      </c>
      <c r="B292" s="12" t="s">
        <v>311</v>
      </c>
      <c r="C292" s="12" t="s">
        <v>357</v>
      </c>
      <c r="D292" s="12" t="s">
        <v>358</v>
      </c>
      <c r="E292" s="12" t="s">
        <v>140</v>
      </c>
      <c r="F292" s="12" t="n">
        <v>1</v>
      </c>
      <c r="G292" s="12" t="n">
        <v>0</v>
      </c>
      <c r="H292" s="13" t="str">
        <f aca="false">IF(G292=F292,"PASS","OPEN")</f>
        <v>OPEN</v>
      </c>
    </row>
    <row r="293" customFormat="false" ht="15" hidden="false" customHeight="false" outlineLevel="0" collapsed="false">
      <c r="A293" s="12" t="s">
        <v>640</v>
      </c>
      <c r="B293" s="12" t="s">
        <v>311</v>
      </c>
      <c r="C293" s="12" t="s">
        <v>360</v>
      </c>
      <c r="D293" s="12" t="s">
        <v>361</v>
      </c>
      <c r="E293" s="12" t="s">
        <v>362</v>
      </c>
      <c r="F293" s="12" t="n">
        <v>1</v>
      </c>
      <c r="G293" s="12" t="n">
        <v>1</v>
      </c>
      <c r="H293" s="13" t="str">
        <f aca="false">IF(G293=F293,"PASS","OPEN")</f>
        <v>PASS</v>
      </c>
    </row>
    <row r="294" customFormat="false" ht="15" hidden="false" customHeight="false" outlineLevel="0" collapsed="false">
      <c r="A294" s="12" t="s">
        <v>641</v>
      </c>
      <c r="B294" s="12" t="s">
        <v>311</v>
      </c>
      <c r="C294" s="12" t="s">
        <v>364</v>
      </c>
      <c r="D294" s="12" t="s">
        <v>365</v>
      </c>
      <c r="E294" s="12" t="s">
        <v>362</v>
      </c>
      <c r="F294" s="12" t="n">
        <v>1</v>
      </c>
      <c r="G294" s="12" t="n">
        <v>1</v>
      </c>
      <c r="H294" s="13" t="str">
        <f aca="false">IF(G294=F294,"PASS","OPEN")</f>
        <v>PASS</v>
      </c>
    </row>
    <row r="295" customFormat="false" ht="15" hidden="false" customHeight="false" outlineLevel="0" collapsed="false">
      <c r="A295" s="12" t="s">
        <v>642</v>
      </c>
      <c r="B295" s="12" t="s">
        <v>312</v>
      </c>
      <c r="C295" s="12" t="s">
        <v>329</v>
      </c>
      <c r="D295" s="12" t="s">
        <v>330</v>
      </c>
      <c r="E295" s="12" t="s">
        <v>140</v>
      </c>
      <c r="F295" s="12" t="n">
        <v>1</v>
      </c>
      <c r="G295" s="12" t="n">
        <v>0</v>
      </c>
      <c r="H295" s="13" t="str">
        <f aca="false">IF(G295=F295,"PASS","OPEN")</f>
        <v>OPEN</v>
      </c>
    </row>
    <row r="296" customFormat="false" ht="15" hidden="false" customHeight="false" outlineLevel="0" collapsed="false">
      <c r="A296" s="12" t="s">
        <v>643</v>
      </c>
      <c r="B296" s="12" t="s">
        <v>312</v>
      </c>
      <c r="C296" s="12" t="s">
        <v>332</v>
      </c>
      <c r="D296" s="12" t="s">
        <v>333</v>
      </c>
      <c r="E296" s="12" t="s">
        <v>140</v>
      </c>
      <c r="F296" s="12" t="n">
        <v>1</v>
      </c>
      <c r="G296" s="12" t="n">
        <v>0</v>
      </c>
      <c r="H296" s="13" t="str">
        <f aca="false">IF(G296=F296,"PASS","OPEN")</f>
        <v>OPEN</v>
      </c>
    </row>
    <row r="297" customFormat="false" ht="15" hidden="false" customHeight="false" outlineLevel="0" collapsed="false">
      <c r="A297" s="12" t="s">
        <v>644</v>
      </c>
      <c r="B297" s="12" t="s">
        <v>312</v>
      </c>
      <c r="C297" s="12" t="s">
        <v>335</v>
      </c>
      <c r="D297" s="12" t="s">
        <v>336</v>
      </c>
      <c r="E297" s="12" t="s">
        <v>140</v>
      </c>
      <c r="F297" s="12" t="n">
        <v>1</v>
      </c>
      <c r="G297" s="12" t="n">
        <v>0</v>
      </c>
      <c r="H297" s="13" t="str">
        <f aca="false">IF(G297=F297,"PASS","OPEN")</f>
        <v>OPEN</v>
      </c>
    </row>
    <row r="298" customFormat="false" ht="15" hidden="false" customHeight="false" outlineLevel="0" collapsed="false">
      <c r="A298" s="12" t="s">
        <v>645</v>
      </c>
      <c r="B298" s="12" t="s">
        <v>312</v>
      </c>
      <c r="C298" s="12" t="s">
        <v>338</v>
      </c>
      <c r="D298" s="12" t="s">
        <v>339</v>
      </c>
      <c r="E298" s="12" t="s">
        <v>140</v>
      </c>
      <c r="F298" s="12" t="n">
        <v>1</v>
      </c>
      <c r="G298" s="12" t="n">
        <v>0</v>
      </c>
      <c r="H298" s="13" t="str">
        <f aca="false">IF(G298=F298,"PASS","OPEN")</f>
        <v>OPEN</v>
      </c>
    </row>
    <row r="299" customFormat="false" ht="15" hidden="false" customHeight="false" outlineLevel="0" collapsed="false">
      <c r="A299" s="12" t="s">
        <v>646</v>
      </c>
      <c r="B299" s="12" t="s">
        <v>312</v>
      </c>
      <c r="C299" s="12" t="s">
        <v>341</v>
      </c>
      <c r="D299" s="12" t="s">
        <v>342</v>
      </c>
      <c r="E299" s="12" t="s">
        <v>140</v>
      </c>
      <c r="F299" s="12" t="n">
        <v>1</v>
      </c>
      <c r="G299" s="12" t="n">
        <v>0</v>
      </c>
      <c r="H299" s="13" t="str">
        <f aca="false">IF(G299=F299,"PASS","OPEN")</f>
        <v>OPEN</v>
      </c>
    </row>
    <row r="300" customFormat="false" ht="15" hidden="false" customHeight="false" outlineLevel="0" collapsed="false">
      <c r="A300" s="12" t="s">
        <v>647</v>
      </c>
      <c r="B300" s="12" t="s">
        <v>312</v>
      </c>
      <c r="C300" s="12" t="s">
        <v>344</v>
      </c>
      <c r="D300" s="12" t="s">
        <v>345</v>
      </c>
      <c r="E300" s="12" t="s">
        <v>346</v>
      </c>
      <c r="F300" s="12" t="n">
        <v>1</v>
      </c>
      <c r="G300" s="12" t="n">
        <v>0</v>
      </c>
      <c r="H300" s="13" t="str">
        <f aca="false">IF(G300=F300,"PASS","OPEN")</f>
        <v>OPEN</v>
      </c>
    </row>
    <row r="301" customFormat="false" ht="15" hidden="false" customHeight="false" outlineLevel="0" collapsed="false">
      <c r="A301" s="12" t="s">
        <v>648</v>
      </c>
      <c r="B301" s="12" t="s">
        <v>312</v>
      </c>
      <c r="C301" s="12" t="s">
        <v>348</v>
      </c>
      <c r="D301" s="12" t="s">
        <v>349</v>
      </c>
      <c r="E301" s="12" t="s">
        <v>140</v>
      </c>
      <c r="F301" s="12" t="n">
        <v>1</v>
      </c>
      <c r="G301" s="12" t="n">
        <v>0</v>
      </c>
      <c r="H301" s="13" t="str">
        <f aca="false">IF(G301=F301,"PASS","OPEN")</f>
        <v>OPEN</v>
      </c>
    </row>
    <row r="302" customFormat="false" ht="15" hidden="false" customHeight="false" outlineLevel="0" collapsed="false">
      <c r="A302" s="12" t="s">
        <v>649</v>
      </c>
      <c r="B302" s="12" t="s">
        <v>312</v>
      </c>
      <c r="C302" s="12" t="s">
        <v>351</v>
      </c>
      <c r="D302" s="12" t="s">
        <v>352</v>
      </c>
      <c r="E302" s="12" t="s">
        <v>140</v>
      </c>
      <c r="F302" s="12" t="n">
        <v>1</v>
      </c>
      <c r="G302" s="12" t="n">
        <v>0</v>
      </c>
      <c r="H302" s="13" t="str">
        <f aca="false">IF(G302=F302,"PASS","OPEN")</f>
        <v>OPEN</v>
      </c>
    </row>
    <row r="303" customFormat="false" ht="15" hidden="false" customHeight="false" outlineLevel="0" collapsed="false">
      <c r="A303" s="12" t="s">
        <v>650</v>
      </c>
      <c r="B303" s="12" t="s">
        <v>312</v>
      </c>
      <c r="C303" s="12" t="s">
        <v>354</v>
      </c>
      <c r="D303" s="12" t="s">
        <v>355</v>
      </c>
      <c r="E303" s="12" t="s">
        <v>140</v>
      </c>
      <c r="F303" s="12" t="n">
        <v>1</v>
      </c>
      <c r="G303" s="12" t="n">
        <v>0</v>
      </c>
      <c r="H303" s="13" t="str">
        <f aca="false">IF(G303=F303,"PASS","OPEN")</f>
        <v>OPEN</v>
      </c>
    </row>
    <row r="304" customFormat="false" ht="15" hidden="false" customHeight="false" outlineLevel="0" collapsed="false">
      <c r="A304" s="12" t="s">
        <v>651</v>
      </c>
      <c r="B304" s="12" t="s">
        <v>312</v>
      </c>
      <c r="C304" s="12" t="s">
        <v>357</v>
      </c>
      <c r="D304" s="12" t="s">
        <v>358</v>
      </c>
      <c r="E304" s="12" t="s">
        <v>140</v>
      </c>
      <c r="F304" s="12" t="n">
        <v>1</v>
      </c>
      <c r="G304" s="12" t="n">
        <v>0</v>
      </c>
      <c r="H304" s="13" t="str">
        <f aca="false">IF(G304=F304,"PASS","OPEN")</f>
        <v>OPEN</v>
      </c>
    </row>
    <row r="305" customFormat="false" ht="15" hidden="false" customHeight="false" outlineLevel="0" collapsed="false">
      <c r="A305" s="12" t="s">
        <v>652</v>
      </c>
      <c r="B305" s="12" t="s">
        <v>312</v>
      </c>
      <c r="C305" s="12" t="s">
        <v>360</v>
      </c>
      <c r="D305" s="12" t="s">
        <v>361</v>
      </c>
      <c r="E305" s="12" t="s">
        <v>362</v>
      </c>
      <c r="F305" s="12" t="n">
        <v>1</v>
      </c>
      <c r="G305" s="12" t="n">
        <v>1</v>
      </c>
      <c r="H305" s="13" t="str">
        <f aca="false">IF(G305=F305,"PASS","OPEN")</f>
        <v>PASS</v>
      </c>
    </row>
    <row r="306" customFormat="false" ht="15" hidden="false" customHeight="false" outlineLevel="0" collapsed="false">
      <c r="A306" s="12" t="s">
        <v>653</v>
      </c>
      <c r="B306" s="12" t="s">
        <v>312</v>
      </c>
      <c r="C306" s="12" t="s">
        <v>364</v>
      </c>
      <c r="D306" s="12" t="s">
        <v>365</v>
      </c>
      <c r="E306" s="12" t="s">
        <v>362</v>
      </c>
      <c r="F306" s="12" t="n">
        <v>1</v>
      </c>
      <c r="G306" s="12" t="n">
        <v>1</v>
      </c>
      <c r="H306" s="13" t="str">
        <f aca="false">IF(G306=F306,"PASS","OPEN")</f>
        <v>PASS</v>
      </c>
    </row>
    <row r="307" customFormat="false" ht="15" hidden="false" customHeight="false" outlineLevel="0" collapsed="false">
      <c r="A307" s="12" t="s">
        <v>654</v>
      </c>
      <c r="B307" s="12" t="s">
        <v>313</v>
      </c>
      <c r="C307" s="12" t="s">
        <v>329</v>
      </c>
      <c r="D307" s="12" t="s">
        <v>330</v>
      </c>
      <c r="E307" s="12" t="s">
        <v>140</v>
      </c>
      <c r="F307" s="12" t="n">
        <v>1</v>
      </c>
      <c r="G307" s="12" t="n">
        <v>0</v>
      </c>
      <c r="H307" s="13" t="str">
        <f aca="false">IF(G307=F307,"PASS","OPEN")</f>
        <v>OPEN</v>
      </c>
    </row>
    <row r="308" customFormat="false" ht="15" hidden="false" customHeight="false" outlineLevel="0" collapsed="false">
      <c r="A308" s="12" t="s">
        <v>655</v>
      </c>
      <c r="B308" s="12" t="s">
        <v>313</v>
      </c>
      <c r="C308" s="12" t="s">
        <v>332</v>
      </c>
      <c r="D308" s="12" t="s">
        <v>333</v>
      </c>
      <c r="E308" s="12" t="s">
        <v>140</v>
      </c>
      <c r="F308" s="12" t="n">
        <v>1</v>
      </c>
      <c r="G308" s="12" t="n">
        <v>0</v>
      </c>
      <c r="H308" s="13" t="str">
        <f aca="false">IF(G308=F308,"PASS","OPEN")</f>
        <v>OPEN</v>
      </c>
    </row>
    <row r="309" customFormat="false" ht="15" hidden="false" customHeight="false" outlineLevel="0" collapsed="false">
      <c r="A309" s="12" t="s">
        <v>656</v>
      </c>
      <c r="B309" s="12" t="s">
        <v>313</v>
      </c>
      <c r="C309" s="12" t="s">
        <v>335</v>
      </c>
      <c r="D309" s="12" t="s">
        <v>336</v>
      </c>
      <c r="E309" s="12" t="s">
        <v>140</v>
      </c>
      <c r="F309" s="12" t="n">
        <v>1</v>
      </c>
      <c r="G309" s="12" t="n">
        <v>0</v>
      </c>
      <c r="H309" s="13" t="str">
        <f aca="false">IF(G309=F309,"PASS","OPEN")</f>
        <v>OPEN</v>
      </c>
    </row>
    <row r="310" customFormat="false" ht="15" hidden="false" customHeight="false" outlineLevel="0" collapsed="false">
      <c r="A310" s="12" t="s">
        <v>657</v>
      </c>
      <c r="B310" s="12" t="s">
        <v>313</v>
      </c>
      <c r="C310" s="12" t="s">
        <v>338</v>
      </c>
      <c r="D310" s="12" t="s">
        <v>339</v>
      </c>
      <c r="E310" s="12" t="s">
        <v>140</v>
      </c>
      <c r="F310" s="12" t="n">
        <v>1</v>
      </c>
      <c r="G310" s="12" t="n">
        <v>0</v>
      </c>
      <c r="H310" s="13" t="str">
        <f aca="false">IF(G310=F310,"PASS","OPEN")</f>
        <v>OPEN</v>
      </c>
    </row>
    <row r="311" customFormat="false" ht="15" hidden="false" customHeight="false" outlineLevel="0" collapsed="false">
      <c r="A311" s="12" t="s">
        <v>658</v>
      </c>
      <c r="B311" s="12" t="s">
        <v>313</v>
      </c>
      <c r="C311" s="12" t="s">
        <v>341</v>
      </c>
      <c r="D311" s="12" t="s">
        <v>342</v>
      </c>
      <c r="E311" s="12" t="s">
        <v>140</v>
      </c>
      <c r="F311" s="12" t="n">
        <v>1</v>
      </c>
      <c r="G311" s="12" t="n">
        <v>0</v>
      </c>
      <c r="H311" s="13" t="str">
        <f aca="false">IF(G311=F311,"PASS","OPEN")</f>
        <v>OPEN</v>
      </c>
    </row>
    <row r="312" customFormat="false" ht="15" hidden="false" customHeight="false" outlineLevel="0" collapsed="false">
      <c r="A312" s="12" t="s">
        <v>659</v>
      </c>
      <c r="B312" s="12" t="s">
        <v>313</v>
      </c>
      <c r="C312" s="12" t="s">
        <v>344</v>
      </c>
      <c r="D312" s="12" t="s">
        <v>345</v>
      </c>
      <c r="E312" s="12" t="s">
        <v>346</v>
      </c>
      <c r="F312" s="12" t="n">
        <v>1</v>
      </c>
      <c r="G312" s="12" t="n">
        <v>0</v>
      </c>
      <c r="H312" s="13" t="str">
        <f aca="false">IF(G312=F312,"PASS","OPEN")</f>
        <v>OPEN</v>
      </c>
    </row>
    <row r="313" customFormat="false" ht="15" hidden="false" customHeight="false" outlineLevel="0" collapsed="false">
      <c r="A313" s="12" t="s">
        <v>660</v>
      </c>
      <c r="B313" s="12" t="s">
        <v>313</v>
      </c>
      <c r="C313" s="12" t="s">
        <v>348</v>
      </c>
      <c r="D313" s="12" t="s">
        <v>349</v>
      </c>
      <c r="E313" s="12" t="s">
        <v>140</v>
      </c>
      <c r="F313" s="12" t="n">
        <v>1</v>
      </c>
      <c r="G313" s="12" t="n">
        <v>0</v>
      </c>
      <c r="H313" s="13" t="str">
        <f aca="false">IF(G313=F313,"PASS","OPEN")</f>
        <v>OPEN</v>
      </c>
    </row>
    <row r="314" customFormat="false" ht="15" hidden="false" customHeight="false" outlineLevel="0" collapsed="false">
      <c r="A314" s="12" t="s">
        <v>661</v>
      </c>
      <c r="B314" s="12" t="s">
        <v>313</v>
      </c>
      <c r="C314" s="12" t="s">
        <v>351</v>
      </c>
      <c r="D314" s="12" t="s">
        <v>352</v>
      </c>
      <c r="E314" s="12" t="s">
        <v>140</v>
      </c>
      <c r="F314" s="12" t="n">
        <v>1</v>
      </c>
      <c r="G314" s="12" t="n">
        <v>0</v>
      </c>
      <c r="H314" s="13" t="str">
        <f aca="false">IF(G314=F314,"PASS","OPEN")</f>
        <v>OPEN</v>
      </c>
    </row>
    <row r="315" customFormat="false" ht="15" hidden="false" customHeight="false" outlineLevel="0" collapsed="false">
      <c r="A315" s="12" t="s">
        <v>662</v>
      </c>
      <c r="B315" s="12" t="s">
        <v>313</v>
      </c>
      <c r="C315" s="12" t="s">
        <v>354</v>
      </c>
      <c r="D315" s="12" t="s">
        <v>355</v>
      </c>
      <c r="E315" s="12" t="s">
        <v>140</v>
      </c>
      <c r="F315" s="12" t="n">
        <v>1</v>
      </c>
      <c r="G315" s="12" t="n">
        <v>0</v>
      </c>
      <c r="H315" s="13" t="str">
        <f aca="false">IF(G315=F315,"PASS","OPEN")</f>
        <v>OPEN</v>
      </c>
    </row>
    <row r="316" customFormat="false" ht="15" hidden="false" customHeight="false" outlineLevel="0" collapsed="false">
      <c r="A316" s="12" t="s">
        <v>663</v>
      </c>
      <c r="B316" s="12" t="s">
        <v>313</v>
      </c>
      <c r="C316" s="12" t="s">
        <v>357</v>
      </c>
      <c r="D316" s="12" t="s">
        <v>358</v>
      </c>
      <c r="E316" s="12" t="s">
        <v>140</v>
      </c>
      <c r="F316" s="12" t="n">
        <v>1</v>
      </c>
      <c r="G316" s="12" t="n">
        <v>0</v>
      </c>
      <c r="H316" s="13" t="str">
        <f aca="false">IF(G316=F316,"PASS","OPEN")</f>
        <v>OPEN</v>
      </c>
    </row>
    <row r="317" customFormat="false" ht="15" hidden="false" customHeight="false" outlineLevel="0" collapsed="false">
      <c r="A317" s="12" t="s">
        <v>664</v>
      </c>
      <c r="B317" s="12" t="s">
        <v>313</v>
      </c>
      <c r="C317" s="12" t="s">
        <v>360</v>
      </c>
      <c r="D317" s="12" t="s">
        <v>361</v>
      </c>
      <c r="E317" s="12" t="s">
        <v>362</v>
      </c>
      <c r="F317" s="12" t="n">
        <v>1</v>
      </c>
      <c r="G317" s="12" t="n">
        <v>1</v>
      </c>
      <c r="H317" s="13" t="str">
        <f aca="false">IF(G317=F317,"PASS","OPEN")</f>
        <v>PASS</v>
      </c>
    </row>
    <row r="318" customFormat="false" ht="15" hidden="false" customHeight="false" outlineLevel="0" collapsed="false">
      <c r="A318" s="12" t="s">
        <v>665</v>
      </c>
      <c r="B318" s="12" t="s">
        <v>313</v>
      </c>
      <c r="C318" s="12" t="s">
        <v>364</v>
      </c>
      <c r="D318" s="12" t="s">
        <v>365</v>
      </c>
      <c r="E318" s="12" t="s">
        <v>362</v>
      </c>
      <c r="F318" s="12" t="n">
        <v>1</v>
      </c>
      <c r="G318" s="12" t="n">
        <v>1</v>
      </c>
      <c r="H318" s="13" t="str">
        <f aca="false">IF(G318=F318,"PASS","OPEN")</f>
        <v>PASS</v>
      </c>
    </row>
    <row r="319" customFormat="false" ht="15" hidden="false" customHeight="false" outlineLevel="0" collapsed="false">
      <c r="A319" s="12" t="s">
        <v>666</v>
      </c>
      <c r="B319" s="12" t="s">
        <v>316</v>
      </c>
      <c r="C319" s="12" t="s">
        <v>329</v>
      </c>
      <c r="D319" s="12" t="s">
        <v>330</v>
      </c>
      <c r="E319" s="12" t="s">
        <v>140</v>
      </c>
      <c r="F319" s="12" t="n">
        <v>1</v>
      </c>
      <c r="G319" s="12" t="n">
        <v>0</v>
      </c>
      <c r="H319" s="13" t="str">
        <f aca="false">IF(G319=F319,"PASS","OPEN")</f>
        <v>OPEN</v>
      </c>
    </row>
    <row r="320" customFormat="false" ht="15" hidden="false" customHeight="false" outlineLevel="0" collapsed="false">
      <c r="A320" s="12" t="s">
        <v>667</v>
      </c>
      <c r="B320" s="12" t="s">
        <v>316</v>
      </c>
      <c r="C320" s="12" t="s">
        <v>332</v>
      </c>
      <c r="D320" s="12" t="s">
        <v>333</v>
      </c>
      <c r="E320" s="12" t="s">
        <v>140</v>
      </c>
      <c r="F320" s="12" t="n">
        <v>1</v>
      </c>
      <c r="G320" s="12" t="n">
        <v>0</v>
      </c>
      <c r="H320" s="13" t="str">
        <f aca="false">IF(G320=F320,"PASS","OPEN")</f>
        <v>OPEN</v>
      </c>
    </row>
    <row r="321" customFormat="false" ht="15" hidden="false" customHeight="false" outlineLevel="0" collapsed="false">
      <c r="A321" s="12" t="s">
        <v>668</v>
      </c>
      <c r="B321" s="12" t="s">
        <v>316</v>
      </c>
      <c r="C321" s="12" t="s">
        <v>335</v>
      </c>
      <c r="D321" s="12" t="s">
        <v>336</v>
      </c>
      <c r="E321" s="12" t="s">
        <v>140</v>
      </c>
      <c r="F321" s="12" t="n">
        <v>1</v>
      </c>
      <c r="G321" s="12" t="n">
        <v>0</v>
      </c>
      <c r="H321" s="13" t="str">
        <f aca="false">IF(G321=F321,"PASS","OPEN")</f>
        <v>OPEN</v>
      </c>
    </row>
    <row r="322" customFormat="false" ht="15" hidden="false" customHeight="false" outlineLevel="0" collapsed="false">
      <c r="A322" s="12" t="s">
        <v>669</v>
      </c>
      <c r="B322" s="12" t="s">
        <v>316</v>
      </c>
      <c r="C322" s="12" t="s">
        <v>338</v>
      </c>
      <c r="D322" s="12" t="s">
        <v>339</v>
      </c>
      <c r="E322" s="12" t="s">
        <v>140</v>
      </c>
      <c r="F322" s="12" t="n">
        <v>1</v>
      </c>
      <c r="G322" s="12" t="n">
        <v>0</v>
      </c>
      <c r="H322" s="13" t="str">
        <f aca="false">IF(G322=F322,"PASS","OPEN")</f>
        <v>OPEN</v>
      </c>
    </row>
    <row r="323" customFormat="false" ht="15" hidden="false" customHeight="false" outlineLevel="0" collapsed="false">
      <c r="A323" s="12" t="s">
        <v>670</v>
      </c>
      <c r="B323" s="12" t="s">
        <v>316</v>
      </c>
      <c r="C323" s="12" t="s">
        <v>341</v>
      </c>
      <c r="D323" s="12" t="s">
        <v>342</v>
      </c>
      <c r="E323" s="12" t="s">
        <v>140</v>
      </c>
      <c r="F323" s="12" t="n">
        <v>1</v>
      </c>
      <c r="G323" s="12" t="n">
        <v>0</v>
      </c>
      <c r="H323" s="13" t="str">
        <f aca="false">IF(G323=F323,"PASS","OPEN")</f>
        <v>OPEN</v>
      </c>
    </row>
    <row r="324" customFormat="false" ht="15" hidden="false" customHeight="false" outlineLevel="0" collapsed="false">
      <c r="A324" s="12" t="s">
        <v>671</v>
      </c>
      <c r="B324" s="12" t="s">
        <v>316</v>
      </c>
      <c r="C324" s="12" t="s">
        <v>344</v>
      </c>
      <c r="D324" s="12" t="s">
        <v>345</v>
      </c>
      <c r="E324" s="12" t="s">
        <v>346</v>
      </c>
      <c r="F324" s="12" t="n">
        <v>1</v>
      </c>
      <c r="G324" s="12" t="n">
        <v>0</v>
      </c>
      <c r="H324" s="13" t="str">
        <f aca="false">IF(G324=F324,"PASS","OPEN")</f>
        <v>OPEN</v>
      </c>
    </row>
    <row r="325" customFormat="false" ht="15" hidden="false" customHeight="false" outlineLevel="0" collapsed="false">
      <c r="A325" s="12" t="s">
        <v>672</v>
      </c>
      <c r="B325" s="12" t="s">
        <v>316</v>
      </c>
      <c r="C325" s="12" t="s">
        <v>348</v>
      </c>
      <c r="D325" s="12" t="s">
        <v>349</v>
      </c>
      <c r="E325" s="12" t="s">
        <v>140</v>
      </c>
      <c r="F325" s="12" t="n">
        <v>1</v>
      </c>
      <c r="G325" s="12" t="n">
        <v>0</v>
      </c>
      <c r="H325" s="13" t="str">
        <f aca="false">IF(G325=F325,"PASS","OPEN")</f>
        <v>OPEN</v>
      </c>
    </row>
    <row r="326" customFormat="false" ht="15" hidden="false" customHeight="false" outlineLevel="0" collapsed="false">
      <c r="A326" s="12" t="s">
        <v>673</v>
      </c>
      <c r="B326" s="12" t="s">
        <v>316</v>
      </c>
      <c r="C326" s="12" t="s">
        <v>351</v>
      </c>
      <c r="D326" s="12" t="s">
        <v>352</v>
      </c>
      <c r="E326" s="12" t="s">
        <v>140</v>
      </c>
      <c r="F326" s="12" t="n">
        <v>1</v>
      </c>
      <c r="G326" s="12" t="n">
        <v>0</v>
      </c>
      <c r="H326" s="13" t="str">
        <f aca="false">IF(G326=F326,"PASS","OPEN")</f>
        <v>OPEN</v>
      </c>
    </row>
    <row r="327" customFormat="false" ht="15" hidden="false" customHeight="false" outlineLevel="0" collapsed="false">
      <c r="A327" s="12" t="s">
        <v>674</v>
      </c>
      <c r="B327" s="12" t="s">
        <v>316</v>
      </c>
      <c r="C327" s="12" t="s">
        <v>354</v>
      </c>
      <c r="D327" s="12" t="s">
        <v>355</v>
      </c>
      <c r="E327" s="12" t="s">
        <v>140</v>
      </c>
      <c r="F327" s="12" t="n">
        <v>1</v>
      </c>
      <c r="G327" s="12" t="n">
        <v>0</v>
      </c>
      <c r="H327" s="13" t="str">
        <f aca="false">IF(G327=F327,"PASS","OPEN")</f>
        <v>OPEN</v>
      </c>
    </row>
    <row r="328" customFormat="false" ht="15" hidden="false" customHeight="false" outlineLevel="0" collapsed="false">
      <c r="A328" s="12" t="s">
        <v>675</v>
      </c>
      <c r="B328" s="12" t="s">
        <v>316</v>
      </c>
      <c r="C328" s="12" t="s">
        <v>357</v>
      </c>
      <c r="D328" s="12" t="s">
        <v>358</v>
      </c>
      <c r="E328" s="12" t="s">
        <v>140</v>
      </c>
      <c r="F328" s="12" t="n">
        <v>1</v>
      </c>
      <c r="G328" s="12" t="n">
        <v>0</v>
      </c>
      <c r="H328" s="13" t="str">
        <f aca="false">IF(G328=F328,"PASS","OPEN")</f>
        <v>OPEN</v>
      </c>
    </row>
    <row r="329" customFormat="false" ht="15" hidden="false" customHeight="false" outlineLevel="0" collapsed="false">
      <c r="A329" s="12" t="s">
        <v>676</v>
      </c>
      <c r="B329" s="12" t="s">
        <v>316</v>
      </c>
      <c r="C329" s="12" t="s">
        <v>360</v>
      </c>
      <c r="D329" s="12" t="s">
        <v>361</v>
      </c>
      <c r="E329" s="12" t="s">
        <v>362</v>
      </c>
      <c r="F329" s="12" t="n">
        <v>1</v>
      </c>
      <c r="G329" s="12" t="n">
        <v>1</v>
      </c>
      <c r="H329" s="13" t="str">
        <f aca="false">IF(G329=F329,"PASS","OPEN")</f>
        <v>PASS</v>
      </c>
    </row>
    <row r="330" customFormat="false" ht="15" hidden="false" customHeight="false" outlineLevel="0" collapsed="false">
      <c r="A330" s="12" t="s">
        <v>677</v>
      </c>
      <c r="B330" s="12" t="s">
        <v>316</v>
      </c>
      <c r="C330" s="12" t="s">
        <v>364</v>
      </c>
      <c r="D330" s="12" t="s">
        <v>365</v>
      </c>
      <c r="E330" s="12" t="s">
        <v>362</v>
      </c>
      <c r="F330" s="12" t="n">
        <v>1</v>
      </c>
      <c r="G330" s="12" t="n">
        <v>1</v>
      </c>
      <c r="H330" s="13" t="str">
        <f aca="false">IF(G330=F330,"PASS","OPEN")</f>
        <v>PASS</v>
      </c>
    </row>
    <row r="331" customFormat="false" ht="15" hidden="false" customHeight="false" outlineLevel="0" collapsed="false">
      <c r="A331" s="12" t="s">
        <v>678</v>
      </c>
      <c r="B331" s="12" t="s">
        <v>317</v>
      </c>
      <c r="C331" s="12" t="s">
        <v>329</v>
      </c>
      <c r="D331" s="12" t="s">
        <v>330</v>
      </c>
      <c r="E331" s="12" t="s">
        <v>140</v>
      </c>
      <c r="F331" s="12" t="n">
        <v>1</v>
      </c>
      <c r="G331" s="12" t="n">
        <v>0</v>
      </c>
      <c r="H331" s="13" t="str">
        <f aca="false">IF(G331=F331,"PASS","OPEN")</f>
        <v>OPEN</v>
      </c>
    </row>
    <row r="332" customFormat="false" ht="15" hidden="false" customHeight="false" outlineLevel="0" collapsed="false">
      <c r="A332" s="12" t="s">
        <v>679</v>
      </c>
      <c r="B332" s="12" t="s">
        <v>317</v>
      </c>
      <c r="C332" s="12" t="s">
        <v>332</v>
      </c>
      <c r="D332" s="12" t="s">
        <v>333</v>
      </c>
      <c r="E332" s="12" t="s">
        <v>140</v>
      </c>
      <c r="F332" s="12" t="n">
        <v>1</v>
      </c>
      <c r="G332" s="12" t="n">
        <v>0</v>
      </c>
      <c r="H332" s="13" t="str">
        <f aca="false">IF(G332=F332,"PASS","OPEN")</f>
        <v>OPEN</v>
      </c>
    </row>
    <row r="333" customFormat="false" ht="15" hidden="false" customHeight="false" outlineLevel="0" collapsed="false">
      <c r="A333" s="12" t="s">
        <v>680</v>
      </c>
      <c r="B333" s="12" t="s">
        <v>317</v>
      </c>
      <c r="C333" s="12" t="s">
        <v>335</v>
      </c>
      <c r="D333" s="12" t="s">
        <v>336</v>
      </c>
      <c r="E333" s="12" t="s">
        <v>140</v>
      </c>
      <c r="F333" s="12" t="n">
        <v>1</v>
      </c>
      <c r="G333" s="12" t="n">
        <v>0</v>
      </c>
      <c r="H333" s="13" t="str">
        <f aca="false">IF(G333=F333,"PASS","OPEN")</f>
        <v>OPEN</v>
      </c>
    </row>
    <row r="334" customFormat="false" ht="15" hidden="false" customHeight="false" outlineLevel="0" collapsed="false">
      <c r="A334" s="12" t="s">
        <v>681</v>
      </c>
      <c r="B334" s="12" t="s">
        <v>317</v>
      </c>
      <c r="C334" s="12" t="s">
        <v>338</v>
      </c>
      <c r="D334" s="12" t="s">
        <v>339</v>
      </c>
      <c r="E334" s="12" t="s">
        <v>140</v>
      </c>
      <c r="F334" s="12" t="n">
        <v>1</v>
      </c>
      <c r="G334" s="12" t="n">
        <v>0</v>
      </c>
      <c r="H334" s="13" t="str">
        <f aca="false">IF(G334=F334,"PASS","OPEN")</f>
        <v>OPEN</v>
      </c>
    </row>
    <row r="335" customFormat="false" ht="15" hidden="false" customHeight="false" outlineLevel="0" collapsed="false">
      <c r="A335" s="12" t="s">
        <v>682</v>
      </c>
      <c r="B335" s="12" t="s">
        <v>317</v>
      </c>
      <c r="C335" s="12" t="s">
        <v>341</v>
      </c>
      <c r="D335" s="12" t="s">
        <v>342</v>
      </c>
      <c r="E335" s="12" t="s">
        <v>140</v>
      </c>
      <c r="F335" s="12" t="n">
        <v>1</v>
      </c>
      <c r="G335" s="12" t="n">
        <v>0</v>
      </c>
      <c r="H335" s="13" t="str">
        <f aca="false">IF(G335=F335,"PASS","OPEN")</f>
        <v>OPEN</v>
      </c>
    </row>
    <row r="336" customFormat="false" ht="15" hidden="false" customHeight="false" outlineLevel="0" collapsed="false">
      <c r="A336" s="12" t="s">
        <v>683</v>
      </c>
      <c r="B336" s="12" t="s">
        <v>317</v>
      </c>
      <c r="C336" s="12" t="s">
        <v>344</v>
      </c>
      <c r="D336" s="12" t="s">
        <v>345</v>
      </c>
      <c r="E336" s="12" t="s">
        <v>346</v>
      </c>
      <c r="F336" s="12" t="n">
        <v>1</v>
      </c>
      <c r="G336" s="12" t="n">
        <v>0</v>
      </c>
      <c r="H336" s="13" t="str">
        <f aca="false">IF(G336=F336,"PASS","OPEN")</f>
        <v>OPEN</v>
      </c>
    </row>
    <row r="337" customFormat="false" ht="15" hidden="false" customHeight="false" outlineLevel="0" collapsed="false">
      <c r="A337" s="12" t="s">
        <v>684</v>
      </c>
      <c r="B337" s="12" t="s">
        <v>317</v>
      </c>
      <c r="C337" s="12" t="s">
        <v>348</v>
      </c>
      <c r="D337" s="12" t="s">
        <v>349</v>
      </c>
      <c r="E337" s="12" t="s">
        <v>140</v>
      </c>
      <c r="F337" s="12" t="n">
        <v>1</v>
      </c>
      <c r="G337" s="12" t="n">
        <v>0</v>
      </c>
      <c r="H337" s="13" t="str">
        <f aca="false">IF(G337=F337,"PASS","OPEN")</f>
        <v>OPEN</v>
      </c>
    </row>
    <row r="338" customFormat="false" ht="15" hidden="false" customHeight="false" outlineLevel="0" collapsed="false">
      <c r="A338" s="12" t="s">
        <v>685</v>
      </c>
      <c r="B338" s="12" t="s">
        <v>317</v>
      </c>
      <c r="C338" s="12" t="s">
        <v>351</v>
      </c>
      <c r="D338" s="12" t="s">
        <v>352</v>
      </c>
      <c r="E338" s="12" t="s">
        <v>140</v>
      </c>
      <c r="F338" s="12" t="n">
        <v>1</v>
      </c>
      <c r="G338" s="12" t="n">
        <v>0</v>
      </c>
      <c r="H338" s="13" t="str">
        <f aca="false">IF(G338=F338,"PASS","OPEN")</f>
        <v>OPEN</v>
      </c>
    </row>
    <row r="339" customFormat="false" ht="15" hidden="false" customHeight="false" outlineLevel="0" collapsed="false">
      <c r="A339" s="12" t="s">
        <v>686</v>
      </c>
      <c r="B339" s="12" t="s">
        <v>317</v>
      </c>
      <c r="C339" s="12" t="s">
        <v>354</v>
      </c>
      <c r="D339" s="12" t="s">
        <v>355</v>
      </c>
      <c r="E339" s="12" t="s">
        <v>140</v>
      </c>
      <c r="F339" s="12" t="n">
        <v>1</v>
      </c>
      <c r="G339" s="12" t="n">
        <v>0</v>
      </c>
      <c r="H339" s="13" t="str">
        <f aca="false">IF(G339=F339,"PASS","OPEN")</f>
        <v>OPEN</v>
      </c>
    </row>
    <row r="340" customFormat="false" ht="15" hidden="false" customHeight="false" outlineLevel="0" collapsed="false">
      <c r="A340" s="12" t="s">
        <v>687</v>
      </c>
      <c r="B340" s="12" t="s">
        <v>317</v>
      </c>
      <c r="C340" s="12" t="s">
        <v>357</v>
      </c>
      <c r="D340" s="12" t="s">
        <v>358</v>
      </c>
      <c r="E340" s="12" t="s">
        <v>140</v>
      </c>
      <c r="F340" s="12" t="n">
        <v>1</v>
      </c>
      <c r="G340" s="12" t="n">
        <v>0</v>
      </c>
      <c r="H340" s="13" t="str">
        <f aca="false">IF(G340=F340,"PASS","OPEN")</f>
        <v>OPEN</v>
      </c>
    </row>
    <row r="341" customFormat="false" ht="15" hidden="false" customHeight="false" outlineLevel="0" collapsed="false">
      <c r="A341" s="12" t="s">
        <v>688</v>
      </c>
      <c r="B341" s="12" t="s">
        <v>317</v>
      </c>
      <c r="C341" s="12" t="s">
        <v>360</v>
      </c>
      <c r="D341" s="12" t="s">
        <v>361</v>
      </c>
      <c r="E341" s="12" t="s">
        <v>362</v>
      </c>
      <c r="F341" s="12" t="n">
        <v>1</v>
      </c>
      <c r="G341" s="12" t="n">
        <v>1</v>
      </c>
      <c r="H341" s="13" t="str">
        <f aca="false">IF(G341=F341,"PASS","OPEN")</f>
        <v>PASS</v>
      </c>
    </row>
    <row r="342" customFormat="false" ht="15" hidden="false" customHeight="false" outlineLevel="0" collapsed="false">
      <c r="A342" s="12" t="s">
        <v>689</v>
      </c>
      <c r="B342" s="12" t="s">
        <v>317</v>
      </c>
      <c r="C342" s="12" t="s">
        <v>364</v>
      </c>
      <c r="D342" s="12" t="s">
        <v>365</v>
      </c>
      <c r="E342" s="12" t="s">
        <v>362</v>
      </c>
      <c r="F342" s="12" t="n">
        <v>1</v>
      </c>
      <c r="G342" s="12" t="n">
        <v>1</v>
      </c>
      <c r="H342" s="13" t="str">
        <f aca="false">IF(G342=F342,"PASS","OPEN")</f>
        <v>PASS</v>
      </c>
    </row>
    <row r="343" customFormat="false" ht="15" hidden="false" customHeight="false" outlineLevel="0" collapsed="false">
      <c r="A343" s="12" t="s">
        <v>690</v>
      </c>
      <c r="B343" s="12" t="s">
        <v>318</v>
      </c>
      <c r="C343" s="12" t="s">
        <v>329</v>
      </c>
      <c r="D343" s="12" t="s">
        <v>330</v>
      </c>
      <c r="E343" s="12" t="s">
        <v>140</v>
      </c>
      <c r="F343" s="12" t="n">
        <v>1</v>
      </c>
      <c r="G343" s="12" t="n">
        <v>0</v>
      </c>
      <c r="H343" s="13" t="str">
        <f aca="false">IF(G343=F343,"PASS","OPEN")</f>
        <v>OPEN</v>
      </c>
    </row>
    <row r="344" customFormat="false" ht="15" hidden="false" customHeight="false" outlineLevel="0" collapsed="false">
      <c r="A344" s="12" t="s">
        <v>691</v>
      </c>
      <c r="B344" s="12" t="s">
        <v>318</v>
      </c>
      <c r="C344" s="12" t="s">
        <v>332</v>
      </c>
      <c r="D344" s="12" t="s">
        <v>333</v>
      </c>
      <c r="E344" s="12" t="s">
        <v>140</v>
      </c>
      <c r="F344" s="12" t="n">
        <v>1</v>
      </c>
      <c r="G344" s="12" t="n">
        <v>0</v>
      </c>
      <c r="H344" s="13" t="str">
        <f aca="false">IF(G344=F344,"PASS","OPEN")</f>
        <v>OPEN</v>
      </c>
    </row>
    <row r="345" customFormat="false" ht="15" hidden="false" customHeight="false" outlineLevel="0" collapsed="false">
      <c r="A345" s="12" t="s">
        <v>692</v>
      </c>
      <c r="B345" s="12" t="s">
        <v>318</v>
      </c>
      <c r="C345" s="12" t="s">
        <v>335</v>
      </c>
      <c r="D345" s="12" t="s">
        <v>336</v>
      </c>
      <c r="E345" s="12" t="s">
        <v>140</v>
      </c>
      <c r="F345" s="12" t="n">
        <v>1</v>
      </c>
      <c r="G345" s="12" t="n">
        <v>0</v>
      </c>
      <c r="H345" s="13" t="str">
        <f aca="false">IF(G345=F345,"PASS","OPEN")</f>
        <v>OPEN</v>
      </c>
    </row>
    <row r="346" customFormat="false" ht="15" hidden="false" customHeight="false" outlineLevel="0" collapsed="false">
      <c r="A346" s="12" t="s">
        <v>693</v>
      </c>
      <c r="B346" s="12" t="s">
        <v>318</v>
      </c>
      <c r="C346" s="12" t="s">
        <v>338</v>
      </c>
      <c r="D346" s="12" t="s">
        <v>339</v>
      </c>
      <c r="E346" s="12" t="s">
        <v>140</v>
      </c>
      <c r="F346" s="12" t="n">
        <v>1</v>
      </c>
      <c r="G346" s="12" t="n">
        <v>0</v>
      </c>
      <c r="H346" s="13" t="str">
        <f aca="false">IF(G346=F346,"PASS","OPEN")</f>
        <v>OPEN</v>
      </c>
    </row>
    <row r="347" customFormat="false" ht="15" hidden="false" customHeight="false" outlineLevel="0" collapsed="false">
      <c r="A347" s="12" t="s">
        <v>694</v>
      </c>
      <c r="B347" s="12" t="s">
        <v>318</v>
      </c>
      <c r="C347" s="12" t="s">
        <v>341</v>
      </c>
      <c r="D347" s="12" t="s">
        <v>342</v>
      </c>
      <c r="E347" s="12" t="s">
        <v>140</v>
      </c>
      <c r="F347" s="12" t="n">
        <v>1</v>
      </c>
      <c r="G347" s="12" t="n">
        <v>0</v>
      </c>
      <c r="H347" s="13" t="str">
        <f aca="false">IF(G347=F347,"PASS","OPEN")</f>
        <v>OPEN</v>
      </c>
    </row>
    <row r="348" customFormat="false" ht="15" hidden="false" customHeight="false" outlineLevel="0" collapsed="false">
      <c r="A348" s="12" t="s">
        <v>695</v>
      </c>
      <c r="B348" s="12" t="s">
        <v>318</v>
      </c>
      <c r="C348" s="12" t="s">
        <v>344</v>
      </c>
      <c r="D348" s="12" t="s">
        <v>345</v>
      </c>
      <c r="E348" s="12" t="s">
        <v>346</v>
      </c>
      <c r="F348" s="12" t="n">
        <v>1</v>
      </c>
      <c r="G348" s="12" t="n">
        <v>0</v>
      </c>
      <c r="H348" s="13" t="str">
        <f aca="false">IF(G348=F348,"PASS","OPEN")</f>
        <v>OPEN</v>
      </c>
    </row>
    <row r="349" customFormat="false" ht="15" hidden="false" customHeight="false" outlineLevel="0" collapsed="false">
      <c r="A349" s="12" t="s">
        <v>696</v>
      </c>
      <c r="B349" s="12" t="s">
        <v>318</v>
      </c>
      <c r="C349" s="12" t="s">
        <v>348</v>
      </c>
      <c r="D349" s="12" t="s">
        <v>349</v>
      </c>
      <c r="E349" s="12" t="s">
        <v>140</v>
      </c>
      <c r="F349" s="12" t="n">
        <v>1</v>
      </c>
      <c r="G349" s="12" t="n">
        <v>0</v>
      </c>
      <c r="H349" s="13" t="str">
        <f aca="false">IF(G349=F349,"PASS","OPEN")</f>
        <v>OPEN</v>
      </c>
    </row>
    <row r="350" customFormat="false" ht="15" hidden="false" customHeight="false" outlineLevel="0" collapsed="false">
      <c r="A350" s="12" t="s">
        <v>697</v>
      </c>
      <c r="B350" s="12" t="s">
        <v>318</v>
      </c>
      <c r="C350" s="12" t="s">
        <v>351</v>
      </c>
      <c r="D350" s="12" t="s">
        <v>352</v>
      </c>
      <c r="E350" s="12" t="s">
        <v>140</v>
      </c>
      <c r="F350" s="12" t="n">
        <v>1</v>
      </c>
      <c r="G350" s="12" t="n">
        <v>0</v>
      </c>
      <c r="H350" s="13" t="str">
        <f aca="false">IF(G350=F350,"PASS","OPEN")</f>
        <v>OPEN</v>
      </c>
    </row>
    <row r="351" customFormat="false" ht="15" hidden="false" customHeight="false" outlineLevel="0" collapsed="false">
      <c r="A351" s="12" t="s">
        <v>698</v>
      </c>
      <c r="B351" s="12" t="s">
        <v>318</v>
      </c>
      <c r="C351" s="12" t="s">
        <v>354</v>
      </c>
      <c r="D351" s="12" t="s">
        <v>355</v>
      </c>
      <c r="E351" s="12" t="s">
        <v>140</v>
      </c>
      <c r="F351" s="12" t="n">
        <v>1</v>
      </c>
      <c r="G351" s="12" t="n">
        <v>0</v>
      </c>
      <c r="H351" s="13" t="str">
        <f aca="false">IF(G351=F351,"PASS","OPEN")</f>
        <v>OPEN</v>
      </c>
    </row>
    <row r="352" customFormat="false" ht="15" hidden="false" customHeight="false" outlineLevel="0" collapsed="false">
      <c r="A352" s="12" t="s">
        <v>699</v>
      </c>
      <c r="B352" s="12" t="s">
        <v>318</v>
      </c>
      <c r="C352" s="12" t="s">
        <v>357</v>
      </c>
      <c r="D352" s="12" t="s">
        <v>358</v>
      </c>
      <c r="E352" s="12" t="s">
        <v>140</v>
      </c>
      <c r="F352" s="12" t="n">
        <v>1</v>
      </c>
      <c r="G352" s="12" t="n">
        <v>0</v>
      </c>
      <c r="H352" s="13" t="str">
        <f aca="false">IF(G352=F352,"PASS","OPEN")</f>
        <v>OPEN</v>
      </c>
    </row>
    <row r="353" customFormat="false" ht="15" hidden="false" customHeight="false" outlineLevel="0" collapsed="false">
      <c r="A353" s="12" t="s">
        <v>700</v>
      </c>
      <c r="B353" s="12" t="s">
        <v>318</v>
      </c>
      <c r="C353" s="12" t="s">
        <v>360</v>
      </c>
      <c r="D353" s="12" t="s">
        <v>361</v>
      </c>
      <c r="E353" s="12" t="s">
        <v>362</v>
      </c>
      <c r="F353" s="12" t="n">
        <v>1</v>
      </c>
      <c r="G353" s="12" t="n">
        <v>1</v>
      </c>
      <c r="H353" s="13" t="str">
        <f aca="false">IF(G353=F353,"PASS","OPEN")</f>
        <v>PASS</v>
      </c>
    </row>
    <row r="354" customFormat="false" ht="15" hidden="false" customHeight="false" outlineLevel="0" collapsed="false">
      <c r="A354" s="12" t="s">
        <v>701</v>
      </c>
      <c r="B354" s="12" t="s">
        <v>318</v>
      </c>
      <c r="C354" s="12" t="s">
        <v>364</v>
      </c>
      <c r="D354" s="12" t="s">
        <v>365</v>
      </c>
      <c r="E354" s="12" t="s">
        <v>362</v>
      </c>
      <c r="F354" s="12" t="n">
        <v>1</v>
      </c>
      <c r="G354" s="12" t="n">
        <v>1</v>
      </c>
      <c r="H354" s="13" t="str">
        <f aca="false">IF(G354=F354,"PASS","OPEN")</f>
        <v>PASS</v>
      </c>
    </row>
    <row r="355" customFormat="false" ht="15" hidden="false" customHeight="false" outlineLevel="0" collapsed="false">
      <c r="A355" s="12" t="s">
        <v>702</v>
      </c>
      <c r="B355" s="12" t="s">
        <v>319</v>
      </c>
      <c r="C355" s="12" t="s">
        <v>329</v>
      </c>
      <c r="D355" s="12" t="s">
        <v>330</v>
      </c>
      <c r="E355" s="12" t="s">
        <v>140</v>
      </c>
      <c r="F355" s="12" t="n">
        <v>1</v>
      </c>
      <c r="G355" s="12" t="n">
        <v>0</v>
      </c>
      <c r="H355" s="13" t="str">
        <f aca="false">IF(G355=F355,"PASS","OPEN")</f>
        <v>OPEN</v>
      </c>
    </row>
    <row r="356" customFormat="false" ht="15" hidden="false" customHeight="false" outlineLevel="0" collapsed="false">
      <c r="A356" s="12" t="s">
        <v>703</v>
      </c>
      <c r="B356" s="12" t="s">
        <v>319</v>
      </c>
      <c r="C356" s="12" t="s">
        <v>332</v>
      </c>
      <c r="D356" s="12" t="s">
        <v>333</v>
      </c>
      <c r="E356" s="12" t="s">
        <v>140</v>
      </c>
      <c r="F356" s="12" t="n">
        <v>1</v>
      </c>
      <c r="G356" s="12" t="n">
        <v>0</v>
      </c>
      <c r="H356" s="13" t="str">
        <f aca="false">IF(G356=F356,"PASS","OPEN")</f>
        <v>OPEN</v>
      </c>
    </row>
    <row r="357" customFormat="false" ht="15" hidden="false" customHeight="false" outlineLevel="0" collapsed="false">
      <c r="A357" s="12" t="s">
        <v>704</v>
      </c>
      <c r="B357" s="12" t="s">
        <v>319</v>
      </c>
      <c r="C357" s="12" t="s">
        <v>335</v>
      </c>
      <c r="D357" s="12" t="s">
        <v>336</v>
      </c>
      <c r="E357" s="12" t="s">
        <v>140</v>
      </c>
      <c r="F357" s="12" t="n">
        <v>1</v>
      </c>
      <c r="G357" s="12" t="n">
        <v>0</v>
      </c>
      <c r="H357" s="13" t="str">
        <f aca="false">IF(G357=F357,"PASS","OPEN")</f>
        <v>OPEN</v>
      </c>
    </row>
    <row r="358" customFormat="false" ht="15" hidden="false" customHeight="false" outlineLevel="0" collapsed="false">
      <c r="A358" s="12" t="s">
        <v>705</v>
      </c>
      <c r="B358" s="12" t="s">
        <v>319</v>
      </c>
      <c r="C358" s="12" t="s">
        <v>338</v>
      </c>
      <c r="D358" s="12" t="s">
        <v>339</v>
      </c>
      <c r="E358" s="12" t="s">
        <v>140</v>
      </c>
      <c r="F358" s="12" t="n">
        <v>1</v>
      </c>
      <c r="G358" s="12" t="n">
        <v>0</v>
      </c>
      <c r="H358" s="13" t="str">
        <f aca="false">IF(G358=F358,"PASS","OPEN")</f>
        <v>OPEN</v>
      </c>
    </row>
    <row r="359" customFormat="false" ht="15" hidden="false" customHeight="false" outlineLevel="0" collapsed="false">
      <c r="A359" s="12" t="s">
        <v>706</v>
      </c>
      <c r="B359" s="12" t="s">
        <v>319</v>
      </c>
      <c r="C359" s="12" t="s">
        <v>341</v>
      </c>
      <c r="D359" s="12" t="s">
        <v>342</v>
      </c>
      <c r="E359" s="12" t="s">
        <v>140</v>
      </c>
      <c r="F359" s="12" t="n">
        <v>1</v>
      </c>
      <c r="G359" s="12" t="n">
        <v>0</v>
      </c>
      <c r="H359" s="13" t="str">
        <f aca="false">IF(G359=F359,"PASS","OPEN")</f>
        <v>OPEN</v>
      </c>
    </row>
    <row r="360" customFormat="false" ht="15" hidden="false" customHeight="false" outlineLevel="0" collapsed="false">
      <c r="A360" s="12" t="s">
        <v>707</v>
      </c>
      <c r="B360" s="12" t="s">
        <v>319</v>
      </c>
      <c r="C360" s="12" t="s">
        <v>344</v>
      </c>
      <c r="D360" s="12" t="s">
        <v>345</v>
      </c>
      <c r="E360" s="12" t="s">
        <v>346</v>
      </c>
      <c r="F360" s="12" t="n">
        <v>1</v>
      </c>
      <c r="G360" s="12" t="n">
        <v>0</v>
      </c>
      <c r="H360" s="13" t="str">
        <f aca="false">IF(G360=F360,"PASS","OPEN")</f>
        <v>OPEN</v>
      </c>
    </row>
    <row r="361" customFormat="false" ht="15" hidden="false" customHeight="false" outlineLevel="0" collapsed="false">
      <c r="A361" s="12" t="s">
        <v>708</v>
      </c>
      <c r="B361" s="12" t="s">
        <v>319</v>
      </c>
      <c r="C361" s="12" t="s">
        <v>348</v>
      </c>
      <c r="D361" s="12" t="s">
        <v>349</v>
      </c>
      <c r="E361" s="12" t="s">
        <v>140</v>
      </c>
      <c r="F361" s="12" t="n">
        <v>1</v>
      </c>
      <c r="G361" s="12" t="n">
        <v>0</v>
      </c>
      <c r="H361" s="13" t="str">
        <f aca="false">IF(G361=F361,"PASS","OPEN")</f>
        <v>OPEN</v>
      </c>
    </row>
    <row r="362" customFormat="false" ht="15" hidden="false" customHeight="false" outlineLevel="0" collapsed="false">
      <c r="A362" s="12" t="s">
        <v>709</v>
      </c>
      <c r="B362" s="12" t="s">
        <v>319</v>
      </c>
      <c r="C362" s="12" t="s">
        <v>351</v>
      </c>
      <c r="D362" s="12" t="s">
        <v>352</v>
      </c>
      <c r="E362" s="12" t="s">
        <v>140</v>
      </c>
      <c r="F362" s="12" t="n">
        <v>1</v>
      </c>
      <c r="G362" s="12" t="n">
        <v>0</v>
      </c>
      <c r="H362" s="13" t="str">
        <f aca="false">IF(G362=F362,"PASS","OPEN")</f>
        <v>OPEN</v>
      </c>
    </row>
    <row r="363" customFormat="false" ht="15" hidden="false" customHeight="false" outlineLevel="0" collapsed="false">
      <c r="A363" s="12" t="s">
        <v>710</v>
      </c>
      <c r="B363" s="12" t="s">
        <v>319</v>
      </c>
      <c r="C363" s="12" t="s">
        <v>354</v>
      </c>
      <c r="D363" s="12" t="s">
        <v>355</v>
      </c>
      <c r="E363" s="12" t="s">
        <v>140</v>
      </c>
      <c r="F363" s="12" t="n">
        <v>1</v>
      </c>
      <c r="G363" s="12" t="n">
        <v>0</v>
      </c>
      <c r="H363" s="13" t="str">
        <f aca="false">IF(G363=F363,"PASS","OPEN")</f>
        <v>OPEN</v>
      </c>
    </row>
    <row r="364" customFormat="false" ht="15" hidden="false" customHeight="false" outlineLevel="0" collapsed="false">
      <c r="A364" s="12" t="s">
        <v>711</v>
      </c>
      <c r="B364" s="12" t="s">
        <v>319</v>
      </c>
      <c r="C364" s="12" t="s">
        <v>357</v>
      </c>
      <c r="D364" s="12" t="s">
        <v>358</v>
      </c>
      <c r="E364" s="12" t="s">
        <v>140</v>
      </c>
      <c r="F364" s="12" t="n">
        <v>1</v>
      </c>
      <c r="G364" s="12" t="n">
        <v>0</v>
      </c>
      <c r="H364" s="13" t="str">
        <f aca="false">IF(G364=F364,"PASS","OPEN")</f>
        <v>OPEN</v>
      </c>
    </row>
    <row r="365" customFormat="false" ht="15" hidden="false" customHeight="false" outlineLevel="0" collapsed="false">
      <c r="A365" s="12" t="s">
        <v>712</v>
      </c>
      <c r="B365" s="12" t="s">
        <v>319</v>
      </c>
      <c r="C365" s="12" t="s">
        <v>360</v>
      </c>
      <c r="D365" s="12" t="s">
        <v>361</v>
      </c>
      <c r="E365" s="12" t="s">
        <v>362</v>
      </c>
      <c r="F365" s="12" t="n">
        <v>1</v>
      </c>
      <c r="G365" s="12" t="n">
        <v>1</v>
      </c>
      <c r="H365" s="13" t="str">
        <f aca="false">IF(G365=F365,"PASS","OPEN")</f>
        <v>PASS</v>
      </c>
    </row>
    <row r="366" customFormat="false" ht="15" hidden="false" customHeight="false" outlineLevel="0" collapsed="false">
      <c r="A366" s="12" t="s">
        <v>713</v>
      </c>
      <c r="B366" s="12" t="s">
        <v>319</v>
      </c>
      <c r="C366" s="12" t="s">
        <v>364</v>
      </c>
      <c r="D366" s="12" t="s">
        <v>365</v>
      </c>
      <c r="E366" s="12" t="s">
        <v>362</v>
      </c>
      <c r="F366" s="12" t="n">
        <v>1</v>
      </c>
      <c r="G366" s="12" t="n">
        <v>1</v>
      </c>
      <c r="H366" s="13" t="str">
        <f aca="false">IF(G366=F366,"PASS","OPEN")</f>
        <v>PASS</v>
      </c>
    </row>
  </sheetData>
  <mergeCells count="2">
    <mergeCell ref="A2:N2"/>
    <mergeCell ref="A4:N4"/>
  </mergeCells>
  <conditionalFormatting sqref="H7:H366">
    <cfRule type="containsText" priority="2" operator="containsText" aboveAverage="0" equalAverage="0" bottom="0" percent="0" rank="0" text="FAIL" dxfId="9">
      <formula>NOT(ISERROR(SEARCH("FAIL",H7)))</formula>
    </cfRule>
    <cfRule type="containsText" priority="3" operator="containsText" aboveAverage="0" equalAverage="0" bottom="0" percent="0" rank="0" text="TERMINATED" dxfId="10">
      <formula>NOT(ISERROR(SEARCH("TERMINATED",H7)))</formula>
    </cfRule>
    <cfRule type="containsText" priority="4" operator="containsText" aboveAverage="0" equalAverage="0" bottom="0" percent="0" rank="0" text="OPEN" dxfId="11">
      <formula>NOT(ISERROR(SEARCH("OPEN",H7)))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9"/>
    <col collapsed="false" customWidth="true" hidden="false" outlineLevel="0" max="4" min="4" style="0" width="35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2" min="11" style="0" width="9"/>
    <col collapsed="false" customWidth="true" hidden="false" outlineLevel="0" max="13" min="13" style="0" width="1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4" hidden="false" customHeight="true" outlineLevel="0" collapsed="false">
      <c r="A2" s="2" t="s">
        <v>714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20" hidden="false" customHeight="true" outlineLevel="0" collapsed="false">
      <c r="A4" s="4" t="s">
        <v>715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customFormat="false" ht="24" hidden="false" customHeight="true" outlineLevel="0" collapsed="false">
      <c r="A6" s="9" t="s">
        <v>716</v>
      </c>
      <c r="B6" s="10" t="s">
        <v>254</v>
      </c>
      <c r="C6" s="10" t="s">
        <v>717</v>
      </c>
      <c r="D6" s="10" t="s">
        <v>718</v>
      </c>
      <c r="E6" s="10" t="s">
        <v>719</v>
      </c>
      <c r="F6" s="10" t="s">
        <v>720</v>
      </c>
      <c r="G6" s="10" t="s">
        <v>721</v>
      </c>
      <c r="H6" s="10" t="s">
        <v>722</v>
      </c>
      <c r="I6" s="10" t="s">
        <v>266</v>
      </c>
      <c r="J6" s="10" t="s">
        <v>723</v>
      </c>
      <c r="K6" s="10" t="s">
        <v>724</v>
      </c>
      <c r="L6" s="10" t="s">
        <v>725</v>
      </c>
      <c r="M6" s="11" t="s">
        <v>726</v>
      </c>
    </row>
    <row r="7" customFormat="false" ht="15" hidden="false" customHeight="false" outlineLevel="0" collapsed="false">
      <c r="A7" s="12" t="s">
        <v>727</v>
      </c>
      <c r="B7" s="12" t="s">
        <v>268</v>
      </c>
      <c r="C7" s="12" t="s">
        <v>728</v>
      </c>
      <c r="D7" s="12" t="s">
        <v>729</v>
      </c>
      <c r="E7" s="15" t="n">
        <v>0.1</v>
      </c>
      <c r="F7" s="14" t="n">
        <v>5.0047461808185</v>
      </c>
      <c r="G7" s="16" t="n">
        <f aca="false">E7*F7</f>
        <v>0.50047461808185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3" t="str">
        <f aca="false">IF(AND(H7=1,I7=1,J7=1,K7=1),IF(L7=1,"PAID","PAYABLE"),"HELD")</f>
        <v>HELD</v>
      </c>
    </row>
    <row r="8" customFormat="false" ht="15" hidden="false" customHeight="false" outlineLevel="0" collapsed="false">
      <c r="A8" s="12" t="s">
        <v>730</v>
      </c>
      <c r="B8" s="12" t="s">
        <v>268</v>
      </c>
      <c r="C8" s="12" t="s">
        <v>731</v>
      </c>
      <c r="D8" s="12" t="s">
        <v>732</v>
      </c>
      <c r="E8" s="15" t="n">
        <v>0.2</v>
      </c>
      <c r="F8" s="14" t="n">
        <v>5.0047461808185</v>
      </c>
      <c r="G8" s="16" t="n">
        <f aca="false">E8*F8</f>
        <v>1.0009492361637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3" t="str">
        <f aca="false">IF(AND(H8=1,I8=1,J8=1,K8=1),IF(L8=1,"PAID","PAYABLE"),"HELD")</f>
        <v>HELD</v>
      </c>
    </row>
    <row r="9" customFormat="false" ht="15" hidden="false" customHeight="false" outlineLevel="0" collapsed="false">
      <c r="A9" s="12" t="s">
        <v>733</v>
      </c>
      <c r="B9" s="12" t="s">
        <v>268</v>
      </c>
      <c r="C9" s="12" t="s">
        <v>734</v>
      </c>
      <c r="D9" s="12" t="s">
        <v>735</v>
      </c>
      <c r="E9" s="15" t="n">
        <v>0.15</v>
      </c>
      <c r="F9" s="14" t="n">
        <v>5.0047461808185</v>
      </c>
      <c r="G9" s="16" t="n">
        <f aca="false">E9*F9</f>
        <v>0.750711927122775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3" t="str">
        <f aca="false">IF(AND(H9=1,I9=1,J9=1,K9=1),IF(L9=1,"PAID","PAYABLE"),"HELD")</f>
        <v>HELD</v>
      </c>
    </row>
    <row r="10" customFormat="false" ht="15" hidden="false" customHeight="false" outlineLevel="0" collapsed="false">
      <c r="A10" s="12" t="s">
        <v>736</v>
      </c>
      <c r="B10" s="12" t="s">
        <v>268</v>
      </c>
      <c r="C10" s="12" t="s">
        <v>737</v>
      </c>
      <c r="D10" s="12" t="s">
        <v>345</v>
      </c>
      <c r="E10" s="15" t="n">
        <v>0.25</v>
      </c>
      <c r="F10" s="14" t="n">
        <v>5.0047461808185</v>
      </c>
      <c r="G10" s="16" t="n">
        <f aca="false">E10*F10</f>
        <v>1.25118654520463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3" t="str">
        <f aca="false">IF(AND(H10=1,I10=1,J10=1,K10=1),IF(L10=1,"PAID","PAYABLE"),"HELD")</f>
        <v>HELD</v>
      </c>
    </row>
    <row r="11" customFormat="false" ht="15" hidden="false" customHeight="false" outlineLevel="0" collapsed="false">
      <c r="A11" s="12" t="s">
        <v>738</v>
      </c>
      <c r="B11" s="12" t="s">
        <v>268</v>
      </c>
      <c r="C11" s="12" t="s">
        <v>739</v>
      </c>
      <c r="D11" s="12" t="s">
        <v>278</v>
      </c>
      <c r="E11" s="15" t="n">
        <v>0.2</v>
      </c>
      <c r="F11" s="14" t="n">
        <v>5.0047461808185</v>
      </c>
      <c r="G11" s="16" t="n">
        <f aca="false">E11*F11</f>
        <v>1.0009492361637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3" t="str">
        <f aca="false">IF(AND(H11=1,I11=1,J11=1,K11=1),IF(L11=1,"PAID","PAYABLE"),"HELD")</f>
        <v>HELD</v>
      </c>
    </row>
    <row r="12" customFormat="false" ht="15" hidden="false" customHeight="false" outlineLevel="0" collapsed="false">
      <c r="A12" s="12" t="s">
        <v>740</v>
      </c>
      <c r="B12" s="12" t="s">
        <v>268</v>
      </c>
      <c r="C12" s="12" t="s">
        <v>741</v>
      </c>
      <c r="D12" s="12" t="s">
        <v>742</v>
      </c>
      <c r="E12" s="15" t="n">
        <v>0.1</v>
      </c>
      <c r="F12" s="14" t="n">
        <v>5.0047461808185</v>
      </c>
      <c r="G12" s="16" t="n">
        <f aca="false">E12*F12</f>
        <v>0.50047461808185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3" t="str">
        <f aca="false">IF(AND(H12=1,I12=1,J12=1,K12=1),IF(L12=1,"PAID","PAYABLE"),"HELD")</f>
        <v>HELD</v>
      </c>
    </row>
    <row r="13" customFormat="false" ht="15" hidden="false" customHeight="false" outlineLevel="0" collapsed="false">
      <c r="A13" s="12" t="s">
        <v>743</v>
      </c>
      <c r="B13" s="12" t="s">
        <v>273</v>
      </c>
      <c r="C13" s="12" t="s">
        <v>728</v>
      </c>
      <c r="D13" s="12" t="s">
        <v>729</v>
      </c>
      <c r="E13" s="15" t="n">
        <v>0.1</v>
      </c>
      <c r="F13" s="14" t="n">
        <v>6.25593272602313</v>
      </c>
      <c r="G13" s="16" t="n">
        <f aca="false">E13*F13</f>
        <v>0.625593272602313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3" t="str">
        <f aca="false">IF(AND(H13=1,I13=1,J13=1,K13=1),IF(L13=1,"PAID","PAYABLE"),"HELD")</f>
        <v>HELD</v>
      </c>
    </row>
    <row r="14" customFormat="false" ht="15" hidden="false" customHeight="false" outlineLevel="0" collapsed="false">
      <c r="A14" s="12" t="s">
        <v>744</v>
      </c>
      <c r="B14" s="12" t="s">
        <v>273</v>
      </c>
      <c r="C14" s="12" t="s">
        <v>731</v>
      </c>
      <c r="D14" s="12" t="s">
        <v>732</v>
      </c>
      <c r="E14" s="15" t="n">
        <v>0.2</v>
      </c>
      <c r="F14" s="14" t="n">
        <v>6.25593272602313</v>
      </c>
      <c r="G14" s="16" t="n">
        <f aca="false">E14*F14</f>
        <v>1.25118654520463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3" t="str">
        <f aca="false">IF(AND(H14=1,I14=1,J14=1,K14=1),IF(L14=1,"PAID","PAYABLE"),"HELD")</f>
        <v>HELD</v>
      </c>
    </row>
    <row r="15" customFormat="false" ht="15" hidden="false" customHeight="false" outlineLevel="0" collapsed="false">
      <c r="A15" s="12" t="s">
        <v>745</v>
      </c>
      <c r="B15" s="12" t="s">
        <v>273</v>
      </c>
      <c r="C15" s="12" t="s">
        <v>734</v>
      </c>
      <c r="D15" s="12" t="s">
        <v>735</v>
      </c>
      <c r="E15" s="15" t="n">
        <v>0.15</v>
      </c>
      <c r="F15" s="14" t="n">
        <v>6.25593272602313</v>
      </c>
      <c r="G15" s="16" t="n">
        <f aca="false">E15*F15</f>
        <v>0.938389908903469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3" t="str">
        <f aca="false">IF(AND(H15=1,I15=1,J15=1,K15=1),IF(L15=1,"PAID","PAYABLE"),"HELD")</f>
        <v>HELD</v>
      </c>
    </row>
    <row r="16" customFormat="false" ht="15" hidden="false" customHeight="false" outlineLevel="0" collapsed="false">
      <c r="A16" s="12" t="s">
        <v>746</v>
      </c>
      <c r="B16" s="12" t="s">
        <v>273</v>
      </c>
      <c r="C16" s="12" t="s">
        <v>737</v>
      </c>
      <c r="D16" s="12" t="s">
        <v>345</v>
      </c>
      <c r="E16" s="15" t="n">
        <v>0.25</v>
      </c>
      <c r="F16" s="14" t="n">
        <v>6.25593272602313</v>
      </c>
      <c r="G16" s="16" t="n">
        <f aca="false">E16*F16</f>
        <v>1.56398318150578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3" t="str">
        <f aca="false">IF(AND(H16=1,I16=1,J16=1,K16=1),IF(L16=1,"PAID","PAYABLE"),"HELD")</f>
        <v>HELD</v>
      </c>
    </row>
    <row r="17" customFormat="false" ht="15" hidden="false" customHeight="false" outlineLevel="0" collapsed="false">
      <c r="A17" s="12" t="s">
        <v>747</v>
      </c>
      <c r="B17" s="12" t="s">
        <v>273</v>
      </c>
      <c r="C17" s="12" t="s">
        <v>739</v>
      </c>
      <c r="D17" s="12" t="s">
        <v>278</v>
      </c>
      <c r="E17" s="15" t="n">
        <v>0.2</v>
      </c>
      <c r="F17" s="14" t="n">
        <v>6.25593272602313</v>
      </c>
      <c r="G17" s="16" t="n">
        <f aca="false">E17*F17</f>
        <v>1.25118654520463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3" t="str">
        <f aca="false">IF(AND(H17=1,I17=1,J17=1,K17=1),IF(L17=1,"PAID","PAYABLE"),"HELD")</f>
        <v>HELD</v>
      </c>
    </row>
    <row r="18" customFormat="false" ht="15" hidden="false" customHeight="false" outlineLevel="0" collapsed="false">
      <c r="A18" s="12" t="s">
        <v>748</v>
      </c>
      <c r="B18" s="12" t="s">
        <v>273</v>
      </c>
      <c r="C18" s="12" t="s">
        <v>741</v>
      </c>
      <c r="D18" s="12" t="s">
        <v>742</v>
      </c>
      <c r="E18" s="15" t="n">
        <v>0.1</v>
      </c>
      <c r="F18" s="14" t="n">
        <v>6.25593272602313</v>
      </c>
      <c r="G18" s="16" t="n">
        <f aca="false">E18*F18</f>
        <v>0.625593272602313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3" t="str">
        <f aca="false">IF(AND(H18=1,I18=1,J18=1,K18=1),IF(L18=1,"PAID","PAYABLE"),"HELD")</f>
        <v>HELD</v>
      </c>
    </row>
    <row r="19" customFormat="false" ht="15" hidden="false" customHeight="false" outlineLevel="0" collapsed="false">
      <c r="A19" s="12" t="s">
        <v>749</v>
      </c>
      <c r="B19" s="12" t="s">
        <v>276</v>
      </c>
      <c r="C19" s="12" t="s">
        <v>728</v>
      </c>
      <c r="D19" s="12" t="s">
        <v>729</v>
      </c>
      <c r="E19" s="15" t="n">
        <v>0.1</v>
      </c>
      <c r="F19" s="14" t="n">
        <v>3.75355963561387</v>
      </c>
      <c r="G19" s="16" t="n">
        <f aca="false">E19*F19</f>
        <v>0.375355963561387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3" t="str">
        <f aca="false">IF(AND(H19=1,I19=1,J19=1,K19=1),IF(L19=1,"PAID","PAYABLE"),"HELD")</f>
        <v>HELD</v>
      </c>
    </row>
    <row r="20" customFormat="false" ht="15" hidden="false" customHeight="false" outlineLevel="0" collapsed="false">
      <c r="A20" s="12" t="s">
        <v>750</v>
      </c>
      <c r="B20" s="12" t="s">
        <v>276</v>
      </c>
      <c r="C20" s="12" t="s">
        <v>731</v>
      </c>
      <c r="D20" s="12" t="s">
        <v>732</v>
      </c>
      <c r="E20" s="15" t="n">
        <v>0.2</v>
      </c>
      <c r="F20" s="14" t="n">
        <v>3.75355963561387</v>
      </c>
      <c r="G20" s="16" t="n">
        <f aca="false">E20*F20</f>
        <v>0.750711927122775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3" t="str">
        <f aca="false">IF(AND(H20=1,I20=1,J20=1,K20=1),IF(L20=1,"PAID","PAYABLE"),"HELD")</f>
        <v>HELD</v>
      </c>
    </row>
    <row r="21" customFormat="false" ht="15" hidden="false" customHeight="false" outlineLevel="0" collapsed="false">
      <c r="A21" s="12" t="s">
        <v>751</v>
      </c>
      <c r="B21" s="12" t="s">
        <v>276</v>
      </c>
      <c r="C21" s="12" t="s">
        <v>734</v>
      </c>
      <c r="D21" s="12" t="s">
        <v>735</v>
      </c>
      <c r="E21" s="15" t="n">
        <v>0.15</v>
      </c>
      <c r="F21" s="14" t="n">
        <v>3.75355963561387</v>
      </c>
      <c r="G21" s="16" t="n">
        <f aca="false">E21*F21</f>
        <v>0.563033945342081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3" t="str">
        <f aca="false">IF(AND(H21=1,I21=1,J21=1,K21=1),IF(L21=1,"PAID","PAYABLE"),"HELD")</f>
        <v>HELD</v>
      </c>
    </row>
    <row r="22" customFormat="false" ht="15" hidden="false" customHeight="false" outlineLevel="0" collapsed="false">
      <c r="A22" s="12" t="s">
        <v>752</v>
      </c>
      <c r="B22" s="12" t="s">
        <v>276</v>
      </c>
      <c r="C22" s="12" t="s">
        <v>737</v>
      </c>
      <c r="D22" s="12" t="s">
        <v>345</v>
      </c>
      <c r="E22" s="15" t="n">
        <v>0.25</v>
      </c>
      <c r="F22" s="14" t="n">
        <v>3.75355963561387</v>
      </c>
      <c r="G22" s="16" t="n">
        <f aca="false">E22*F22</f>
        <v>0.938389908903469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3" t="str">
        <f aca="false">IF(AND(H22=1,I22=1,J22=1,K22=1),IF(L22=1,"PAID","PAYABLE"),"HELD")</f>
        <v>HELD</v>
      </c>
    </row>
    <row r="23" customFormat="false" ht="15" hidden="false" customHeight="false" outlineLevel="0" collapsed="false">
      <c r="A23" s="12" t="s">
        <v>753</v>
      </c>
      <c r="B23" s="12" t="s">
        <v>276</v>
      </c>
      <c r="C23" s="12" t="s">
        <v>739</v>
      </c>
      <c r="D23" s="12" t="s">
        <v>278</v>
      </c>
      <c r="E23" s="15" t="n">
        <v>0.2</v>
      </c>
      <c r="F23" s="14" t="n">
        <v>3.75355963561387</v>
      </c>
      <c r="G23" s="16" t="n">
        <f aca="false">E23*F23</f>
        <v>0.750711927122775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3" t="str">
        <f aca="false">IF(AND(H23=1,I23=1,J23=1,K23=1),IF(L23=1,"PAID","PAYABLE"),"HELD")</f>
        <v>HELD</v>
      </c>
    </row>
    <row r="24" customFormat="false" ht="15" hidden="false" customHeight="false" outlineLevel="0" collapsed="false">
      <c r="A24" s="12" t="s">
        <v>754</v>
      </c>
      <c r="B24" s="12" t="s">
        <v>276</v>
      </c>
      <c r="C24" s="12" t="s">
        <v>741</v>
      </c>
      <c r="D24" s="12" t="s">
        <v>742</v>
      </c>
      <c r="E24" s="15" t="n">
        <v>0.1</v>
      </c>
      <c r="F24" s="14" t="n">
        <v>3.75355963561387</v>
      </c>
      <c r="G24" s="16" t="n">
        <f aca="false">E24*F24</f>
        <v>0.375355963561387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3" t="str">
        <f aca="false">IF(AND(H24=1,I24=1,J24=1,K24=1),IF(L24=1,"PAID","PAYABLE"),"HELD")</f>
        <v>HELD</v>
      </c>
    </row>
    <row r="25" customFormat="false" ht="15" hidden="false" customHeight="false" outlineLevel="0" collapsed="false">
      <c r="A25" s="12" t="s">
        <v>755</v>
      </c>
      <c r="B25" s="12" t="s">
        <v>279</v>
      </c>
      <c r="C25" s="12" t="s">
        <v>728</v>
      </c>
      <c r="D25" s="12" t="s">
        <v>729</v>
      </c>
      <c r="E25" s="15" t="n">
        <v>0.1</v>
      </c>
      <c r="F25" s="14" t="n">
        <v>6.25593272602313</v>
      </c>
      <c r="G25" s="16" t="n">
        <f aca="false">E25*F25</f>
        <v>0.625593272602313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3" t="str">
        <f aca="false">IF(AND(H25=1,I25=1,J25=1,K25=1),IF(L25=1,"PAID","PAYABLE"),"HELD")</f>
        <v>HELD</v>
      </c>
    </row>
    <row r="26" customFormat="false" ht="15" hidden="false" customHeight="false" outlineLevel="0" collapsed="false">
      <c r="A26" s="12" t="s">
        <v>756</v>
      </c>
      <c r="B26" s="12" t="s">
        <v>279</v>
      </c>
      <c r="C26" s="12" t="s">
        <v>731</v>
      </c>
      <c r="D26" s="12" t="s">
        <v>732</v>
      </c>
      <c r="E26" s="15" t="n">
        <v>0.2</v>
      </c>
      <c r="F26" s="14" t="n">
        <v>6.25593272602313</v>
      </c>
      <c r="G26" s="16" t="n">
        <f aca="false">E26*F26</f>
        <v>1.25118654520463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3" t="str">
        <f aca="false">IF(AND(H26=1,I26=1,J26=1,K26=1),IF(L26=1,"PAID","PAYABLE"),"HELD")</f>
        <v>HELD</v>
      </c>
    </row>
    <row r="27" customFormat="false" ht="15" hidden="false" customHeight="false" outlineLevel="0" collapsed="false">
      <c r="A27" s="12" t="s">
        <v>757</v>
      </c>
      <c r="B27" s="12" t="s">
        <v>279</v>
      </c>
      <c r="C27" s="12" t="s">
        <v>734</v>
      </c>
      <c r="D27" s="12" t="s">
        <v>735</v>
      </c>
      <c r="E27" s="15" t="n">
        <v>0.15</v>
      </c>
      <c r="F27" s="14" t="n">
        <v>6.25593272602313</v>
      </c>
      <c r="G27" s="16" t="n">
        <f aca="false">E27*F27</f>
        <v>0.938389908903469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3" t="str">
        <f aca="false">IF(AND(H27=1,I27=1,J27=1,K27=1),IF(L27=1,"PAID","PAYABLE"),"HELD")</f>
        <v>HELD</v>
      </c>
    </row>
    <row r="28" customFormat="false" ht="15" hidden="false" customHeight="false" outlineLevel="0" collapsed="false">
      <c r="A28" s="12" t="s">
        <v>758</v>
      </c>
      <c r="B28" s="12" t="s">
        <v>279</v>
      </c>
      <c r="C28" s="12" t="s">
        <v>737</v>
      </c>
      <c r="D28" s="12" t="s">
        <v>345</v>
      </c>
      <c r="E28" s="15" t="n">
        <v>0.25</v>
      </c>
      <c r="F28" s="14" t="n">
        <v>6.25593272602313</v>
      </c>
      <c r="G28" s="16" t="n">
        <f aca="false">E28*F28</f>
        <v>1.56398318150578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3" t="str">
        <f aca="false">IF(AND(H28=1,I28=1,J28=1,K28=1),IF(L28=1,"PAID","PAYABLE"),"HELD")</f>
        <v>HELD</v>
      </c>
    </row>
    <row r="29" customFormat="false" ht="15" hidden="false" customHeight="false" outlineLevel="0" collapsed="false">
      <c r="A29" s="12" t="s">
        <v>759</v>
      </c>
      <c r="B29" s="12" t="s">
        <v>279</v>
      </c>
      <c r="C29" s="12" t="s">
        <v>739</v>
      </c>
      <c r="D29" s="12" t="s">
        <v>278</v>
      </c>
      <c r="E29" s="15" t="n">
        <v>0.2</v>
      </c>
      <c r="F29" s="14" t="n">
        <v>6.25593272602313</v>
      </c>
      <c r="G29" s="16" t="n">
        <f aca="false">E29*F29</f>
        <v>1.25118654520463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3" t="str">
        <f aca="false">IF(AND(H29=1,I29=1,J29=1,K29=1),IF(L29=1,"PAID","PAYABLE"),"HELD")</f>
        <v>HELD</v>
      </c>
    </row>
    <row r="30" customFormat="false" ht="15" hidden="false" customHeight="false" outlineLevel="0" collapsed="false">
      <c r="A30" s="12" t="s">
        <v>760</v>
      </c>
      <c r="B30" s="12" t="s">
        <v>279</v>
      </c>
      <c r="C30" s="12" t="s">
        <v>741</v>
      </c>
      <c r="D30" s="12" t="s">
        <v>742</v>
      </c>
      <c r="E30" s="15" t="n">
        <v>0.1</v>
      </c>
      <c r="F30" s="14" t="n">
        <v>6.25593272602313</v>
      </c>
      <c r="G30" s="16" t="n">
        <f aca="false">E30*F30</f>
        <v>0.625593272602313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3" t="str">
        <f aca="false">IF(AND(H30=1,I30=1,J30=1,K30=1),IF(L30=1,"PAID","PAYABLE"),"HELD")</f>
        <v>HELD</v>
      </c>
    </row>
    <row r="31" customFormat="false" ht="15" hidden="false" customHeight="false" outlineLevel="0" collapsed="false">
      <c r="A31" s="12" t="s">
        <v>761</v>
      </c>
      <c r="B31" s="12" t="s">
        <v>282</v>
      </c>
      <c r="C31" s="12" t="s">
        <v>728</v>
      </c>
      <c r="D31" s="12" t="s">
        <v>729</v>
      </c>
      <c r="E31" s="15" t="n">
        <v>0.1</v>
      </c>
      <c r="F31" s="14" t="n">
        <v>3.75355963561387</v>
      </c>
      <c r="G31" s="16" t="n">
        <f aca="false">E31*F31</f>
        <v>0.375355963561387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3" t="str">
        <f aca="false">IF(AND(H31=1,I31=1,J31=1,K31=1),IF(L31=1,"PAID","PAYABLE"),"HELD")</f>
        <v>HELD</v>
      </c>
    </row>
    <row r="32" customFormat="false" ht="15" hidden="false" customHeight="false" outlineLevel="0" collapsed="false">
      <c r="A32" s="12" t="s">
        <v>762</v>
      </c>
      <c r="B32" s="12" t="s">
        <v>282</v>
      </c>
      <c r="C32" s="12" t="s">
        <v>731</v>
      </c>
      <c r="D32" s="12" t="s">
        <v>732</v>
      </c>
      <c r="E32" s="15" t="n">
        <v>0.2</v>
      </c>
      <c r="F32" s="14" t="n">
        <v>3.75355963561387</v>
      </c>
      <c r="G32" s="16" t="n">
        <f aca="false">E32*F32</f>
        <v>0.750711927122775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3" t="str">
        <f aca="false">IF(AND(H32=1,I32=1,J32=1,K32=1),IF(L32=1,"PAID","PAYABLE"),"HELD")</f>
        <v>HELD</v>
      </c>
    </row>
    <row r="33" customFormat="false" ht="15" hidden="false" customHeight="false" outlineLevel="0" collapsed="false">
      <c r="A33" s="12" t="s">
        <v>763</v>
      </c>
      <c r="B33" s="12" t="s">
        <v>282</v>
      </c>
      <c r="C33" s="12" t="s">
        <v>734</v>
      </c>
      <c r="D33" s="12" t="s">
        <v>735</v>
      </c>
      <c r="E33" s="15" t="n">
        <v>0.15</v>
      </c>
      <c r="F33" s="14" t="n">
        <v>3.75355963561387</v>
      </c>
      <c r="G33" s="16" t="n">
        <f aca="false">E33*F33</f>
        <v>0.563033945342081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3" t="str">
        <f aca="false">IF(AND(H33=1,I33=1,J33=1,K33=1),IF(L33=1,"PAID","PAYABLE"),"HELD")</f>
        <v>HELD</v>
      </c>
    </row>
    <row r="34" customFormat="false" ht="15" hidden="false" customHeight="false" outlineLevel="0" collapsed="false">
      <c r="A34" s="12" t="s">
        <v>764</v>
      </c>
      <c r="B34" s="12" t="s">
        <v>282</v>
      </c>
      <c r="C34" s="12" t="s">
        <v>737</v>
      </c>
      <c r="D34" s="12" t="s">
        <v>345</v>
      </c>
      <c r="E34" s="15" t="n">
        <v>0.25</v>
      </c>
      <c r="F34" s="14" t="n">
        <v>3.75355963561387</v>
      </c>
      <c r="G34" s="16" t="n">
        <f aca="false">E34*F34</f>
        <v>0.938389908903469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3" t="str">
        <f aca="false">IF(AND(H34=1,I34=1,J34=1,K34=1),IF(L34=1,"PAID","PAYABLE"),"HELD")</f>
        <v>HELD</v>
      </c>
    </row>
    <row r="35" customFormat="false" ht="15" hidden="false" customHeight="false" outlineLevel="0" collapsed="false">
      <c r="A35" s="12" t="s">
        <v>765</v>
      </c>
      <c r="B35" s="12" t="s">
        <v>282</v>
      </c>
      <c r="C35" s="12" t="s">
        <v>739</v>
      </c>
      <c r="D35" s="12" t="s">
        <v>278</v>
      </c>
      <c r="E35" s="15" t="n">
        <v>0.2</v>
      </c>
      <c r="F35" s="14" t="n">
        <v>3.75355963561387</v>
      </c>
      <c r="G35" s="16" t="n">
        <f aca="false">E35*F35</f>
        <v>0.750711927122775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3" t="str">
        <f aca="false">IF(AND(H35=1,I35=1,J35=1,K35=1),IF(L35=1,"PAID","PAYABLE"),"HELD")</f>
        <v>HELD</v>
      </c>
    </row>
    <row r="36" customFormat="false" ht="15" hidden="false" customHeight="false" outlineLevel="0" collapsed="false">
      <c r="A36" s="12" t="s">
        <v>766</v>
      </c>
      <c r="B36" s="12" t="s">
        <v>282</v>
      </c>
      <c r="C36" s="12" t="s">
        <v>741</v>
      </c>
      <c r="D36" s="12" t="s">
        <v>742</v>
      </c>
      <c r="E36" s="15" t="n">
        <v>0.1</v>
      </c>
      <c r="F36" s="14" t="n">
        <v>3.75355963561387</v>
      </c>
      <c r="G36" s="16" t="n">
        <f aca="false">E36*F36</f>
        <v>0.375355963561387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3" t="str">
        <f aca="false">IF(AND(H36=1,I36=1,J36=1,K36=1),IF(L36=1,"PAID","PAYABLE"),"HELD")</f>
        <v>HELD</v>
      </c>
    </row>
    <row r="37" customFormat="false" ht="15" hidden="false" customHeight="false" outlineLevel="0" collapsed="false">
      <c r="A37" s="12" t="s">
        <v>767</v>
      </c>
      <c r="B37" s="12" t="s">
        <v>285</v>
      </c>
      <c r="C37" s="12" t="s">
        <v>728</v>
      </c>
      <c r="D37" s="12" t="s">
        <v>729</v>
      </c>
      <c r="E37" s="15" t="n">
        <v>0.1</v>
      </c>
      <c r="F37" s="14" t="n">
        <v>5.1649348177396</v>
      </c>
      <c r="G37" s="16" t="n">
        <f aca="false">E37*F37</f>
        <v>0.51649348177396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3" t="str">
        <f aca="false">IF(AND(H37=1,I37=1,J37=1,K37=1),IF(L37=1,"PAID","PAYABLE"),"HELD")</f>
        <v>HELD</v>
      </c>
    </row>
    <row r="38" customFormat="false" ht="15" hidden="false" customHeight="false" outlineLevel="0" collapsed="false">
      <c r="A38" s="12" t="s">
        <v>768</v>
      </c>
      <c r="B38" s="12" t="s">
        <v>285</v>
      </c>
      <c r="C38" s="12" t="s">
        <v>731</v>
      </c>
      <c r="D38" s="12" t="s">
        <v>732</v>
      </c>
      <c r="E38" s="15" t="n">
        <v>0.2</v>
      </c>
      <c r="F38" s="14" t="n">
        <v>5.1649348177396</v>
      </c>
      <c r="G38" s="16" t="n">
        <f aca="false">E38*F38</f>
        <v>1.03298696354792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3" t="str">
        <f aca="false">IF(AND(H38=1,I38=1,J38=1,K38=1),IF(L38=1,"PAID","PAYABLE"),"HELD")</f>
        <v>HELD</v>
      </c>
    </row>
    <row r="39" customFormat="false" ht="15" hidden="false" customHeight="false" outlineLevel="0" collapsed="false">
      <c r="A39" s="12" t="s">
        <v>769</v>
      </c>
      <c r="B39" s="12" t="s">
        <v>285</v>
      </c>
      <c r="C39" s="12" t="s">
        <v>734</v>
      </c>
      <c r="D39" s="12" t="s">
        <v>735</v>
      </c>
      <c r="E39" s="15" t="n">
        <v>0.15</v>
      </c>
      <c r="F39" s="14" t="n">
        <v>5.1649348177396</v>
      </c>
      <c r="G39" s="16" t="n">
        <f aca="false">E39*F39</f>
        <v>0.77474022266094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3" t="str">
        <f aca="false">IF(AND(H39=1,I39=1,J39=1,K39=1),IF(L39=1,"PAID","PAYABLE"),"HELD")</f>
        <v>HELD</v>
      </c>
    </row>
    <row r="40" customFormat="false" ht="15" hidden="false" customHeight="false" outlineLevel="0" collapsed="false">
      <c r="A40" s="12" t="s">
        <v>770</v>
      </c>
      <c r="B40" s="12" t="s">
        <v>285</v>
      </c>
      <c r="C40" s="12" t="s">
        <v>737</v>
      </c>
      <c r="D40" s="12" t="s">
        <v>345</v>
      </c>
      <c r="E40" s="15" t="n">
        <v>0.25</v>
      </c>
      <c r="F40" s="14" t="n">
        <v>5.1649348177396</v>
      </c>
      <c r="G40" s="16" t="n">
        <f aca="false">E40*F40</f>
        <v>1.2912337044349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3" t="str">
        <f aca="false">IF(AND(H40=1,I40=1,J40=1,K40=1),IF(L40=1,"PAID","PAYABLE"),"HELD")</f>
        <v>HELD</v>
      </c>
    </row>
    <row r="41" customFormat="false" ht="15" hidden="false" customHeight="false" outlineLevel="0" collapsed="false">
      <c r="A41" s="12" t="s">
        <v>771</v>
      </c>
      <c r="B41" s="12" t="s">
        <v>285</v>
      </c>
      <c r="C41" s="12" t="s">
        <v>739</v>
      </c>
      <c r="D41" s="12" t="s">
        <v>278</v>
      </c>
      <c r="E41" s="15" t="n">
        <v>0.2</v>
      </c>
      <c r="F41" s="14" t="n">
        <v>5.1649348177396</v>
      </c>
      <c r="G41" s="16" t="n">
        <f aca="false">E41*F41</f>
        <v>1.03298696354792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3" t="str">
        <f aca="false">IF(AND(H41=1,I41=1,J41=1,K41=1),IF(L41=1,"PAID","PAYABLE"),"HELD")</f>
        <v>HELD</v>
      </c>
    </row>
    <row r="42" customFormat="false" ht="15" hidden="false" customHeight="false" outlineLevel="0" collapsed="false">
      <c r="A42" s="12" t="s">
        <v>772</v>
      </c>
      <c r="B42" s="12" t="s">
        <v>285</v>
      </c>
      <c r="C42" s="12" t="s">
        <v>741</v>
      </c>
      <c r="D42" s="12" t="s">
        <v>742</v>
      </c>
      <c r="E42" s="15" t="n">
        <v>0.1</v>
      </c>
      <c r="F42" s="14" t="n">
        <v>5.1649348177396</v>
      </c>
      <c r="G42" s="16" t="n">
        <f aca="false">E42*F42</f>
        <v>0.51649348177396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3" t="str">
        <f aca="false">IF(AND(H42=1,I42=1,J42=1,K42=1),IF(L42=1,"PAID","PAYABLE"),"HELD")</f>
        <v>HELD</v>
      </c>
    </row>
    <row r="43" customFormat="false" ht="15" hidden="false" customHeight="false" outlineLevel="0" collapsed="false">
      <c r="A43" s="12" t="s">
        <v>773</v>
      </c>
      <c r="B43" s="12" t="s">
        <v>288</v>
      </c>
      <c r="C43" s="12" t="s">
        <v>728</v>
      </c>
      <c r="D43" s="12" t="s">
        <v>729</v>
      </c>
      <c r="E43" s="15" t="n">
        <v>0.1</v>
      </c>
      <c r="F43" s="14" t="n">
        <v>6.4561685221745</v>
      </c>
      <c r="G43" s="16" t="n">
        <f aca="false">E43*F43</f>
        <v>0.64561685221745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3" t="str">
        <f aca="false">IF(AND(H43=1,I43=1,J43=1,K43=1),IF(L43=1,"PAID","PAYABLE"),"HELD")</f>
        <v>HELD</v>
      </c>
    </row>
    <row r="44" customFormat="false" ht="15" hidden="false" customHeight="false" outlineLevel="0" collapsed="false">
      <c r="A44" s="12" t="s">
        <v>774</v>
      </c>
      <c r="B44" s="12" t="s">
        <v>288</v>
      </c>
      <c r="C44" s="12" t="s">
        <v>731</v>
      </c>
      <c r="D44" s="12" t="s">
        <v>732</v>
      </c>
      <c r="E44" s="15" t="n">
        <v>0.2</v>
      </c>
      <c r="F44" s="14" t="n">
        <v>6.4561685221745</v>
      </c>
      <c r="G44" s="16" t="n">
        <f aca="false">E44*F44</f>
        <v>1.2912337044349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3" t="str">
        <f aca="false">IF(AND(H44=1,I44=1,J44=1,K44=1),IF(L44=1,"PAID","PAYABLE"),"HELD")</f>
        <v>HELD</v>
      </c>
    </row>
    <row r="45" customFormat="false" ht="15" hidden="false" customHeight="false" outlineLevel="0" collapsed="false">
      <c r="A45" s="12" t="s">
        <v>775</v>
      </c>
      <c r="B45" s="12" t="s">
        <v>288</v>
      </c>
      <c r="C45" s="12" t="s">
        <v>734</v>
      </c>
      <c r="D45" s="12" t="s">
        <v>735</v>
      </c>
      <c r="E45" s="15" t="n">
        <v>0.15</v>
      </c>
      <c r="F45" s="14" t="n">
        <v>6.4561685221745</v>
      </c>
      <c r="G45" s="16" t="n">
        <f aca="false">E45*F45</f>
        <v>0.968425278326175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3" t="str">
        <f aca="false">IF(AND(H45=1,I45=1,J45=1,K45=1),IF(L45=1,"PAID","PAYABLE"),"HELD")</f>
        <v>HELD</v>
      </c>
    </row>
    <row r="46" customFormat="false" ht="15" hidden="false" customHeight="false" outlineLevel="0" collapsed="false">
      <c r="A46" s="12" t="s">
        <v>776</v>
      </c>
      <c r="B46" s="12" t="s">
        <v>288</v>
      </c>
      <c r="C46" s="12" t="s">
        <v>737</v>
      </c>
      <c r="D46" s="12" t="s">
        <v>345</v>
      </c>
      <c r="E46" s="15" t="n">
        <v>0.25</v>
      </c>
      <c r="F46" s="14" t="n">
        <v>6.4561685221745</v>
      </c>
      <c r="G46" s="16" t="n">
        <f aca="false">E46*F46</f>
        <v>1.61404213054363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3" t="str">
        <f aca="false">IF(AND(H46=1,I46=1,J46=1,K46=1),IF(L46=1,"PAID","PAYABLE"),"HELD")</f>
        <v>HELD</v>
      </c>
    </row>
    <row r="47" customFormat="false" ht="15" hidden="false" customHeight="false" outlineLevel="0" collapsed="false">
      <c r="A47" s="12" t="s">
        <v>777</v>
      </c>
      <c r="B47" s="12" t="s">
        <v>288</v>
      </c>
      <c r="C47" s="12" t="s">
        <v>739</v>
      </c>
      <c r="D47" s="12" t="s">
        <v>278</v>
      </c>
      <c r="E47" s="15" t="n">
        <v>0.2</v>
      </c>
      <c r="F47" s="14" t="n">
        <v>6.4561685221745</v>
      </c>
      <c r="G47" s="16" t="n">
        <f aca="false">E47*F47</f>
        <v>1.2912337044349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3" t="str">
        <f aca="false">IF(AND(H47=1,I47=1,J47=1,K47=1),IF(L47=1,"PAID","PAYABLE"),"HELD")</f>
        <v>HELD</v>
      </c>
    </row>
    <row r="48" customFormat="false" ht="15" hidden="false" customHeight="false" outlineLevel="0" collapsed="false">
      <c r="A48" s="12" t="s">
        <v>778</v>
      </c>
      <c r="B48" s="12" t="s">
        <v>288</v>
      </c>
      <c r="C48" s="12" t="s">
        <v>741</v>
      </c>
      <c r="D48" s="12" t="s">
        <v>742</v>
      </c>
      <c r="E48" s="15" t="n">
        <v>0.1</v>
      </c>
      <c r="F48" s="14" t="n">
        <v>6.4561685221745</v>
      </c>
      <c r="G48" s="16" t="n">
        <f aca="false">E48*F48</f>
        <v>0.64561685221745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3" t="str">
        <f aca="false">IF(AND(H48=1,I48=1,J48=1,K48=1),IF(L48=1,"PAID","PAYABLE"),"HELD")</f>
        <v>HELD</v>
      </c>
    </row>
    <row r="49" customFormat="false" ht="15" hidden="false" customHeight="false" outlineLevel="0" collapsed="false">
      <c r="A49" s="12" t="s">
        <v>779</v>
      </c>
      <c r="B49" s="12" t="s">
        <v>289</v>
      </c>
      <c r="C49" s="12" t="s">
        <v>728</v>
      </c>
      <c r="D49" s="12" t="s">
        <v>729</v>
      </c>
      <c r="E49" s="15" t="n">
        <v>0.1</v>
      </c>
      <c r="F49" s="14" t="n">
        <v>3.8737011133047</v>
      </c>
      <c r="G49" s="16" t="n">
        <f aca="false">E49*F49</f>
        <v>0.38737011133047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3" t="str">
        <f aca="false">IF(AND(H49=1,I49=1,J49=1,K49=1),IF(L49=1,"PAID","PAYABLE"),"HELD")</f>
        <v>HELD</v>
      </c>
    </row>
    <row r="50" customFormat="false" ht="15" hidden="false" customHeight="false" outlineLevel="0" collapsed="false">
      <c r="A50" s="12" t="s">
        <v>780</v>
      </c>
      <c r="B50" s="12" t="s">
        <v>289</v>
      </c>
      <c r="C50" s="12" t="s">
        <v>731</v>
      </c>
      <c r="D50" s="12" t="s">
        <v>732</v>
      </c>
      <c r="E50" s="15" t="n">
        <v>0.2</v>
      </c>
      <c r="F50" s="14" t="n">
        <v>3.8737011133047</v>
      </c>
      <c r="G50" s="16" t="n">
        <f aca="false">E50*F50</f>
        <v>0.77474022266094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3" t="str">
        <f aca="false">IF(AND(H50=1,I50=1,J50=1,K50=1),IF(L50=1,"PAID","PAYABLE"),"HELD")</f>
        <v>HELD</v>
      </c>
    </row>
    <row r="51" customFormat="false" ht="15" hidden="false" customHeight="false" outlineLevel="0" collapsed="false">
      <c r="A51" s="12" t="s">
        <v>781</v>
      </c>
      <c r="B51" s="12" t="s">
        <v>289</v>
      </c>
      <c r="C51" s="12" t="s">
        <v>734</v>
      </c>
      <c r="D51" s="12" t="s">
        <v>735</v>
      </c>
      <c r="E51" s="15" t="n">
        <v>0.15</v>
      </c>
      <c r="F51" s="14" t="n">
        <v>3.8737011133047</v>
      </c>
      <c r="G51" s="16" t="n">
        <f aca="false">E51*F51</f>
        <v>0.581055166995705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3" t="str">
        <f aca="false">IF(AND(H51=1,I51=1,J51=1,K51=1),IF(L51=1,"PAID","PAYABLE"),"HELD")</f>
        <v>HELD</v>
      </c>
    </row>
    <row r="52" customFormat="false" ht="15" hidden="false" customHeight="false" outlineLevel="0" collapsed="false">
      <c r="A52" s="12" t="s">
        <v>782</v>
      </c>
      <c r="B52" s="12" t="s">
        <v>289</v>
      </c>
      <c r="C52" s="12" t="s">
        <v>737</v>
      </c>
      <c r="D52" s="12" t="s">
        <v>345</v>
      </c>
      <c r="E52" s="15" t="n">
        <v>0.25</v>
      </c>
      <c r="F52" s="14" t="n">
        <v>3.8737011133047</v>
      </c>
      <c r="G52" s="16" t="n">
        <f aca="false">E52*F52</f>
        <v>0.968425278326175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3" t="str">
        <f aca="false">IF(AND(H52=1,I52=1,J52=1,K52=1),IF(L52=1,"PAID","PAYABLE"),"HELD")</f>
        <v>HELD</v>
      </c>
    </row>
    <row r="53" customFormat="false" ht="15" hidden="false" customHeight="false" outlineLevel="0" collapsed="false">
      <c r="A53" s="12" t="s">
        <v>783</v>
      </c>
      <c r="B53" s="12" t="s">
        <v>289</v>
      </c>
      <c r="C53" s="12" t="s">
        <v>739</v>
      </c>
      <c r="D53" s="12" t="s">
        <v>278</v>
      </c>
      <c r="E53" s="15" t="n">
        <v>0.2</v>
      </c>
      <c r="F53" s="14" t="n">
        <v>3.8737011133047</v>
      </c>
      <c r="G53" s="16" t="n">
        <f aca="false">E53*F53</f>
        <v>0.77474022266094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3" t="str">
        <f aca="false">IF(AND(H53=1,I53=1,J53=1,K53=1),IF(L53=1,"PAID","PAYABLE"),"HELD")</f>
        <v>HELD</v>
      </c>
    </row>
    <row r="54" customFormat="false" ht="15" hidden="false" customHeight="false" outlineLevel="0" collapsed="false">
      <c r="A54" s="12" t="s">
        <v>784</v>
      </c>
      <c r="B54" s="12" t="s">
        <v>289</v>
      </c>
      <c r="C54" s="12" t="s">
        <v>741</v>
      </c>
      <c r="D54" s="12" t="s">
        <v>742</v>
      </c>
      <c r="E54" s="15" t="n">
        <v>0.1</v>
      </c>
      <c r="F54" s="14" t="n">
        <v>3.8737011133047</v>
      </c>
      <c r="G54" s="16" t="n">
        <f aca="false">E54*F54</f>
        <v>0.38737011133047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3" t="str">
        <f aca="false">IF(AND(H54=1,I54=1,J54=1,K54=1),IF(L54=1,"PAID","PAYABLE"),"HELD")</f>
        <v>HELD</v>
      </c>
    </row>
    <row r="55" customFormat="false" ht="15" hidden="false" customHeight="false" outlineLevel="0" collapsed="false">
      <c r="A55" s="12" t="s">
        <v>785</v>
      </c>
      <c r="B55" s="12" t="s">
        <v>290</v>
      </c>
      <c r="C55" s="12" t="s">
        <v>728</v>
      </c>
      <c r="D55" s="12" t="s">
        <v>729</v>
      </c>
      <c r="E55" s="15" t="n">
        <v>0.1</v>
      </c>
      <c r="F55" s="14" t="n">
        <v>6.4561685221745</v>
      </c>
      <c r="G55" s="16" t="n">
        <f aca="false">E55*F55</f>
        <v>0.64561685221745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3" t="str">
        <f aca="false">IF(AND(H55=1,I55=1,J55=1,K55=1),IF(L55=1,"PAID","PAYABLE"),"HELD")</f>
        <v>HELD</v>
      </c>
    </row>
    <row r="56" customFormat="false" ht="15" hidden="false" customHeight="false" outlineLevel="0" collapsed="false">
      <c r="A56" s="12" t="s">
        <v>786</v>
      </c>
      <c r="B56" s="12" t="s">
        <v>290</v>
      </c>
      <c r="C56" s="12" t="s">
        <v>731</v>
      </c>
      <c r="D56" s="12" t="s">
        <v>732</v>
      </c>
      <c r="E56" s="15" t="n">
        <v>0.2</v>
      </c>
      <c r="F56" s="14" t="n">
        <v>6.4561685221745</v>
      </c>
      <c r="G56" s="16" t="n">
        <f aca="false">E56*F56</f>
        <v>1.2912337044349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3" t="str">
        <f aca="false">IF(AND(H56=1,I56=1,J56=1,K56=1),IF(L56=1,"PAID","PAYABLE"),"HELD")</f>
        <v>HELD</v>
      </c>
    </row>
    <row r="57" customFormat="false" ht="15" hidden="false" customHeight="false" outlineLevel="0" collapsed="false">
      <c r="A57" s="12" t="s">
        <v>787</v>
      </c>
      <c r="B57" s="12" t="s">
        <v>290</v>
      </c>
      <c r="C57" s="12" t="s">
        <v>734</v>
      </c>
      <c r="D57" s="12" t="s">
        <v>735</v>
      </c>
      <c r="E57" s="15" t="n">
        <v>0.15</v>
      </c>
      <c r="F57" s="14" t="n">
        <v>6.4561685221745</v>
      </c>
      <c r="G57" s="16" t="n">
        <f aca="false">E57*F57</f>
        <v>0.968425278326175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3" t="str">
        <f aca="false">IF(AND(H57=1,I57=1,J57=1,K57=1),IF(L57=1,"PAID","PAYABLE"),"HELD")</f>
        <v>HELD</v>
      </c>
    </row>
    <row r="58" customFormat="false" ht="15" hidden="false" customHeight="false" outlineLevel="0" collapsed="false">
      <c r="A58" s="12" t="s">
        <v>788</v>
      </c>
      <c r="B58" s="12" t="s">
        <v>290</v>
      </c>
      <c r="C58" s="12" t="s">
        <v>737</v>
      </c>
      <c r="D58" s="12" t="s">
        <v>345</v>
      </c>
      <c r="E58" s="15" t="n">
        <v>0.25</v>
      </c>
      <c r="F58" s="14" t="n">
        <v>6.4561685221745</v>
      </c>
      <c r="G58" s="16" t="n">
        <f aca="false">E58*F58</f>
        <v>1.61404213054363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3" t="str">
        <f aca="false">IF(AND(H58=1,I58=1,J58=1,K58=1),IF(L58=1,"PAID","PAYABLE"),"HELD")</f>
        <v>HELD</v>
      </c>
    </row>
    <row r="59" customFormat="false" ht="15" hidden="false" customHeight="false" outlineLevel="0" collapsed="false">
      <c r="A59" s="12" t="s">
        <v>789</v>
      </c>
      <c r="B59" s="12" t="s">
        <v>290</v>
      </c>
      <c r="C59" s="12" t="s">
        <v>739</v>
      </c>
      <c r="D59" s="12" t="s">
        <v>278</v>
      </c>
      <c r="E59" s="15" t="n">
        <v>0.2</v>
      </c>
      <c r="F59" s="14" t="n">
        <v>6.4561685221745</v>
      </c>
      <c r="G59" s="16" t="n">
        <f aca="false">E59*F59</f>
        <v>1.2912337044349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3" t="str">
        <f aca="false">IF(AND(H59=1,I59=1,J59=1,K59=1),IF(L59=1,"PAID","PAYABLE"),"HELD")</f>
        <v>HELD</v>
      </c>
    </row>
    <row r="60" customFormat="false" ht="15" hidden="false" customHeight="false" outlineLevel="0" collapsed="false">
      <c r="A60" s="12" t="s">
        <v>790</v>
      </c>
      <c r="B60" s="12" t="s">
        <v>290</v>
      </c>
      <c r="C60" s="12" t="s">
        <v>741</v>
      </c>
      <c r="D60" s="12" t="s">
        <v>742</v>
      </c>
      <c r="E60" s="15" t="n">
        <v>0.1</v>
      </c>
      <c r="F60" s="14" t="n">
        <v>6.4561685221745</v>
      </c>
      <c r="G60" s="16" t="n">
        <f aca="false">E60*F60</f>
        <v>0.64561685221745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3" t="str">
        <f aca="false">IF(AND(H60=1,I60=1,J60=1,K60=1),IF(L60=1,"PAID","PAYABLE"),"HELD")</f>
        <v>HELD</v>
      </c>
    </row>
    <row r="61" customFormat="false" ht="15" hidden="false" customHeight="false" outlineLevel="0" collapsed="false">
      <c r="A61" s="12" t="s">
        <v>791</v>
      </c>
      <c r="B61" s="12" t="s">
        <v>291</v>
      </c>
      <c r="C61" s="12" t="s">
        <v>728</v>
      </c>
      <c r="D61" s="12" t="s">
        <v>729</v>
      </c>
      <c r="E61" s="15" t="n">
        <v>0.1</v>
      </c>
      <c r="F61" s="14" t="n">
        <v>3.8737011133047</v>
      </c>
      <c r="G61" s="16" t="n">
        <f aca="false">E61*F61</f>
        <v>0.38737011133047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3" t="str">
        <f aca="false">IF(AND(H61=1,I61=1,J61=1,K61=1),IF(L61=1,"PAID","PAYABLE"),"HELD")</f>
        <v>HELD</v>
      </c>
    </row>
    <row r="62" customFormat="false" ht="15" hidden="false" customHeight="false" outlineLevel="0" collapsed="false">
      <c r="A62" s="12" t="s">
        <v>792</v>
      </c>
      <c r="B62" s="12" t="s">
        <v>291</v>
      </c>
      <c r="C62" s="12" t="s">
        <v>731</v>
      </c>
      <c r="D62" s="12" t="s">
        <v>732</v>
      </c>
      <c r="E62" s="15" t="n">
        <v>0.2</v>
      </c>
      <c r="F62" s="14" t="n">
        <v>3.8737011133047</v>
      </c>
      <c r="G62" s="16" t="n">
        <f aca="false">E62*F62</f>
        <v>0.77474022266094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3" t="str">
        <f aca="false">IF(AND(H62=1,I62=1,J62=1,K62=1),IF(L62=1,"PAID","PAYABLE"),"HELD")</f>
        <v>HELD</v>
      </c>
    </row>
    <row r="63" customFormat="false" ht="15" hidden="false" customHeight="false" outlineLevel="0" collapsed="false">
      <c r="A63" s="12" t="s">
        <v>793</v>
      </c>
      <c r="B63" s="12" t="s">
        <v>291</v>
      </c>
      <c r="C63" s="12" t="s">
        <v>734</v>
      </c>
      <c r="D63" s="12" t="s">
        <v>735</v>
      </c>
      <c r="E63" s="15" t="n">
        <v>0.15</v>
      </c>
      <c r="F63" s="14" t="n">
        <v>3.8737011133047</v>
      </c>
      <c r="G63" s="16" t="n">
        <f aca="false">E63*F63</f>
        <v>0.581055166995705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3" t="str">
        <f aca="false">IF(AND(H63=1,I63=1,J63=1,K63=1),IF(L63=1,"PAID","PAYABLE"),"HELD")</f>
        <v>HELD</v>
      </c>
    </row>
    <row r="64" customFormat="false" ht="15" hidden="false" customHeight="false" outlineLevel="0" collapsed="false">
      <c r="A64" s="12" t="s">
        <v>794</v>
      </c>
      <c r="B64" s="12" t="s">
        <v>291</v>
      </c>
      <c r="C64" s="12" t="s">
        <v>737</v>
      </c>
      <c r="D64" s="12" t="s">
        <v>345</v>
      </c>
      <c r="E64" s="15" t="n">
        <v>0.25</v>
      </c>
      <c r="F64" s="14" t="n">
        <v>3.8737011133047</v>
      </c>
      <c r="G64" s="16" t="n">
        <f aca="false">E64*F64</f>
        <v>0.968425278326175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3" t="str">
        <f aca="false">IF(AND(H64=1,I64=1,J64=1,K64=1),IF(L64=1,"PAID","PAYABLE"),"HELD")</f>
        <v>HELD</v>
      </c>
    </row>
    <row r="65" customFormat="false" ht="15" hidden="false" customHeight="false" outlineLevel="0" collapsed="false">
      <c r="A65" s="12" t="s">
        <v>795</v>
      </c>
      <c r="B65" s="12" t="s">
        <v>291</v>
      </c>
      <c r="C65" s="12" t="s">
        <v>739</v>
      </c>
      <c r="D65" s="12" t="s">
        <v>278</v>
      </c>
      <c r="E65" s="15" t="n">
        <v>0.2</v>
      </c>
      <c r="F65" s="14" t="n">
        <v>3.8737011133047</v>
      </c>
      <c r="G65" s="16" t="n">
        <f aca="false">E65*F65</f>
        <v>0.77474022266094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3" t="str">
        <f aca="false">IF(AND(H65=1,I65=1,J65=1,K65=1),IF(L65=1,"PAID","PAYABLE"),"HELD")</f>
        <v>HELD</v>
      </c>
    </row>
    <row r="66" customFormat="false" ht="15" hidden="false" customHeight="false" outlineLevel="0" collapsed="false">
      <c r="A66" s="12" t="s">
        <v>796</v>
      </c>
      <c r="B66" s="12" t="s">
        <v>291</v>
      </c>
      <c r="C66" s="12" t="s">
        <v>741</v>
      </c>
      <c r="D66" s="12" t="s">
        <v>742</v>
      </c>
      <c r="E66" s="15" t="n">
        <v>0.1</v>
      </c>
      <c r="F66" s="14" t="n">
        <v>3.8737011133047</v>
      </c>
      <c r="G66" s="16" t="n">
        <f aca="false">E66*F66</f>
        <v>0.38737011133047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3" t="str">
        <f aca="false">IF(AND(H66=1,I66=1,J66=1,K66=1),IF(L66=1,"PAID","PAYABLE"),"HELD")</f>
        <v>HELD</v>
      </c>
    </row>
    <row r="67" customFormat="false" ht="15" hidden="false" customHeight="false" outlineLevel="0" collapsed="false">
      <c r="A67" s="12" t="s">
        <v>797</v>
      </c>
      <c r="B67" s="12" t="s">
        <v>292</v>
      </c>
      <c r="C67" s="12" t="s">
        <v>728</v>
      </c>
      <c r="D67" s="12" t="s">
        <v>729</v>
      </c>
      <c r="E67" s="15" t="n">
        <v>0.1</v>
      </c>
      <c r="F67" s="14" t="n">
        <v>3.07221654067133</v>
      </c>
      <c r="G67" s="16" t="n">
        <f aca="false">E67*F67</f>
        <v>0.307221654067133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3" t="str">
        <f aca="false">IF(AND(H67=1,I67=1,J67=1,K67=1),IF(L67=1,"PAID","PAYABLE"),"HELD")</f>
        <v>HELD</v>
      </c>
    </row>
    <row r="68" customFormat="false" ht="15" hidden="false" customHeight="false" outlineLevel="0" collapsed="false">
      <c r="A68" s="12" t="s">
        <v>798</v>
      </c>
      <c r="B68" s="12" t="s">
        <v>292</v>
      </c>
      <c r="C68" s="12" t="s">
        <v>731</v>
      </c>
      <c r="D68" s="12" t="s">
        <v>732</v>
      </c>
      <c r="E68" s="15" t="n">
        <v>0.2</v>
      </c>
      <c r="F68" s="14" t="n">
        <v>3.07221654067133</v>
      </c>
      <c r="G68" s="16" t="n">
        <f aca="false">E68*F68</f>
        <v>0.614443308134266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3" t="str">
        <f aca="false">IF(AND(H68=1,I68=1,J68=1,K68=1),IF(L68=1,"PAID","PAYABLE"),"HELD")</f>
        <v>HELD</v>
      </c>
    </row>
    <row r="69" customFormat="false" ht="15" hidden="false" customHeight="false" outlineLevel="0" collapsed="false">
      <c r="A69" s="12" t="s">
        <v>799</v>
      </c>
      <c r="B69" s="12" t="s">
        <v>292</v>
      </c>
      <c r="C69" s="12" t="s">
        <v>734</v>
      </c>
      <c r="D69" s="12" t="s">
        <v>735</v>
      </c>
      <c r="E69" s="15" t="n">
        <v>0.15</v>
      </c>
      <c r="F69" s="14" t="n">
        <v>3.07221654067133</v>
      </c>
      <c r="G69" s="16" t="n">
        <f aca="false">E69*F69</f>
        <v>0.460832481100699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3" t="str">
        <f aca="false">IF(AND(H69=1,I69=1,J69=1,K69=1),IF(L69=1,"PAID","PAYABLE"),"HELD")</f>
        <v>HELD</v>
      </c>
    </row>
    <row r="70" customFormat="false" ht="15" hidden="false" customHeight="false" outlineLevel="0" collapsed="false">
      <c r="A70" s="12" t="s">
        <v>800</v>
      </c>
      <c r="B70" s="12" t="s">
        <v>292</v>
      </c>
      <c r="C70" s="12" t="s">
        <v>737</v>
      </c>
      <c r="D70" s="12" t="s">
        <v>345</v>
      </c>
      <c r="E70" s="15" t="n">
        <v>0.25</v>
      </c>
      <c r="F70" s="14" t="n">
        <v>3.07221654067133</v>
      </c>
      <c r="G70" s="16" t="n">
        <f aca="false">E70*F70</f>
        <v>0.768054135167833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3" t="str">
        <f aca="false">IF(AND(H70=1,I70=1,J70=1,K70=1),IF(L70=1,"PAID","PAYABLE"),"HELD")</f>
        <v>HELD</v>
      </c>
    </row>
    <row r="71" customFormat="false" ht="15" hidden="false" customHeight="false" outlineLevel="0" collapsed="false">
      <c r="A71" s="12" t="s">
        <v>801</v>
      </c>
      <c r="B71" s="12" t="s">
        <v>292</v>
      </c>
      <c r="C71" s="12" t="s">
        <v>739</v>
      </c>
      <c r="D71" s="12" t="s">
        <v>278</v>
      </c>
      <c r="E71" s="15" t="n">
        <v>0.2</v>
      </c>
      <c r="F71" s="14" t="n">
        <v>3.07221654067133</v>
      </c>
      <c r="G71" s="16" t="n">
        <f aca="false">E71*F71</f>
        <v>0.614443308134266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3" t="str">
        <f aca="false">IF(AND(H71=1,I71=1,J71=1,K71=1),IF(L71=1,"PAID","PAYABLE"),"HELD")</f>
        <v>HELD</v>
      </c>
    </row>
    <row r="72" customFormat="false" ht="15" hidden="false" customHeight="false" outlineLevel="0" collapsed="false">
      <c r="A72" s="12" t="s">
        <v>802</v>
      </c>
      <c r="B72" s="12" t="s">
        <v>292</v>
      </c>
      <c r="C72" s="12" t="s">
        <v>741</v>
      </c>
      <c r="D72" s="12" t="s">
        <v>742</v>
      </c>
      <c r="E72" s="15" t="n">
        <v>0.1</v>
      </c>
      <c r="F72" s="14" t="n">
        <v>3.07221654067133</v>
      </c>
      <c r="G72" s="16" t="n">
        <f aca="false">E72*F72</f>
        <v>0.307221654067133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3" t="str">
        <f aca="false">IF(AND(H72=1,I72=1,J72=1,K72=1),IF(L72=1,"PAID","PAYABLE"),"HELD")</f>
        <v>HELD</v>
      </c>
    </row>
    <row r="73" customFormat="false" ht="15" hidden="false" customHeight="false" outlineLevel="0" collapsed="false">
      <c r="A73" s="12" t="s">
        <v>803</v>
      </c>
      <c r="B73" s="12" t="s">
        <v>295</v>
      </c>
      <c r="C73" s="12" t="s">
        <v>728</v>
      </c>
      <c r="D73" s="12" t="s">
        <v>729</v>
      </c>
      <c r="E73" s="15" t="n">
        <v>0.1</v>
      </c>
      <c r="F73" s="14" t="n">
        <v>3.84027067583916</v>
      </c>
      <c r="G73" s="16" t="n">
        <f aca="false">E73*F73</f>
        <v>0.384027067583916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3" t="str">
        <f aca="false">IF(AND(H73=1,I73=1,J73=1,K73=1),IF(L73=1,"PAID","PAYABLE"),"HELD")</f>
        <v>HELD</v>
      </c>
    </row>
    <row r="74" customFormat="false" ht="15" hidden="false" customHeight="false" outlineLevel="0" collapsed="false">
      <c r="A74" s="12" t="s">
        <v>804</v>
      </c>
      <c r="B74" s="12" t="s">
        <v>295</v>
      </c>
      <c r="C74" s="12" t="s">
        <v>731</v>
      </c>
      <c r="D74" s="12" t="s">
        <v>732</v>
      </c>
      <c r="E74" s="15" t="n">
        <v>0.2</v>
      </c>
      <c r="F74" s="14" t="n">
        <v>3.84027067583916</v>
      </c>
      <c r="G74" s="16" t="n">
        <f aca="false">E74*F74</f>
        <v>0.768054135167833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3" t="str">
        <f aca="false">IF(AND(H74=1,I74=1,J74=1,K74=1),IF(L74=1,"PAID","PAYABLE"),"HELD")</f>
        <v>HELD</v>
      </c>
    </row>
    <row r="75" customFormat="false" ht="15" hidden="false" customHeight="false" outlineLevel="0" collapsed="false">
      <c r="A75" s="12" t="s">
        <v>805</v>
      </c>
      <c r="B75" s="12" t="s">
        <v>295</v>
      </c>
      <c r="C75" s="12" t="s">
        <v>734</v>
      </c>
      <c r="D75" s="12" t="s">
        <v>735</v>
      </c>
      <c r="E75" s="15" t="n">
        <v>0.15</v>
      </c>
      <c r="F75" s="14" t="n">
        <v>3.84027067583916</v>
      </c>
      <c r="G75" s="16" t="n">
        <f aca="false">E75*F75</f>
        <v>0.576040601375874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3" t="str">
        <f aca="false">IF(AND(H75=1,I75=1,J75=1,K75=1),IF(L75=1,"PAID","PAYABLE"),"HELD")</f>
        <v>HELD</v>
      </c>
    </row>
    <row r="76" customFormat="false" ht="15" hidden="false" customHeight="false" outlineLevel="0" collapsed="false">
      <c r="A76" s="12" t="s">
        <v>806</v>
      </c>
      <c r="B76" s="12" t="s">
        <v>295</v>
      </c>
      <c r="C76" s="12" t="s">
        <v>737</v>
      </c>
      <c r="D76" s="12" t="s">
        <v>345</v>
      </c>
      <c r="E76" s="15" t="n">
        <v>0.25</v>
      </c>
      <c r="F76" s="14" t="n">
        <v>3.84027067583916</v>
      </c>
      <c r="G76" s="16" t="n">
        <f aca="false">E76*F76</f>
        <v>0.960067668959791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3" t="str">
        <f aca="false">IF(AND(H76=1,I76=1,J76=1,K76=1),IF(L76=1,"PAID","PAYABLE"),"HELD")</f>
        <v>HELD</v>
      </c>
    </row>
    <row r="77" customFormat="false" ht="15" hidden="false" customHeight="false" outlineLevel="0" collapsed="false">
      <c r="A77" s="12" t="s">
        <v>807</v>
      </c>
      <c r="B77" s="12" t="s">
        <v>295</v>
      </c>
      <c r="C77" s="12" t="s">
        <v>739</v>
      </c>
      <c r="D77" s="12" t="s">
        <v>278</v>
      </c>
      <c r="E77" s="15" t="n">
        <v>0.2</v>
      </c>
      <c r="F77" s="14" t="n">
        <v>3.84027067583916</v>
      </c>
      <c r="G77" s="16" t="n">
        <f aca="false">E77*F77</f>
        <v>0.768054135167833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3" t="str">
        <f aca="false">IF(AND(H77=1,I77=1,J77=1,K77=1),IF(L77=1,"PAID","PAYABLE"),"HELD")</f>
        <v>HELD</v>
      </c>
    </row>
    <row r="78" customFormat="false" ht="15" hidden="false" customHeight="false" outlineLevel="0" collapsed="false">
      <c r="A78" s="12" t="s">
        <v>808</v>
      </c>
      <c r="B78" s="12" t="s">
        <v>295</v>
      </c>
      <c r="C78" s="12" t="s">
        <v>741</v>
      </c>
      <c r="D78" s="12" t="s">
        <v>742</v>
      </c>
      <c r="E78" s="15" t="n">
        <v>0.1</v>
      </c>
      <c r="F78" s="14" t="n">
        <v>3.84027067583916</v>
      </c>
      <c r="G78" s="16" t="n">
        <f aca="false">E78*F78</f>
        <v>0.384027067583916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3" t="str">
        <f aca="false">IF(AND(H78=1,I78=1,J78=1,K78=1),IF(L78=1,"PAID","PAYABLE"),"HELD")</f>
        <v>HELD</v>
      </c>
    </row>
    <row r="79" customFormat="false" ht="15" hidden="false" customHeight="false" outlineLevel="0" collapsed="false">
      <c r="A79" s="12" t="s">
        <v>809</v>
      </c>
      <c r="B79" s="12" t="s">
        <v>296</v>
      </c>
      <c r="C79" s="12" t="s">
        <v>728</v>
      </c>
      <c r="D79" s="12" t="s">
        <v>729</v>
      </c>
      <c r="E79" s="15" t="n">
        <v>0.1</v>
      </c>
      <c r="F79" s="14" t="n">
        <v>2.3041624055035</v>
      </c>
      <c r="G79" s="16" t="n">
        <f aca="false">E79*F79</f>
        <v>0.23041624055035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3" t="str">
        <f aca="false">IF(AND(H79=1,I79=1,J79=1,K79=1),IF(L79=1,"PAID","PAYABLE"),"HELD")</f>
        <v>HELD</v>
      </c>
    </row>
    <row r="80" customFormat="false" ht="15" hidden="false" customHeight="false" outlineLevel="0" collapsed="false">
      <c r="A80" s="12" t="s">
        <v>810</v>
      </c>
      <c r="B80" s="12" t="s">
        <v>296</v>
      </c>
      <c r="C80" s="12" t="s">
        <v>731</v>
      </c>
      <c r="D80" s="12" t="s">
        <v>732</v>
      </c>
      <c r="E80" s="15" t="n">
        <v>0.2</v>
      </c>
      <c r="F80" s="14" t="n">
        <v>2.3041624055035</v>
      </c>
      <c r="G80" s="16" t="n">
        <f aca="false">E80*F80</f>
        <v>0.460832481100699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3" t="str">
        <f aca="false">IF(AND(H80=1,I80=1,J80=1,K80=1),IF(L80=1,"PAID","PAYABLE"),"HELD")</f>
        <v>HELD</v>
      </c>
    </row>
    <row r="81" customFormat="false" ht="15" hidden="false" customHeight="false" outlineLevel="0" collapsed="false">
      <c r="A81" s="12" t="s">
        <v>811</v>
      </c>
      <c r="B81" s="12" t="s">
        <v>296</v>
      </c>
      <c r="C81" s="12" t="s">
        <v>734</v>
      </c>
      <c r="D81" s="12" t="s">
        <v>735</v>
      </c>
      <c r="E81" s="15" t="n">
        <v>0.15</v>
      </c>
      <c r="F81" s="14" t="n">
        <v>2.3041624055035</v>
      </c>
      <c r="G81" s="16" t="n">
        <f aca="false">E81*F81</f>
        <v>0.345624360825525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3" t="str">
        <f aca="false">IF(AND(H81=1,I81=1,J81=1,K81=1),IF(L81=1,"PAID","PAYABLE"),"HELD")</f>
        <v>HELD</v>
      </c>
    </row>
    <row r="82" customFormat="false" ht="15" hidden="false" customHeight="false" outlineLevel="0" collapsed="false">
      <c r="A82" s="12" t="s">
        <v>812</v>
      </c>
      <c r="B82" s="12" t="s">
        <v>296</v>
      </c>
      <c r="C82" s="12" t="s">
        <v>737</v>
      </c>
      <c r="D82" s="12" t="s">
        <v>345</v>
      </c>
      <c r="E82" s="15" t="n">
        <v>0.25</v>
      </c>
      <c r="F82" s="14" t="n">
        <v>2.3041624055035</v>
      </c>
      <c r="G82" s="16" t="n">
        <f aca="false">E82*F82</f>
        <v>0.576040601375874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3" t="str">
        <f aca="false">IF(AND(H82=1,I82=1,J82=1,K82=1),IF(L82=1,"PAID","PAYABLE"),"HELD")</f>
        <v>HELD</v>
      </c>
    </row>
    <row r="83" customFormat="false" ht="15" hidden="false" customHeight="false" outlineLevel="0" collapsed="false">
      <c r="A83" s="12" t="s">
        <v>813</v>
      </c>
      <c r="B83" s="12" t="s">
        <v>296</v>
      </c>
      <c r="C83" s="12" t="s">
        <v>739</v>
      </c>
      <c r="D83" s="12" t="s">
        <v>278</v>
      </c>
      <c r="E83" s="15" t="n">
        <v>0.2</v>
      </c>
      <c r="F83" s="14" t="n">
        <v>2.3041624055035</v>
      </c>
      <c r="G83" s="16" t="n">
        <f aca="false">E83*F83</f>
        <v>0.460832481100699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3" t="str">
        <f aca="false">IF(AND(H83=1,I83=1,J83=1,K83=1),IF(L83=1,"PAID","PAYABLE"),"HELD")</f>
        <v>HELD</v>
      </c>
    </row>
    <row r="84" customFormat="false" ht="15" hidden="false" customHeight="false" outlineLevel="0" collapsed="false">
      <c r="A84" s="12" t="s">
        <v>814</v>
      </c>
      <c r="B84" s="12" t="s">
        <v>296</v>
      </c>
      <c r="C84" s="12" t="s">
        <v>741</v>
      </c>
      <c r="D84" s="12" t="s">
        <v>742</v>
      </c>
      <c r="E84" s="15" t="n">
        <v>0.1</v>
      </c>
      <c r="F84" s="14" t="n">
        <v>2.3041624055035</v>
      </c>
      <c r="G84" s="16" t="n">
        <f aca="false">E84*F84</f>
        <v>0.23041624055035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3" t="str">
        <f aca="false">IF(AND(H84=1,I84=1,J84=1,K84=1),IF(L84=1,"PAID","PAYABLE"),"HELD")</f>
        <v>HELD</v>
      </c>
    </row>
    <row r="85" customFormat="false" ht="15" hidden="false" customHeight="false" outlineLevel="0" collapsed="false">
      <c r="A85" s="12" t="s">
        <v>815</v>
      </c>
      <c r="B85" s="12" t="s">
        <v>297</v>
      </c>
      <c r="C85" s="12" t="s">
        <v>728</v>
      </c>
      <c r="D85" s="12" t="s">
        <v>729</v>
      </c>
      <c r="E85" s="15" t="n">
        <v>0.1</v>
      </c>
      <c r="F85" s="14" t="n">
        <v>3.84027067583916</v>
      </c>
      <c r="G85" s="16" t="n">
        <f aca="false">E85*F85</f>
        <v>0.384027067583916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3" t="str">
        <f aca="false">IF(AND(H85=1,I85=1,J85=1,K85=1),IF(L85=1,"PAID","PAYABLE"),"HELD")</f>
        <v>HELD</v>
      </c>
    </row>
    <row r="86" customFormat="false" ht="15" hidden="false" customHeight="false" outlineLevel="0" collapsed="false">
      <c r="A86" s="12" t="s">
        <v>816</v>
      </c>
      <c r="B86" s="12" t="s">
        <v>297</v>
      </c>
      <c r="C86" s="12" t="s">
        <v>731</v>
      </c>
      <c r="D86" s="12" t="s">
        <v>732</v>
      </c>
      <c r="E86" s="15" t="n">
        <v>0.2</v>
      </c>
      <c r="F86" s="14" t="n">
        <v>3.84027067583916</v>
      </c>
      <c r="G86" s="16" t="n">
        <f aca="false">E86*F86</f>
        <v>0.768054135167833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3" t="str">
        <f aca="false">IF(AND(H86=1,I86=1,J86=1,K86=1),IF(L86=1,"PAID","PAYABLE"),"HELD")</f>
        <v>HELD</v>
      </c>
    </row>
    <row r="87" customFormat="false" ht="15" hidden="false" customHeight="false" outlineLevel="0" collapsed="false">
      <c r="A87" s="12" t="s">
        <v>817</v>
      </c>
      <c r="B87" s="12" t="s">
        <v>297</v>
      </c>
      <c r="C87" s="12" t="s">
        <v>734</v>
      </c>
      <c r="D87" s="12" t="s">
        <v>735</v>
      </c>
      <c r="E87" s="15" t="n">
        <v>0.15</v>
      </c>
      <c r="F87" s="14" t="n">
        <v>3.84027067583916</v>
      </c>
      <c r="G87" s="16" t="n">
        <f aca="false">E87*F87</f>
        <v>0.576040601375874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3" t="str">
        <f aca="false">IF(AND(H87=1,I87=1,J87=1,K87=1),IF(L87=1,"PAID","PAYABLE"),"HELD")</f>
        <v>HELD</v>
      </c>
    </row>
    <row r="88" customFormat="false" ht="15" hidden="false" customHeight="false" outlineLevel="0" collapsed="false">
      <c r="A88" s="12" t="s">
        <v>818</v>
      </c>
      <c r="B88" s="12" t="s">
        <v>297</v>
      </c>
      <c r="C88" s="12" t="s">
        <v>737</v>
      </c>
      <c r="D88" s="12" t="s">
        <v>345</v>
      </c>
      <c r="E88" s="15" t="n">
        <v>0.25</v>
      </c>
      <c r="F88" s="14" t="n">
        <v>3.84027067583916</v>
      </c>
      <c r="G88" s="16" t="n">
        <f aca="false">E88*F88</f>
        <v>0.960067668959791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3" t="str">
        <f aca="false">IF(AND(H88=1,I88=1,J88=1,K88=1),IF(L88=1,"PAID","PAYABLE"),"HELD")</f>
        <v>HELD</v>
      </c>
    </row>
    <row r="89" customFormat="false" ht="15" hidden="false" customHeight="false" outlineLevel="0" collapsed="false">
      <c r="A89" s="12" t="s">
        <v>819</v>
      </c>
      <c r="B89" s="12" t="s">
        <v>297</v>
      </c>
      <c r="C89" s="12" t="s">
        <v>739</v>
      </c>
      <c r="D89" s="12" t="s">
        <v>278</v>
      </c>
      <c r="E89" s="15" t="n">
        <v>0.2</v>
      </c>
      <c r="F89" s="14" t="n">
        <v>3.84027067583916</v>
      </c>
      <c r="G89" s="16" t="n">
        <f aca="false">E89*F89</f>
        <v>0.768054135167833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3" t="str">
        <f aca="false">IF(AND(H89=1,I89=1,J89=1,K89=1),IF(L89=1,"PAID","PAYABLE"),"HELD")</f>
        <v>HELD</v>
      </c>
    </row>
    <row r="90" customFormat="false" ht="15" hidden="false" customHeight="false" outlineLevel="0" collapsed="false">
      <c r="A90" s="12" t="s">
        <v>820</v>
      </c>
      <c r="B90" s="12" t="s">
        <v>297</v>
      </c>
      <c r="C90" s="12" t="s">
        <v>741</v>
      </c>
      <c r="D90" s="12" t="s">
        <v>742</v>
      </c>
      <c r="E90" s="15" t="n">
        <v>0.1</v>
      </c>
      <c r="F90" s="14" t="n">
        <v>3.84027067583916</v>
      </c>
      <c r="G90" s="16" t="n">
        <f aca="false">E90*F90</f>
        <v>0.384027067583916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3" t="str">
        <f aca="false">IF(AND(H90=1,I90=1,J90=1,K90=1),IF(L90=1,"PAID","PAYABLE"),"HELD")</f>
        <v>HELD</v>
      </c>
    </row>
    <row r="91" customFormat="false" ht="15" hidden="false" customHeight="false" outlineLevel="0" collapsed="false">
      <c r="A91" s="12" t="s">
        <v>821</v>
      </c>
      <c r="B91" s="12" t="s">
        <v>298</v>
      </c>
      <c r="C91" s="12" t="s">
        <v>728</v>
      </c>
      <c r="D91" s="12" t="s">
        <v>729</v>
      </c>
      <c r="E91" s="15" t="n">
        <v>0.1</v>
      </c>
      <c r="F91" s="14" t="n">
        <v>2.3041624055035</v>
      </c>
      <c r="G91" s="16" t="n">
        <f aca="false">E91*F91</f>
        <v>0.23041624055035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3" t="str">
        <f aca="false">IF(AND(H91=1,I91=1,J91=1,K91=1),IF(L91=1,"PAID","PAYABLE"),"HELD")</f>
        <v>HELD</v>
      </c>
    </row>
    <row r="92" customFormat="false" ht="15" hidden="false" customHeight="false" outlineLevel="0" collapsed="false">
      <c r="A92" s="12" t="s">
        <v>822</v>
      </c>
      <c r="B92" s="12" t="s">
        <v>298</v>
      </c>
      <c r="C92" s="12" t="s">
        <v>731</v>
      </c>
      <c r="D92" s="12" t="s">
        <v>732</v>
      </c>
      <c r="E92" s="15" t="n">
        <v>0.2</v>
      </c>
      <c r="F92" s="14" t="n">
        <v>2.3041624055035</v>
      </c>
      <c r="G92" s="16" t="n">
        <f aca="false">E92*F92</f>
        <v>0.460832481100699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3" t="str">
        <f aca="false">IF(AND(H92=1,I92=1,J92=1,K92=1),IF(L92=1,"PAID","PAYABLE"),"HELD")</f>
        <v>HELD</v>
      </c>
    </row>
    <row r="93" customFormat="false" ht="15" hidden="false" customHeight="false" outlineLevel="0" collapsed="false">
      <c r="A93" s="12" t="s">
        <v>823</v>
      </c>
      <c r="B93" s="12" t="s">
        <v>298</v>
      </c>
      <c r="C93" s="12" t="s">
        <v>734</v>
      </c>
      <c r="D93" s="12" t="s">
        <v>735</v>
      </c>
      <c r="E93" s="15" t="n">
        <v>0.15</v>
      </c>
      <c r="F93" s="14" t="n">
        <v>2.3041624055035</v>
      </c>
      <c r="G93" s="16" t="n">
        <f aca="false">E93*F93</f>
        <v>0.345624360825525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3" t="str">
        <f aca="false">IF(AND(H93=1,I93=1,J93=1,K93=1),IF(L93=1,"PAID","PAYABLE"),"HELD")</f>
        <v>HELD</v>
      </c>
    </row>
    <row r="94" customFormat="false" ht="15" hidden="false" customHeight="false" outlineLevel="0" collapsed="false">
      <c r="A94" s="12" t="s">
        <v>824</v>
      </c>
      <c r="B94" s="12" t="s">
        <v>298</v>
      </c>
      <c r="C94" s="12" t="s">
        <v>737</v>
      </c>
      <c r="D94" s="12" t="s">
        <v>345</v>
      </c>
      <c r="E94" s="15" t="n">
        <v>0.25</v>
      </c>
      <c r="F94" s="14" t="n">
        <v>2.3041624055035</v>
      </c>
      <c r="G94" s="16" t="n">
        <f aca="false">E94*F94</f>
        <v>0.576040601375874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3" t="str">
        <f aca="false">IF(AND(H94=1,I94=1,J94=1,K94=1),IF(L94=1,"PAID","PAYABLE"),"HELD")</f>
        <v>HELD</v>
      </c>
    </row>
    <row r="95" customFormat="false" ht="15" hidden="false" customHeight="false" outlineLevel="0" collapsed="false">
      <c r="A95" s="12" t="s">
        <v>825</v>
      </c>
      <c r="B95" s="12" t="s">
        <v>298</v>
      </c>
      <c r="C95" s="12" t="s">
        <v>739</v>
      </c>
      <c r="D95" s="12" t="s">
        <v>278</v>
      </c>
      <c r="E95" s="15" t="n">
        <v>0.2</v>
      </c>
      <c r="F95" s="14" t="n">
        <v>2.3041624055035</v>
      </c>
      <c r="G95" s="16" t="n">
        <f aca="false">E95*F95</f>
        <v>0.460832481100699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3" t="str">
        <f aca="false">IF(AND(H95=1,I95=1,J95=1,K95=1),IF(L95=1,"PAID","PAYABLE"),"HELD")</f>
        <v>HELD</v>
      </c>
    </row>
    <row r="96" customFormat="false" ht="15" hidden="false" customHeight="false" outlineLevel="0" collapsed="false">
      <c r="A96" s="12" t="s">
        <v>826</v>
      </c>
      <c r="B96" s="12" t="s">
        <v>298</v>
      </c>
      <c r="C96" s="12" t="s">
        <v>741</v>
      </c>
      <c r="D96" s="12" t="s">
        <v>742</v>
      </c>
      <c r="E96" s="15" t="n">
        <v>0.1</v>
      </c>
      <c r="F96" s="14" t="n">
        <v>2.3041624055035</v>
      </c>
      <c r="G96" s="16" t="n">
        <f aca="false">E96*F96</f>
        <v>0.23041624055035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3" t="str">
        <f aca="false">IF(AND(H96=1,I96=1,J96=1,K96=1),IF(L96=1,"PAID","PAYABLE"),"HELD")</f>
        <v>HELD</v>
      </c>
    </row>
    <row r="97" customFormat="false" ht="15" hidden="false" customHeight="false" outlineLevel="0" collapsed="false">
      <c r="A97" s="12" t="s">
        <v>827</v>
      </c>
      <c r="B97" s="12" t="s">
        <v>299</v>
      </c>
      <c r="C97" s="12" t="s">
        <v>728</v>
      </c>
      <c r="D97" s="12" t="s">
        <v>729</v>
      </c>
      <c r="E97" s="15" t="n">
        <v>0.1</v>
      </c>
      <c r="F97" s="14" t="n">
        <v>8.99412819320565</v>
      </c>
      <c r="G97" s="16" t="n">
        <f aca="false">E97*F97</f>
        <v>0.899412819320565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3" t="str">
        <f aca="false">IF(AND(H97=1,I97=1,J97=1,K97=1),IF(L97=1,"PAID","PAYABLE"),"HELD")</f>
        <v>HELD</v>
      </c>
    </row>
    <row r="98" customFormat="false" ht="15" hidden="false" customHeight="false" outlineLevel="0" collapsed="false">
      <c r="A98" s="12" t="s">
        <v>828</v>
      </c>
      <c r="B98" s="12" t="s">
        <v>299</v>
      </c>
      <c r="C98" s="12" t="s">
        <v>731</v>
      </c>
      <c r="D98" s="12" t="s">
        <v>732</v>
      </c>
      <c r="E98" s="15" t="n">
        <v>0.2</v>
      </c>
      <c r="F98" s="14" t="n">
        <v>8.99412819320565</v>
      </c>
      <c r="G98" s="16" t="n">
        <f aca="false">E98*F98</f>
        <v>1.79882563864113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3" t="str">
        <f aca="false">IF(AND(H98=1,I98=1,J98=1,K98=1),IF(L98=1,"PAID","PAYABLE"),"HELD")</f>
        <v>HELD</v>
      </c>
    </row>
    <row r="99" customFormat="false" ht="15" hidden="false" customHeight="false" outlineLevel="0" collapsed="false">
      <c r="A99" s="12" t="s">
        <v>829</v>
      </c>
      <c r="B99" s="12" t="s">
        <v>299</v>
      </c>
      <c r="C99" s="12" t="s">
        <v>734</v>
      </c>
      <c r="D99" s="12" t="s">
        <v>735</v>
      </c>
      <c r="E99" s="15" t="n">
        <v>0.15</v>
      </c>
      <c r="F99" s="14" t="n">
        <v>8.99412819320565</v>
      </c>
      <c r="G99" s="16" t="n">
        <f aca="false">E99*F99</f>
        <v>1.34911922898085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3" t="str">
        <f aca="false">IF(AND(H99=1,I99=1,J99=1,K99=1),IF(L99=1,"PAID","PAYABLE"),"HELD")</f>
        <v>HELD</v>
      </c>
    </row>
    <row r="100" customFormat="false" ht="15" hidden="false" customHeight="false" outlineLevel="0" collapsed="false">
      <c r="A100" s="12" t="s">
        <v>830</v>
      </c>
      <c r="B100" s="12" t="s">
        <v>299</v>
      </c>
      <c r="C100" s="12" t="s">
        <v>737</v>
      </c>
      <c r="D100" s="12" t="s">
        <v>345</v>
      </c>
      <c r="E100" s="15" t="n">
        <v>0.25</v>
      </c>
      <c r="F100" s="14" t="n">
        <v>8.99412819320565</v>
      </c>
      <c r="G100" s="16" t="n">
        <f aca="false">E100*F100</f>
        <v>2.24853204830141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3" t="str">
        <f aca="false">IF(AND(H100=1,I100=1,J100=1,K100=1),IF(L100=1,"PAID","PAYABLE"),"HELD")</f>
        <v>HELD</v>
      </c>
    </row>
    <row r="101" customFormat="false" ht="15" hidden="false" customHeight="false" outlineLevel="0" collapsed="false">
      <c r="A101" s="12" t="s">
        <v>831</v>
      </c>
      <c r="B101" s="12" t="s">
        <v>299</v>
      </c>
      <c r="C101" s="12" t="s">
        <v>739</v>
      </c>
      <c r="D101" s="12" t="s">
        <v>278</v>
      </c>
      <c r="E101" s="15" t="n">
        <v>0.2</v>
      </c>
      <c r="F101" s="14" t="n">
        <v>8.99412819320565</v>
      </c>
      <c r="G101" s="16" t="n">
        <f aca="false">E101*F101</f>
        <v>1.79882563864113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3" t="str">
        <f aca="false">IF(AND(H101=1,I101=1,J101=1,K101=1),IF(L101=1,"PAID","PAYABLE"),"HELD")</f>
        <v>HELD</v>
      </c>
    </row>
    <row r="102" customFormat="false" ht="15" hidden="false" customHeight="false" outlineLevel="0" collapsed="false">
      <c r="A102" s="12" t="s">
        <v>832</v>
      </c>
      <c r="B102" s="12" t="s">
        <v>299</v>
      </c>
      <c r="C102" s="12" t="s">
        <v>741</v>
      </c>
      <c r="D102" s="12" t="s">
        <v>742</v>
      </c>
      <c r="E102" s="15" t="n">
        <v>0.1</v>
      </c>
      <c r="F102" s="14" t="n">
        <v>8.99412819320565</v>
      </c>
      <c r="G102" s="16" t="n">
        <f aca="false">E102*F102</f>
        <v>0.899412819320565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3" t="str">
        <f aca="false">IF(AND(H102=1,I102=1,J102=1,K102=1),IF(L102=1,"PAID","PAYABLE"),"HELD")</f>
        <v>HELD</v>
      </c>
    </row>
    <row r="103" customFormat="false" ht="15" hidden="false" customHeight="false" outlineLevel="0" collapsed="false">
      <c r="A103" s="12" t="s">
        <v>833</v>
      </c>
      <c r="B103" s="12" t="s">
        <v>302</v>
      </c>
      <c r="C103" s="12" t="s">
        <v>728</v>
      </c>
      <c r="D103" s="12" t="s">
        <v>729</v>
      </c>
      <c r="E103" s="15" t="n">
        <v>0.1</v>
      </c>
      <c r="F103" s="14" t="n">
        <v>11.2426602415071</v>
      </c>
      <c r="G103" s="16" t="n">
        <f aca="false">E103*F103</f>
        <v>1.12426602415071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3" t="str">
        <f aca="false">IF(AND(H103=1,I103=1,J103=1,K103=1),IF(L103=1,"PAID","PAYABLE"),"HELD")</f>
        <v>HELD</v>
      </c>
    </row>
    <row r="104" customFormat="false" ht="15" hidden="false" customHeight="false" outlineLevel="0" collapsed="false">
      <c r="A104" s="12" t="s">
        <v>834</v>
      </c>
      <c r="B104" s="12" t="s">
        <v>302</v>
      </c>
      <c r="C104" s="12" t="s">
        <v>731</v>
      </c>
      <c r="D104" s="12" t="s">
        <v>732</v>
      </c>
      <c r="E104" s="15" t="n">
        <v>0.2</v>
      </c>
      <c r="F104" s="14" t="n">
        <v>11.2426602415071</v>
      </c>
      <c r="G104" s="16" t="n">
        <f aca="false">E104*F104</f>
        <v>2.24853204830141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3" t="str">
        <f aca="false">IF(AND(H104=1,I104=1,J104=1,K104=1),IF(L104=1,"PAID","PAYABLE"),"HELD")</f>
        <v>HELD</v>
      </c>
    </row>
    <row r="105" customFormat="false" ht="15" hidden="false" customHeight="false" outlineLevel="0" collapsed="false">
      <c r="A105" s="12" t="s">
        <v>835</v>
      </c>
      <c r="B105" s="12" t="s">
        <v>302</v>
      </c>
      <c r="C105" s="12" t="s">
        <v>734</v>
      </c>
      <c r="D105" s="12" t="s">
        <v>735</v>
      </c>
      <c r="E105" s="15" t="n">
        <v>0.15</v>
      </c>
      <c r="F105" s="14" t="n">
        <v>11.2426602415071</v>
      </c>
      <c r="G105" s="16" t="n">
        <f aca="false">E105*F105</f>
        <v>1.68639903622606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3" t="str">
        <f aca="false">IF(AND(H105=1,I105=1,J105=1,K105=1),IF(L105=1,"PAID","PAYABLE"),"HELD")</f>
        <v>HELD</v>
      </c>
    </row>
    <row r="106" customFormat="false" ht="15" hidden="false" customHeight="false" outlineLevel="0" collapsed="false">
      <c r="A106" s="12" t="s">
        <v>836</v>
      </c>
      <c r="B106" s="12" t="s">
        <v>302</v>
      </c>
      <c r="C106" s="12" t="s">
        <v>737</v>
      </c>
      <c r="D106" s="12" t="s">
        <v>345</v>
      </c>
      <c r="E106" s="15" t="n">
        <v>0.25</v>
      </c>
      <c r="F106" s="14" t="n">
        <v>11.2426602415071</v>
      </c>
      <c r="G106" s="16" t="n">
        <f aca="false">E106*F106</f>
        <v>2.81066506037677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3" t="str">
        <f aca="false">IF(AND(H106=1,I106=1,J106=1,K106=1),IF(L106=1,"PAID","PAYABLE"),"HELD")</f>
        <v>HELD</v>
      </c>
    </row>
    <row r="107" customFormat="false" ht="15" hidden="false" customHeight="false" outlineLevel="0" collapsed="false">
      <c r="A107" s="12" t="s">
        <v>837</v>
      </c>
      <c r="B107" s="12" t="s">
        <v>302</v>
      </c>
      <c r="C107" s="12" t="s">
        <v>739</v>
      </c>
      <c r="D107" s="12" t="s">
        <v>278</v>
      </c>
      <c r="E107" s="15" t="n">
        <v>0.2</v>
      </c>
      <c r="F107" s="14" t="n">
        <v>11.2426602415071</v>
      </c>
      <c r="G107" s="16" t="n">
        <f aca="false">E107*F107</f>
        <v>2.24853204830141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3" t="str">
        <f aca="false">IF(AND(H107=1,I107=1,J107=1,K107=1),IF(L107=1,"PAID","PAYABLE"),"HELD")</f>
        <v>HELD</v>
      </c>
    </row>
    <row r="108" customFormat="false" ht="15" hidden="false" customHeight="false" outlineLevel="0" collapsed="false">
      <c r="A108" s="12" t="s">
        <v>838</v>
      </c>
      <c r="B108" s="12" t="s">
        <v>302</v>
      </c>
      <c r="C108" s="12" t="s">
        <v>741</v>
      </c>
      <c r="D108" s="12" t="s">
        <v>742</v>
      </c>
      <c r="E108" s="15" t="n">
        <v>0.1</v>
      </c>
      <c r="F108" s="14" t="n">
        <v>11.2426602415071</v>
      </c>
      <c r="G108" s="16" t="n">
        <f aca="false">E108*F108</f>
        <v>1.12426602415071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3" t="str">
        <f aca="false">IF(AND(H108=1,I108=1,J108=1,K108=1),IF(L108=1,"PAID","PAYABLE"),"HELD")</f>
        <v>HELD</v>
      </c>
    </row>
    <row r="109" customFormat="false" ht="15" hidden="false" customHeight="false" outlineLevel="0" collapsed="false">
      <c r="A109" s="12" t="s">
        <v>839</v>
      </c>
      <c r="B109" s="12" t="s">
        <v>303</v>
      </c>
      <c r="C109" s="12" t="s">
        <v>728</v>
      </c>
      <c r="D109" s="12" t="s">
        <v>729</v>
      </c>
      <c r="E109" s="15" t="n">
        <v>0.1</v>
      </c>
      <c r="F109" s="14" t="n">
        <v>6.74559614490424</v>
      </c>
      <c r="G109" s="16" t="n">
        <f aca="false">E109*F109</f>
        <v>0.674559614490424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3" t="str">
        <f aca="false">IF(AND(H109=1,I109=1,J109=1,K109=1),IF(L109=1,"PAID","PAYABLE"),"HELD")</f>
        <v>HELD</v>
      </c>
    </row>
    <row r="110" customFormat="false" ht="15" hidden="false" customHeight="false" outlineLevel="0" collapsed="false">
      <c r="A110" s="12" t="s">
        <v>840</v>
      </c>
      <c r="B110" s="12" t="s">
        <v>303</v>
      </c>
      <c r="C110" s="12" t="s">
        <v>731</v>
      </c>
      <c r="D110" s="12" t="s">
        <v>732</v>
      </c>
      <c r="E110" s="15" t="n">
        <v>0.2</v>
      </c>
      <c r="F110" s="14" t="n">
        <v>6.74559614490424</v>
      </c>
      <c r="G110" s="16" t="n">
        <f aca="false">E110*F110</f>
        <v>1.34911922898085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3" t="str">
        <f aca="false">IF(AND(H110=1,I110=1,J110=1,K110=1),IF(L110=1,"PAID","PAYABLE"),"HELD")</f>
        <v>HELD</v>
      </c>
    </row>
    <row r="111" customFormat="false" ht="15" hidden="false" customHeight="false" outlineLevel="0" collapsed="false">
      <c r="A111" s="12" t="s">
        <v>841</v>
      </c>
      <c r="B111" s="12" t="s">
        <v>303</v>
      </c>
      <c r="C111" s="12" t="s">
        <v>734</v>
      </c>
      <c r="D111" s="12" t="s">
        <v>735</v>
      </c>
      <c r="E111" s="15" t="n">
        <v>0.15</v>
      </c>
      <c r="F111" s="14" t="n">
        <v>6.74559614490424</v>
      </c>
      <c r="G111" s="16" t="n">
        <f aca="false">E111*F111</f>
        <v>1.01183942173564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3" t="str">
        <f aca="false">IF(AND(H111=1,I111=1,J111=1,K111=1),IF(L111=1,"PAID","PAYABLE"),"HELD")</f>
        <v>HELD</v>
      </c>
    </row>
    <row r="112" customFormat="false" ht="15" hidden="false" customHeight="false" outlineLevel="0" collapsed="false">
      <c r="A112" s="12" t="s">
        <v>842</v>
      </c>
      <c r="B112" s="12" t="s">
        <v>303</v>
      </c>
      <c r="C112" s="12" t="s">
        <v>737</v>
      </c>
      <c r="D112" s="12" t="s">
        <v>345</v>
      </c>
      <c r="E112" s="15" t="n">
        <v>0.25</v>
      </c>
      <c r="F112" s="14" t="n">
        <v>6.74559614490424</v>
      </c>
      <c r="G112" s="16" t="n">
        <f aca="false">E112*F112</f>
        <v>1.68639903622606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3" t="str">
        <f aca="false">IF(AND(H112=1,I112=1,J112=1,K112=1),IF(L112=1,"PAID","PAYABLE"),"HELD")</f>
        <v>HELD</v>
      </c>
    </row>
    <row r="113" customFormat="false" ht="15" hidden="false" customHeight="false" outlineLevel="0" collapsed="false">
      <c r="A113" s="12" t="s">
        <v>843</v>
      </c>
      <c r="B113" s="12" t="s">
        <v>303</v>
      </c>
      <c r="C113" s="12" t="s">
        <v>739</v>
      </c>
      <c r="D113" s="12" t="s">
        <v>278</v>
      </c>
      <c r="E113" s="15" t="n">
        <v>0.2</v>
      </c>
      <c r="F113" s="14" t="n">
        <v>6.74559614490424</v>
      </c>
      <c r="G113" s="16" t="n">
        <f aca="false">E113*F113</f>
        <v>1.34911922898085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3" t="str">
        <f aca="false">IF(AND(H113=1,I113=1,J113=1,K113=1),IF(L113=1,"PAID","PAYABLE"),"HELD")</f>
        <v>HELD</v>
      </c>
    </row>
    <row r="114" customFormat="false" ht="15" hidden="false" customHeight="false" outlineLevel="0" collapsed="false">
      <c r="A114" s="12" t="s">
        <v>844</v>
      </c>
      <c r="B114" s="12" t="s">
        <v>303</v>
      </c>
      <c r="C114" s="12" t="s">
        <v>741</v>
      </c>
      <c r="D114" s="12" t="s">
        <v>742</v>
      </c>
      <c r="E114" s="15" t="n">
        <v>0.1</v>
      </c>
      <c r="F114" s="14" t="n">
        <v>6.74559614490424</v>
      </c>
      <c r="G114" s="16" t="n">
        <f aca="false">E114*F114</f>
        <v>0.674559614490424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3" t="str">
        <f aca="false">IF(AND(H114=1,I114=1,J114=1,K114=1),IF(L114=1,"PAID","PAYABLE"),"HELD")</f>
        <v>HELD</v>
      </c>
    </row>
    <row r="115" customFormat="false" ht="15" hidden="false" customHeight="false" outlineLevel="0" collapsed="false">
      <c r="A115" s="12" t="s">
        <v>845</v>
      </c>
      <c r="B115" s="12" t="s">
        <v>304</v>
      </c>
      <c r="C115" s="12" t="s">
        <v>728</v>
      </c>
      <c r="D115" s="12" t="s">
        <v>729</v>
      </c>
      <c r="E115" s="15" t="n">
        <v>0.1</v>
      </c>
      <c r="F115" s="14" t="n">
        <v>11.2426602415071</v>
      </c>
      <c r="G115" s="16" t="n">
        <f aca="false">E115*F115</f>
        <v>1.12426602415071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3" t="str">
        <f aca="false">IF(AND(H115=1,I115=1,J115=1,K115=1),IF(L115=1,"PAID","PAYABLE"),"HELD")</f>
        <v>HELD</v>
      </c>
    </row>
    <row r="116" customFormat="false" ht="15" hidden="false" customHeight="false" outlineLevel="0" collapsed="false">
      <c r="A116" s="12" t="s">
        <v>846</v>
      </c>
      <c r="B116" s="12" t="s">
        <v>304</v>
      </c>
      <c r="C116" s="12" t="s">
        <v>731</v>
      </c>
      <c r="D116" s="12" t="s">
        <v>732</v>
      </c>
      <c r="E116" s="15" t="n">
        <v>0.2</v>
      </c>
      <c r="F116" s="14" t="n">
        <v>11.2426602415071</v>
      </c>
      <c r="G116" s="16" t="n">
        <f aca="false">E116*F116</f>
        <v>2.24853204830141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3" t="str">
        <f aca="false">IF(AND(H116=1,I116=1,J116=1,K116=1),IF(L116=1,"PAID","PAYABLE"),"HELD")</f>
        <v>HELD</v>
      </c>
    </row>
    <row r="117" customFormat="false" ht="15" hidden="false" customHeight="false" outlineLevel="0" collapsed="false">
      <c r="A117" s="12" t="s">
        <v>847</v>
      </c>
      <c r="B117" s="12" t="s">
        <v>304</v>
      </c>
      <c r="C117" s="12" t="s">
        <v>734</v>
      </c>
      <c r="D117" s="12" t="s">
        <v>735</v>
      </c>
      <c r="E117" s="15" t="n">
        <v>0.15</v>
      </c>
      <c r="F117" s="14" t="n">
        <v>11.2426602415071</v>
      </c>
      <c r="G117" s="16" t="n">
        <f aca="false">E117*F117</f>
        <v>1.68639903622606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3" t="str">
        <f aca="false">IF(AND(H117=1,I117=1,J117=1,K117=1),IF(L117=1,"PAID","PAYABLE"),"HELD")</f>
        <v>HELD</v>
      </c>
    </row>
    <row r="118" customFormat="false" ht="15" hidden="false" customHeight="false" outlineLevel="0" collapsed="false">
      <c r="A118" s="12" t="s">
        <v>848</v>
      </c>
      <c r="B118" s="12" t="s">
        <v>304</v>
      </c>
      <c r="C118" s="12" t="s">
        <v>737</v>
      </c>
      <c r="D118" s="12" t="s">
        <v>345</v>
      </c>
      <c r="E118" s="15" t="n">
        <v>0.25</v>
      </c>
      <c r="F118" s="14" t="n">
        <v>11.2426602415071</v>
      </c>
      <c r="G118" s="16" t="n">
        <f aca="false">E118*F118</f>
        <v>2.81066506037677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3" t="str">
        <f aca="false">IF(AND(H118=1,I118=1,J118=1,K118=1),IF(L118=1,"PAID","PAYABLE"),"HELD")</f>
        <v>HELD</v>
      </c>
    </row>
    <row r="119" customFormat="false" ht="15" hidden="false" customHeight="false" outlineLevel="0" collapsed="false">
      <c r="A119" s="12" t="s">
        <v>849</v>
      </c>
      <c r="B119" s="12" t="s">
        <v>304</v>
      </c>
      <c r="C119" s="12" t="s">
        <v>739</v>
      </c>
      <c r="D119" s="12" t="s">
        <v>278</v>
      </c>
      <c r="E119" s="15" t="n">
        <v>0.2</v>
      </c>
      <c r="F119" s="14" t="n">
        <v>11.2426602415071</v>
      </c>
      <c r="G119" s="16" t="n">
        <f aca="false">E119*F119</f>
        <v>2.24853204830141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3" t="str">
        <f aca="false">IF(AND(H119=1,I119=1,J119=1,K119=1),IF(L119=1,"PAID","PAYABLE"),"HELD")</f>
        <v>HELD</v>
      </c>
    </row>
    <row r="120" customFormat="false" ht="15" hidden="false" customHeight="false" outlineLevel="0" collapsed="false">
      <c r="A120" s="12" t="s">
        <v>850</v>
      </c>
      <c r="B120" s="12" t="s">
        <v>304</v>
      </c>
      <c r="C120" s="12" t="s">
        <v>741</v>
      </c>
      <c r="D120" s="12" t="s">
        <v>742</v>
      </c>
      <c r="E120" s="15" t="n">
        <v>0.1</v>
      </c>
      <c r="F120" s="14" t="n">
        <v>11.2426602415071</v>
      </c>
      <c r="G120" s="16" t="n">
        <f aca="false">E120*F120</f>
        <v>1.12426602415071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3" t="str">
        <f aca="false">IF(AND(H120=1,I120=1,J120=1,K120=1),IF(L120=1,"PAID","PAYABLE"),"HELD")</f>
        <v>HELD</v>
      </c>
    </row>
    <row r="121" customFormat="false" ht="15" hidden="false" customHeight="false" outlineLevel="0" collapsed="false">
      <c r="A121" s="12" t="s">
        <v>851</v>
      </c>
      <c r="B121" s="12" t="s">
        <v>305</v>
      </c>
      <c r="C121" s="12" t="s">
        <v>728</v>
      </c>
      <c r="D121" s="12" t="s">
        <v>729</v>
      </c>
      <c r="E121" s="15" t="n">
        <v>0.1</v>
      </c>
      <c r="F121" s="14" t="n">
        <v>6.74559614490424</v>
      </c>
      <c r="G121" s="16" t="n">
        <f aca="false">E121*F121</f>
        <v>0.674559614490424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3" t="str">
        <f aca="false">IF(AND(H121=1,I121=1,J121=1,K121=1),IF(L121=1,"PAID","PAYABLE"),"HELD")</f>
        <v>HELD</v>
      </c>
    </row>
    <row r="122" customFormat="false" ht="15" hidden="false" customHeight="false" outlineLevel="0" collapsed="false">
      <c r="A122" s="12" t="s">
        <v>852</v>
      </c>
      <c r="B122" s="12" t="s">
        <v>305</v>
      </c>
      <c r="C122" s="12" t="s">
        <v>731</v>
      </c>
      <c r="D122" s="12" t="s">
        <v>732</v>
      </c>
      <c r="E122" s="15" t="n">
        <v>0.2</v>
      </c>
      <c r="F122" s="14" t="n">
        <v>6.74559614490424</v>
      </c>
      <c r="G122" s="16" t="n">
        <f aca="false">E122*F122</f>
        <v>1.34911922898085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3" t="str">
        <f aca="false">IF(AND(H122=1,I122=1,J122=1,K122=1),IF(L122=1,"PAID","PAYABLE"),"HELD")</f>
        <v>HELD</v>
      </c>
    </row>
    <row r="123" customFormat="false" ht="15" hidden="false" customHeight="false" outlineLevel="0" collapsed="false">
      <c r="A123" s="12" t="s">
        <v>853</v>
      </c>
      <c r="B123" s="12" t="s">
        <v>305</v>
      </c>
      <c r="C123" s="12" t="s">
        <v>734</v>
      </c>
      <c r="D123" s="12" t="s">
        <v>735</v>
      </c>
      <c r="E123" s="15" t="n">
        <v>0.15</v>
      </c>
      <c r="F123" s="14" t="n">
        <v>6.74559614490424</v>
      </c>
      <c r="G123" s="16" t="n">
        <f aca="false">E123*F123</f>
        <v>1.01183942173564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3" t="str">
        <f aca="false">IF(AND(H123=1,I123=1,J123=1,K123=1),IF(L123=1,"PAID","PAYABLE"),"HELD")</f>
        <v>HELD</v>
      </c>
    </row>
    <row r="124" customFormat="false" ht="15" hidden="false" customHeight="false" outlineLevel="0" collapsed="false">
      <c r="A124" s="12" t="s">
        <v>854</v>
      </c>
      <c r="B124" s="12" t="s">
        <v>305</v>
      </c>
      <c r="C124" s="12" t="s">
        <v>737</v>
      </c>
      <c r="D124" s="12" t="s">
        <v>345</v>
      </c>
      <c r="E124" s="15" t="n">
        <v>0.25</v>
      </c>
      <c r="F124" s="14" t="n">
        <v>6.74559614490424</v>
      </c>
      <c r="G124" s="16" t="n">
        <f aca="false">E124*F124</f>
        <v>1.68639903622606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3" t="str">
        <f aca="false">IF(AND(H124=1,I124=1,J124=1,K124=1),IF(L124=1,"PAID","PAYABLE"),"HELD")</f>
        <v>HELD</v>
      </c>
    </row>
    <row r="125" customFormat="false" ht="15" hidden="false" customHeight="false" outlineLevel="0" collapsed="false">
      <c r="A125" s="12" t="s">
        <v>855</v>
      </c>
      <c r="B125" s="12" t="s">
        <v>305</v>
      </c>
      <c r="C125" s="12" t="s">
        <v>739</v>
      </c>
      <c r="D125" s="12" t="s">
        <v>278</v>
      </c>
      <c r="E125" s="15" t="n">
        <v>0.2</v>
      </c>
      <c r="F125" s="14" t="n">
        <v>6.74559614490424</v>
      </c>
      <c r="G125" s="16" t="n">
        <f aca="false">E125*F125</f>
        <v>1.34911922898085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3" t="str">
        <f aca="false">IF(AND(H125=1,I125=1,J125=1,K125=1),IF(L125=1,"PAID","PAYABLE"),"HELD")</f>
        <v>HELD</v>
      </c>
    </row>
    <row r="126" customFormat="false" ht="15" hidden="false" customHeight="false" outlineLevel="0" collapsed="false">
      <c r="A126" s="12" t="s">
        <v>856</v>
      </c>
      <c r="B126" s="12" t="s">
        <v>305</v>
      </c>
      <c r="C126" s="12" t="s">
        <v>741</v>
      </c>
      <c r="D126" s="12" t="s">
        <v>742</v>
      </c>
      <c r="E126" s="15" t="n">
        <v>0.1</v>
      </c>
      <c r="F126" s="14" t="n">
        <v>6.74559614490424</v>
      </c>
      <c r="G126" s="16" t="n">
        <f aca="false">E126*F126</f>
        <v>0.674559614490424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3" t="str">
        <f aca="false">IF(AND(H126=1,I126=1,J126=1,K126=1),IF(L126=1,"PAID","PAYABLE"),"HELD")</f>
        <v>HELD</v>
      </c>
    </row>
    <row r="127" customFormat="false" ht="15" hidden="false" customHeight="false" outlineLevel="0" collapsed="false">
      <c r="A127" s="12" t="s">
        <v>857</v>
      </c>
      <c r="B127" s="12" t="s">
        <v>306</v>
      </c>
      <c r="C127" s="12" t="s">
        <v>728</v>
      </c>
      <c r="D127" s="12" t="s">
        <v>729</v>
      </c>
      <c r="E127" s="15" t="n">
        <v>0.1</v>
      </c>
      <c r="F127" s="14" t="n">
        <v>8.60712452941095</v>
      </c>
      <c r="G127" s="16" t="n">
        <f aca="false">E127*F127</f>
        <v>0.860712452941095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3" t="str">
        <f aca="false">IF(AND(H127=1,I127=1,J127=1,K127=1),IF(L127=1,"PAID","PAYABLE"),"HELD")</f>
        <v>HELD</v>
      </c>
    </row>
    <row r="128" customFormat="false" ht="15" hidden="false" customHeight="false" outlineLevel="0" collapsed="false">
      <c r="A128" s="12" t="s">
        <v>858</v>
      </c>
      <c r="B128" s="12" t="s">
        <v>306</v>
      </c>
      <c r="C128" s="12" t="s">
        <v>731</v>
      </c>
      <c r="D128" s="12" t="s">
        <v>732</v>
      </c>
      <c r="E128" s="15" t="n">
        <v>0.2</v>
      </c>
      <c r="F128" s="14" t="n">
        <v>8.60712452941095</v>
      </c>
      <c r="G128" s="16" t="n">
        <f aca="false">E128*F128</f>
        <v>1.72142490588219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3" t="str">
        <f aca="false">IF(AND(H128=1,I128=1,J128=1,K128=1),IF(L128=1,"PAID","PAYABLE"),"HELD")</f>
        <v>HELD</v>
      </c>
    </row>
    <row r="129" customFormat="false" ht="15" hidden="false" customHeight="false" outlineLevel="0" collapsed="false">
      <c r="A129" s="12" t="s">
        <v>859</v>
      </c>
      <c r="B129" s="12" t="s">
        <v>306</v>
      </c>
      <c r="C129" s="12" t="s">
        <v>734</v>
      </c>
      <c r="D129" s="12" t="s">
        <v>735</v>
      </c>
      <c r="E129" s="15" t="n">
        <v>0.15</v>
      </c>
      <c r="F129" s="14" t="n">
        <v>8.60712452941095</v>
      </c>
      <c r="G129" s="16" t="n">
        <f aca="false">E129*F129</f>
        <v>1.29106867941164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3" t="str">
        <f aca="false">IF(AND(H129=1,I129=1,J129=1,K129=1),IF(L129=1,"PAID","PAYABLE"),"HELD")</f>
        <v>HELD</v>
      </c>
    </row>
    <row r="130" customFormat="false" ht="15" hidden="false" customHeight="false" outlineLevel="0" collapsed="false">
      <c r="A130" s="12" t="s">
        <v>860</v>
      </c>
      <c r="B130" s="12" t="s">
        <v>306</v>
      </c>
      <c r="C130" s="12" t="s">
        <v>737</v>
      </c>
      <c r="D130" s="12" t="s">
        <v>345</v>
      </c>
      <c r="E130" s="15" t="n">
        <v>0.25</v>
      </c>
      <c r="F130" s="14" t="n">
        <v>8.60712452941095</v>
      </c>
      <c r="G130" s="16" t="n">
        <f aca="false">E130*F130</f>
        <v>2.15178113235274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3" t="str">
        <f aca="false">IF(AND(H130=1,I130=1,J130=1,K130=1),IF(L130=1,"PAID","PAYABLE"),"HELD")</f>
        <v>HELD</v>
      </c>
    </row>
    <row r="131" customFormat="false" ht="15" hidden="false" customHeight="false" outlineLevel="0" collapsed="false">
      <c r="A131" s="12" t="s">
        <v>861</v>
      </c>
      <c r="B131" s="12" t="s">
        <v>306</v>
      </c>
      <c r="C131" s="12" t="s">
        <v>739</v>
      </c>
      <c r="D131" s="12" t="s">
        <v>278</v>
      </c>
      <c r="E131" s="15" t="n">
        <v>0.2</v>
      </c>
      <c r="F131" s="14" t="n">
        <v>8.60712452941095</v>
      </c>
      <c r="G131" s="16" t="n">
        <f aca="false">E131*F131</f>
        <v>1.72142490588219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3" t="str">
        <f aca="false">IF(AND(H131=1,I131=1,J131=1,K131=1),IF(L131=1,"PAID","PAYABLE"),"HELD")</f>
        <v>HELD</v>
      </c>
    </row>
    <row r="132" customFormat="false" ht="15" hidden="false" customHeight="false" outlineLevel="0" collapsed="false">
      <c r="A132" s="12" t="s">
        <v>862</v>
      </c>
      <c r="B132" s="12" t="s">
        <v>306</v>
      </c>
      <c r="C132" s="12" t="s">
        <v>741</v>
      </c>
      <c r="D132" s="12" t="s">
        <v>742</v>
      </c>
      <c r="E132" s="15" t="n">
        <v>0.1</v>
      </c>
      <c r="F132" s="14" t="n">
        <v>8.60712452941095</v>
      </c>
      <c r="G132" s="16" t="n">
        <f aca="false">E132*F132</f>
        <v>0.860712452941095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3" t="str">
        <f aca="false">IF(AND(H132=1,I132=1,J132=1,K132=1),IF(L132=1,"PAID","PAYABLE"),"HELD")</f>
        <v>HELD</v>
      </c>
    </row>
    <row r="133" customFormat="false" ht="15" hidden="false" customHeight="false" outlineLevel="0" collapsed="false">
      <c r="A133" s="12" t="s">
        <v>863</v>
      </c>
      <c r="B133" s="12" t="s">
        <v>309</v>
      </c>
      <c r="C133" s="12" t="s">
        <v>728</v>
      </c>
      <c r="D133" s="12" t="s">
        <v>729</v>
      </c>
      <c r="E133" s="15" t="n">
        <v>0.1</v>
      </c>
      <c r="F133" s="14" t="n">
        <v>10.7589056617637</v>
      </c>
      <c r="G133" s="16" t="n">
        <f aca="false">E133*F133</f>
        <v>1.07589056617637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3" t="str">
        <f aca="false">IF(AND(H133=1,I133=1,J133=1,K133=1),IF(L133=1,"PAID","PAYABLE"),"HELD")</f>
        <v>HELD</v>
      </c>
    </row>
    <row r="134" customFormat="false" ht="15" hidden="false" customHeight="false" outlineLevel="0" collapsed="false">
      <c r="A134" s="12" t="s">
        <v>864</v>
      </c>
      <c r="B134" s="12" t="s">
        <v>309</v>
      </c>
      <c r="C134" s="12" t="s">
        <v>731</v>
      </c>
      <c r="D134" s="12" t="s">
        <v>732</v>
      </c>
      <c r="E134" s="15" t="n">
        <v>0.2</v>
      </c>
      <c r="F134" s="14" t="n">
        <v>10.7589056617637</v>
      </c>
      <c r="G134" s="16" t="n">
        <f aca="false">E134*F134</f>
        <v>2.15178113235274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3" t="str">
        <f aca="false">IF(AND(H134=1,I134=1,J134=1,K134=1),IF(L134=1,"PAID","PAYABLE"),"HELD")</f>
        <v>HELD</v>
      </c>
    </row>
    <row r="135" customFormat="false" ht="15" hidden="false" customHeight="false" outlineLevel="0" collapsed="false">
      <c r="A135" s="12" t="s">
        <v>865</v>
      </c>
      <c r="B135" s="12" t="s">
        <v>309</v>
      </c>
      <c r="C135" s="12" t="s">
        <v>734</v>
      </c>
      <c r="D135" s="12" t="s">
        <v>735</v>
      </c>
      <c r="E135" s="15" t="n">
        <v>0.15</v>
      </c>
      <c r="F135" s="14" t="n">
        <v>10.7589056617637</v>
      </c>
      <c r="G135" s="16" t="n">
        <f aca="false">E135*F135</f>
        <v>1.61383584926455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3" t="str">
        <f aca="false">IF(AND(H135=1,I135=1,J135=1,K135=1),IF(L135=1,"PAID","PAYABLE"),"HELD")</f>
        <v>HELD</v>
      </c>
    </row>
    <row r="136" customFormat="false" ht="15" hidden="false" customHeight="false" outlineLevel="0" collapsed="false">
      <c r="A136" s="12" t="s">
        <v>866</v>
      </c>
      <c r="B136" s="12" t="s">
        <v>309</v>
      </c>
      <c r="C136" s="12" t="s">
        <v>737</v>
      </c>
      <c r="D136" s="12" t="s">
        <v>345</v>
      </c>
      <c r="E136" s="15" t="n">
        <v>0.25</v>
      </c>
      <c r="F136" s="14" t="n">
        <v>10.7589056617637</v>
      </c>
      <c r="G136" s="16" t="n">
        <f aca="false">E136*F136</f>
        <v>2.68972641544092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3" t="str">
        <f aca="false">IF(AND(H136=1,I136=1,J136=1,K136=1),IF(L136=1,"PAID","PAYABLE"),"HELD")</f>
        <v>HELD</v>
      </c>
    </row>
    <row r="137" customFormat="false" ht="15" hidden="false" customHeight="false" outlineLevel="0" collapsed="false">
      <c r="A137" s="12" t="s">
        <v>867</v>
      </c>
      <c r="B137" s="12" t="s">
        <v>309</v>
      </c>
      <c r="C137" s="12" t="s">
        <v>739</v>
      </c>
      <c r="D137" s="12" t="s">
        <v>278</v>
      </c>
      <c r="E137" s="15" t="n">
        <v>0.2</v>
      </c>
      <c r="F137" s="14" t="n">
        <v>10.7589056617637</v>
      </c>
      <c r="G137" s="16" t="n">
        <f aca="false">E137*F137</f>
        <v>2.15178113235274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3" t="str">
        <f aca="false">IF(AND(H137=1,I137=1,J137=1,K137=1),IF(L137=1,"PAID","PAYABLE"),"HELD")</f>
        <v>HELD</v>
      </c>
    </row>
    <row r="138" customFormat="false" ht="15" hidden="false" customHeight="false" outlineLevel="0" collapsed="false">
      <c r="A138" s="12" t="s">
        <v>868</v>
      </c>
      <c r="B138" s="12" t="s">
        <v>309</v>
      </c>
      <c r="C138" s="12" t="s">
        <v>741</v>
      </c>
      <c r="D138" s="12" t="s">
        <v>742</v>
      </c>
      <c r="E138" s="15" t="n">
        <v>0.1</v>
      </c>
      <c r="F138" s="14" t="n">
        <v>10.7589056617637</v>
      </c>
      <c r="G138" s="16" t="n">
        <f aca="false">E138*F138</f>
        <v>1.07589056617637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3" t="str">
        <f aca="false">IF(AND(H138=1,I138=1,J138=1,K138=1),IF(L138=1,"PAID","PAYABLE"),"HELD")</f>
        <v>HELD</v>
      </c>
    </row>
    <row r="139" customFormat="false" ht="15" hidden="false" customHeight="false" outlineLevel="0" collapsed="false">
      <c r="A139" s="12" t="s">
        <v>869</v>
      </c>
      <c r="B139" s="12" t="s">
        <v>310</v>
      </c>
      <c r="C139" s="12" t="s">
        <v>728</v>
      </c>
      <c r="D139" s="12" t="s">
        <v>729</v>
      </c>
      <c r="E139" s="15" t="n">
        <v>0.1</v>
      </c>
      <c r="F139" s="14" t="n">
        <v>6.45534339705821</v>
      </c>
      <c r="G139" s="16" t="n">
        <f aca="false">E139*F139</f>
        <v>0.645534339705821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3" t="str">
        <f aca="false">IF(AND(H139=1,I139=1,J139=1,K139=1),IF(L139=1,"PAID","PAYABLE"),"HELD")</f>
        <v>HELD</v>
      </c>
    </row>
    <row r="140" customFormat="false" ht="15" hidden="false" customHeight="false" outlineLevel="0" collapsed="false">
      <c r="A140" s="12" t="s">
        <v>870</v>
      </c>
      <c r="B140" s="12" t="s">
        <v>310</v>
      </c>
      <c r="C140" s="12" t="s">
        <v>731</v>
      </c>
      <c r="D140" s="12" t="s">
        <v>732</v>
      </c>
      <c r="E140" s="15" t="n">
        <v>0.2</v>
      </c>
      <c r="F140" s="14" t="n">
        <v>6.45534339705821</v>
      </c>
      <c r="G140" s="16" t="n">
        <f aca="false">E140*F140</f>
        <v>1.29106867941164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3" t="str">
        <f aca="false">IF(AND(H140=1,I140=1,J140=1,K140=1),IF(L140=1,"PAID","PAYABLE"),"HELD")</f>
        <v>HELD</v>
      </c>
    </row>
    <row r="141" customFormat="false" ht="15" hidden="false" customHeight="false" outlineLevel="0" collapsed="false">
      <c r="A141" s="12" t="s">
        <v>871</v>
      </c>
      <c r="B141" s="12" t="s">
        <v>310</v>
      </c>
      <c r="C141" s="12" t="s">
        <v>734</v>
      </c>
      <c r="D141" s="12" t="s">
        <v>735</v>
      </c>
      <c r="E141" s="15" t="n">
        <v>0.15</v>
      </c>
      <c r="F141" s="14" t="n">
        <v>6.45534339705821</v>
      </c>
      <c r="G141" s="16" t="n">
        <f aca="false">E141*F141</f>
        <v>0.968301509558732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3" t="str">
        <f aca="false">IF(AND(H141=1,I141=1,J141=1,K141=1),IF(L141=1,"PAID","PAYABLE"),"HELD")</f>
        <v>HELD</v>
      </c>
    </row>
    <row r="142" customFormat="false" ht="15" hidden="false" customHeight="false" outlineLevel="0" collapsed="false">
      <c r="A142" s="12" t="s">
        <v>872</v>
      </c>
      <c r="B142" s="12" t="s">
        <v>310</v>
      </c>
      <c r="C142" s="12" t="s">
        <v>737</v>
      </c>
      <c r="D142" s="12" t="s">
        <v>345</v>
      </c>
      <c r="E142" s="15" t="n">
        <v>0.25</v>
      </c>
      <c r="F142" s="14" t="n">
        <v>6.45534339705821</v>
      </c>
      <c r="G142" s="16" t="n">
        <f aca="false">E142*F142</f>
        <v>1.61383584926455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3" t="str">
        <f aca="false">IF(AND(H142=1,I142=1,J142=1,K142=1),IF(L142=1,"PAID","PAYABLE"),"HELD")</f>
        <v>HELD</v>
      </c>
    </row>
    <row r="143" customFormat="false" ht="15" hidden="false" customHeight="false" outlineLevel="0" collapsed="false">
      <c r="A143" s="12" t="s">
        <v>873</v>
      </c>
      <c r="B143" s="12" t="s">
        <v>310</v>
      </c>
      <c r="C143" s="12" t="s">
        <v>739</v>
      </c>
      <c r="D143" s="12" t="s">
        <v>278</v>
      </c>
      <c r="E143" s="15" t="n">
        <v>0.2</v>
      </c>
      <c r="F143" s="14" t="n">
        <v>6.45534339705821</v>
      </c>
      <c r="G143" s="16" t="n">
        <f aca="false">E143*F143</f>
        <v>1.29106867941164</v>
      </c>
      <c r="H143" s="12" t="n">
        <v>0</v>
      </c>
      <c r="I143" s="12" t="n">
        <v>0</v>
      </c>
      <c r="J143" s="12" t="n">
        <v>0</v>
      </c>
      <c r="K143" s="12" t="n">
        <v>0</v>
      </c>
      <c r="L143" s="12" t="n">
        <v>0</v>
      </c>
      <c r="M143" s="13" t="str">
        <f aca="false">IF(AND(H143=1,I143=1,J143=1,K143=1),IF(L143=1,"PAID","PAYABLE"),"HELD")</f>
        <v>HELD</v>
      </c>
    </row>
    <row r="144" customFormat="false" ht="15" hidden="false" customHeight="false" outlineLevel="0" collapsed="false">
      <c r="A144" s="12" t="s">
        <v>874</v>
      </c>
      <c r="B144" s="12" t="s">
        <v>310</v>
      </c>
      <c r="C144" s="12" t="s">
        <v>741</v>
      </c>
      <c r="D144" s="12" t="s">
        <v>742</v>
      </c>
      <c r="E144" s="15" t="n">
        <v>0.1</v>
      </c>
      <c r="F144" s="14" t="n">
        <v>6.45534339705821</v>
      </c>
      <c r="G144" s="16" t="n">
        <f aca="false">E144*F144</f>
        <v>0.645534339705821</v>
      </c>
      <c r="H144" s="12" t="n">
        <v>0</v>
      </c>
      <c r="I144" s="12" t="n">
        <v>0</v>
      </c>
      <c r="J144" s="12" t="n">
        <v>0</v>
      </c>
      <c r="K144" s="12" t="n">
        <v>0</v>
      </c>
      <c r="L144" s="12" t="n">
        <v>0</v>
      </c>
      <c r="M144" s="13" t="str">
        <f aca="false">IF(AND(H144=1,I144=1,J144=1,K144=1),IF(L144=1,"PAID","PAYABLE"),"HELD")</f>
        <v>HELD</v>
      </c>
    </row>
    <row r="145" customFormat="false" ht="15" hidden="false" customHeight="false" outlineLevel="0" collapsed="false">
      <c r="A145" s="12" t="s">
        <v>875</v>
      </c>
      <c r="B145" s="12" t="s">
        <v>311</v>
      </c>
      <c r="C145" s="12" t="s">
        <v>728</v>
      </c>
      <c r="D145" s="12" t="s">
        <v>729</v>
      </c>
      <c r="E145" s="15" t="n">
        <v>0.1</v>
      </c>
      <c r="F145" s="14" t="n">
        <v>10.7589056617637</v>
      </c>
      <c r="G145" s="16" t="n">
        <f aca="false">E145*F145</f>
        <v>1.07589056617637</v>
      </c>
      <c r="H145" s="12" t="n">
        <v>0</v>
      </c>
      <c r="I145" s="12" t="n">
        <v>0</v>
      </c>
      <c r="J145" s="12" t="n">
        <v>0</v>
      </c>
      <c r="K145" s="12" t="n">
        <v>0</v>
      </c>
      <c r="L145" s="12" t="n">
        <v>0</v>
      </c>
      <c r="M145" s="13" t="str">
        <f aca="false">IF(AND(H145=1,I145=1,J145=1,K145=1),IF(L145=1,"PAID","PAYABLE"),"HELD")</f>
        <v>HELD</v>
      </c>
    </row>
    <row r="146" customFormat="false" ht="15" hidden="false" customHeight="false" outlineLevel="0" collapsed="false">
      <c r="A146" s="12" t="s">
        <v>876</v>
      </c>
      <c r="B146" s="12" t="s">
        <v>311</v>
      </c>
      <c r="C146" s="12" t="s">
        <v>731</v>
      </c>
      <c r="D146" s="12" t="s">
        <v>732</v>
      </c>
      <c r="E146" s="15" t="n">
        <v>0.2</v>
      </c>
      <c r="F146" s="14" t="n">
        <v>10.7589056617637</v>
      </c>
      <c r="G146" s="16" t="n">
        <f aca="false">E146*F146</f>
        <v>2.15178113235274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3" t="str">
        <f aca="false">IF(AND(H146=1,I146=1,J146=1,K146=1),IF(L146=1,"PAID","PAYABLE"),"HELD")</f>
        <v>HELD</v>
      </c>
    </row>
    <row r="147" customFormat="false" ht="15" hidden="false" customHeight="false" outlineLevel="0" collapsed="false">
      <c r="A147" s="12" t="s">
        <v>877</v>
      </c>
      <c r="B147" s="12" t="s">
        <v>311</v>
      </c>
      <c r="C147" s="12" t="s">
        <v>734</v>
      </c>
      <c r="D147" s="12" t="s">
        <v>735</v>
      </c>
      <c r="E147" s="15" t="n">
        <v>0.15</v>
      </c>
      <c r="F147" s="14" t="n">
        <v>10.7589056617637</v>
      </c>
      <c r="G147" s="16" t="n">
        <f aca="false">E147*F147</f>
        <v>1.61383584926455</v>
      </c>
      <c r="H147" s="12" t="n">
        <v>0</v>
      </c>
      <c r="I147" s="12" t="n">
        <v>0</v>
      </c>
      <c r="J147" s="12" t="n">
        <v>0</v>
      </c>
      <c r="K147" s="12" t="n">
        <v>0</v>
      </c>
      <c r="L147" s="12" t="n">
        <v>0</v>
      </c>
      <c r="M147" s="13" t="str">
        <f aca="false">IF(AND(H147=1,I147=1,J147=1,K147=1),IF(L147=1,"PAID","PAYABLE"),"HELD")</f>
        <v>HELD</v>
      </c>
    </row>
    <row r="148" customFormat="false" ht="15" hidden="false" customHeight="false" outlineLevel="0" collapsed="false">
      <c r="A148" s="12" t="s">
        <v>878</v>
      </c>
      <c r="B148" s="12" t="s">
        <v>311</v>
      </c>
      <c r="C148" s="12" t="s">
        <v>737</v>
      </c>
      <c r="D148" s="12" t="s">
        <v>345</v>
      </c>
      <c r="E148" s="15" t="n">
        <v>0.25</v>
      </c>
      <c r="F148" s="14" t="n">
        <v>10.7589056617637</v>
      </c>
      <c r="G148" s="16" t="n">
        <f aca="false">E148*F148</f>
        <v>2.68972641544092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3" t="str">
        <f aca="false">IF(AND(H148=1,I148=1,J148=1,K148=1),IF(L148=1,"PAID","PAYABLE"),"HELD")</f>
        <v>HELD</v>
      </c>
    </row>
    <row r="149" customFormat="false" ht="15" hidden="false" customHeight="false" outlineLevel="0" collapsed="false">
      <c r="A149" s="12" t="s">
        <v>879</v>
      </c>
      <c r="B149" s="12" t="s">
        <v>311</v>
      </c>
      <c r="C149" s="12" t="s">
        <v>739</v>
      </c>
      <c r="D149" s="12" t="s">
        <v>278</v>
      </c>
      <c r="E149" s="15" t="n">
        <v>0.2</v>
      </c>
      <c r="F149" s="14" t="n">
        <v>10.7589056617637</v>
      </c>
      <c r="G149" s="16" t="n">
        <f aca="false">E149*F149</f>
        <v>2.15178113235274</v>
      </c>
      <c r="H149" s="12" t="n">
        <v>0</v>
      </c>
      <c r="I149" s="12" t="n">
        <v>0</v>
      </c>
      <c r="J149" s="12" t="n">
        <v>0</v>
      </c>
      <c r="K149" s="12" t="n">
        <v>0</v>
      </c>
      <c r="L149" s="12" t="n">
        <v>0</v>
      </c>
      <c r="M149" s="13" t="str">
        <f aca="false">IF(AND(H149=1,I149=1,J149=1,K149=1),IF(L149=1,"PAID","PAYABLE"),"HELD")</f>
        <v>HELD</v>
      </c>
    </row>
    <row r="150" customFormat="false" ht="15" hidden="false" customHeight="false" outlineLevel="0" collapsed="false">
      <c r="A150" s="12" t="s">
        <v>880</v>
      </c>
      <c r="B150" s="12" t="s">
        <v>311</v>
      </c>
      <c r="C150" s="12" t="s">
        <v>741</v>
      </c>
      <c r="D150" s="12" t="s">
        <v>742</v>
      </c>
      <c r="E150" s="15" t="n">
        <v>0.1</v>
      </c>
      <c r="F150" s="14" t="n">
        <v>10.7589056617637</v>
      </c>
      <c r="G150" s="16" t="n">
        <f aca="false">E150*F150</f>
        <v>1.07589056617637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3" t="str">
        <f aca="false">IF(AND(H150=1,I150=1,J150=1,K150=1),IF(L150=1,"PAID","PAYABLE"),"HELD")</f>
        <v>HELD</v>
      </c>
    </row>
    <row r="151" customFormat="false" ht="15" hidden="false" customHeight="false" outlineLevel="0" collapsed="false">
      <c r="A151" s="12" t="s">
        <v>881</v>
      </c>
      <c r="B151" s="12" t="s">
        <v>312</v>
      </c>
      <c r="C151" s="12" t="s">
        <v>728</v>
      </c>
      <c r="D151" s="12" t="s">
        <v>729</v>
      </c>
      <c r="E151" s="15" t="n">
        <v>0.1</v>
      </c>
      <c r="F151" s="14" t="n">
        <v>6.45534339705821</v>
      </c>
      <c r="G151" s="16" t="n">
        <f aca="false">E151*F151</f>
        <v>0.645534339705821</v>
      </c>
      <c r="H151" s="12" t="n">
        <v>0</v>
      </c>
      <c r="I151" s="12" t="n">
        <v>0</v>
      </c>
      <c r="J151" s="12" t="n">
        <v>0</v>
      </c>
      <c r="K151" s="12" t="n">
        <v>0</v>
      </c>
      <c r="L151" s="12" t="n">
        <v>0</v>
      </c>
      <c r="M151" s="13" t="str">
        <f aca="false">IF(AND(H151=1,I151=1,J151=1,K151=1),IF(L151=1,"PAID","PAYABLE"),"HELD")</f>
        <v>HELD</v>
      </c>
    </row>
    <row r="152" customFormat="false" ht="15" hidden="false" customHeight="false" outlineLevel="0" collapsed="false">
      <c r="A152" s="12" t="s">
        <v>882</v>
      </c>
      <c r="B152" s="12" t="s">
        <v>312</v>
      </c>
      <c r="C152" s="12" t="s">
        <v>731</v>
      </c>
      <c r="D152" s="12" t="s">
        <v>732</v>
      </c>
      <c r="E152" s="15" t="n">
        <v>0.2</v>
      </c>
      <c r="F152" s="14" t="n">
        <v>6.45534339705821</v>
      </c>
      <c r="G152" s="16" t="n">
        <f aca="false">E152*F152</f>
        <v>1.29106867941164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3" t="str">
        <f aca="false">IF(AND(H152=1,I152=1,J152=1,K152=1),IF(L152=1,"PAID","PAYABLE"),"HELD")</f>
        <v>HELD</v>
      </c>
    </row>
    <row r="153" customFormat="false" ht="15" hidden="false" customHeight="false" outlineLevel="0" collapsed="false">
      <c r="A153" s="12" t="s">
        <v>883</v>
      </c>
      <c r="B153" s="12" t="s">
        <v>312</v>
      </c>
      <c r="C153" s="12" t="s">
        <v>734</v>
      </c>
      <c r="D153" s="12" t="s">
        <v>735</v>
      </c>
      <c r="E153" s="15" t="n">
        <v>0.15</v>
      </c>
      <c r="F153" s="14" t="n">
        <v>6.45534339705821</v>
      </c>
      <c r="G153" s="16" t="n">
        <f aca="false">E153*F153</f>
        <v>0.968301509558732</v>
      </c>
      <c r="H153" s="12" t="n">
        <v>0</v>
      </c>
      <c r="I153" s="12" t="n">
        <v>0</v>
      </c>
      <c r="J153" s="12" t="n">
        <v>0</v>
      </c>
      <c r="K153" s="12" t="n">
        <v>0</v>
      </c>
      <c r="L153" s="12" t="n">
        <v>0</v>
      </c>
      <c r="M153" s="13" t="str">
        <f aca="false">IF(AND(H153=1,I153=1,J153=1,K153=1),IF(L153=1,"PAID","PAYABLE"),"HELD")</f>
        <v>HELD</v>
      </c>
    </row>
    <row r="154" customFormat="false" ht="15" hidden="false" customHeight="false" outlineLevel="0" collapsed="false">
      <c r="A154" s="12" t="s">
        <v>884</v>
      </c>
      <c r="B154" s="12" t="s">
        <v>312</v>
      </c>
      <c r="C154" s="12" t="s">
        <v>737</v>
      </c>
      <c r="D154" s="12" t="s">
        <v>345</v>
      </c>
      <c r="E154" s="15" t="n">
        <v>0.25</v>
      </c>
      <c r="F154" s="14" t="n">
        <v>6.45534339705821</v>
      </c>
      <c r="G154" s="16" t="n">
        <f aca="false">E154*F154</f>
        <v>1.61383584926455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3" t="str">
        <f aca="false">IF(AND(H154=1,I154=1,J154=1,K154=1),IF(L154=1,"PAID","PAYABLE"),"HELD")</f>
        <v>HELD</v>
      </c>
    </row>
    <row r="155" customFormat="false" ht="15" hidden="false" customHeight="false" outlineLevel="0" collapsed="false">
      <c r="A155" s="12" t="s">
        <v>885</v>
      </c>
      <c r="B155" s="12" t="s">
        <v>312</v>
      </c>
      <c r="C155" s="12" t="s">
        <v>739</v>
      </c>
      <c r="D155" s="12" t="s">
        <v>278</v>
      </c>
      <c r="E155" s="15" t="n">
        <v>0.2</v>
      </c>
      <c r="F155" s="14" t="n">
        <v>6.45534339705821</v>
      </c>
      <c r="G155" s="16" t="n">
        <f aca="false">E155*F155</f>
        <v>1.29106867941164</v>
      </c>
      <c r="H155" s="12" t="n">
        <v>0</v>
      </c>
      <c r="I155" s="12" t="n">
        <v>0</v>
      </c>
      <c r="J155" s="12" t="n">
        <v>0</v>
      </c>
      <c r="K155" s="12" t="n">
        <v>0</v>
      </c>
      <c r="L155" s="12" t="n">
        <v>0</v>
      </c>
      <c r="M155" s="13" t="str">
        <f aca="false">IF(AND(H155=1,I155=1,J155=1,K155=1),IF(L155=1,"PAID","PAYABLE"),"HELD")</f>
        <v>HELD</v>
      </c>
    </row>
    <row r="156" customFormat="false" ht="15" hidden="false" customHeight="false" outlineLevel="0" collapsed="false">
      <c r="A156" s="12" t="s">
        <v>886</v>
      </c>
      <c r="B156" s="12" t="s">
        <v>312</v>
      </c>
      <c r="C156" s="12" t="s">
        <v>741</v>
      </c>
      <c r="D156" s="12" t="s">
        <v>742</v>
      </c>
      <c r="E156" s="15" t="n">
        <v>0.1</v>
      </c>
      <c r="F156" s="14" t="n">
        <v>6.45534339705821</v>
      </c>
      <c r="G156" s="16" t="n">
        <f aca="false">E156*F156</f>
        <v>0.645534339705821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3" t="str">
        <f aca="false">IF(AND(H156=1,I156=1,J156=1,K156=1),IF(L156=1,"PAID","PAYABLE"),"HELD")</f>
        <v>HELD</v>
      </c>
    </row>
    <row r="157" customFormat="false" ht="15" hidden="false" customHeight="false" outlineLevel="0" collapsed="false">
      <c r="A157" s="12" t="s">
        <v>887</v>
      </c>
      <c r="B157" s="12" t="s">
        <v>313</v>
      </c>
      <c r="C157" s="12" t="s">
        <v>728</v>
      </c>
      <c r="D157" s="12" t="s">
        <v>729</v>
      </c>
      <c r="E157" s="15" t="n">
        <v>0.1</v>
      </c>
      <c r="F157" s="14" t="n">
        <v>5.02597793135963</v>
      </c>
      <c r="G157" s="16" t="n">
        <f aca="false">E157*F157</f>
        <v>0.502597793135963</v>
      </c>
      <c r="H157" s="12" t="n">
        <v>0</v>
      </c>
      <c r="I157" s="12" t="n">
        <v>0</v>
      </c>
      <c r="J157" s="12" t="n">
        <v>0</v>
      </c>
      <c r="K157" s="12" t="n">
        <v>0</v>
      </c>
      <c r="L157" s="12" t="n">
        <v>0</v>
      </c>
      <c r="M157" s="13" t="str">
        <f aca="false">IF(AND(H157=1,I157=1,J157=1,K157=1),IF(L157=1,"PAID","PAYABLE"),"HELD")</f>
        <v>HELD</v>
      </c>
    </row>
    <row r="158" customFormat="false" ht="15" hidden="false" customHeight="false" outlineLevel="0" collapsed="false">
      <c r="A158" s="12" t="s">
        <v>888</v>
      </c>
      <c r="B158" s="12" t="s">
        <v>313</v>
      </c>
      <c r="C158" s="12" t="s">
        <v>731</v>
      </c>
      <c r="D158" s="12" t="s">
        <v>732</v>
      </c>
      <c r="E158" s="15" t="n">
        <v>0.2</v>
      </c>
      <c r="F158" s="14" t="n">
        <v>5.02597793135963</v>
      </c>
      <c r="G158" s="16" t="n">
        <f aca="false">E158*F158</f>
        <v>1.00519558627193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3" t="str">
        <f aca="false">IF(AND(H158=1,I158=1,J158=1,K158=1),IF(L158=1,"PAID","PAYABLE"),"HELD")</f>
        <v>HELD</v>
      </c>
    </row>
    <row r="159" customFormat="false" ht="15" hidden="false" customHeight="false" outlineLevel="0" collapsed="false">
      <c r="A159" s="12" t="s">
        <v>889</v>
      </c>
      <c r="B159" s="12" t="s">
        <v>313</v>
      </c>
      <c r="C159" s="12" t="s">
        <v>734</v>
      </c>
      <c r="D159" s="12" t="s">
        <v>735</v>
      </c>
      <c r="E159" s="15" t="n">
        <v>0.15</v>
      </c>
      <c r="F159" s="14" t="n">
        <v>5.02597793135963</v>
      </c>
      <c r="G159" s="16" t="n">
        <f aca="false">E159*F159</f>
        <v>0.753896689703944</v>
      </c>
      <c r="H159" s="12" t="n">
        <v>0</v>
      </c>
      <c r="I159" s="12" t="n">
        <v>0</v>
      </c>
      <c r="J159" s="12" t="n">
        <v>0</v>
      </c>
      <c r="K159" s="12" t="n">
        <v>0</v>
      </c>
      <c r="L159" s="12" t="n">
        <v>0</v>
      </c>
      <c r="M159" s="13" t="str">
        <f aca="false">IF(AND(H159=1,I159=1,J159=1,K159=1),IF(L159=1,"PAID","PAYABLE"),"HELD")</f>
        <v>HELD</v>
      </c>
    </row>
    <row r="160" customFormat="false" ht="15" hidden="false" customHeight="false" outlineLevel="0" collapsed="false">
      <c r="A160" s="12" t="s">
        <v>890</v>
      </c>
      <c r="B160" s="12" t="s">
        <v>313</v>
      </c>
      <c r="C160" s="12" t="s">
        <v>737</v>
      </c>
      <c r="D160" s="12" t="s">
        <v>345</v>
      </c>
      <c r="E160" s="15" t="n">
        <v>0.25</v>
      </c>
      <c r="F160" s="14" t="n">
        <v>5.02597793135963</v>
      </c>
      <c r="G160" s="16" t="n">
        <f aca="false">E160*F160</f>
        <v>1.25649448283991</v>
      </c>
      <c r="H160" s="12" t="n">
        <v>0</v>
      </c>
      <c r="I160" s="12" t="n">
        <v>0</v>
      </c>
      <c r="J160" s="12" t="n">
        <v>0</v>
      </c>
      <c r="K160" s="12" t="n">
        <v>0</v>
      </c>
      <c r="L160" s="12" t="n">
        <v>0</v>
      </c>
      <c r="M160" s="13" t="str">
        <f aca="false">IF(AND(H160=1,I160=1,J160=1,K160=1),IF(L160=1,"PAID","PAYABLE"),"HELD")</f>
        <v>HELD</v>
      </c>
    </row>
    <row r="161" customFormat="false" ht="15" hidden="false" customHeight="false" outlineLevel="0" collapsed="false">
      <c r="A161" s="12" t="s">
        <v>891</v>
      </c>
      <c r="B161" s="12" t="s">
        <v>313</v>
      </c>
      <c r="C161" s="12" t="s">
        <v>739</v>
      </c>
      <c r="D161" s="12" t="s">
        <v>278</v>
      </c>
      <c r="E161" s="15" t="n">
        <v>0.2</v>
      </c>
      <c r="F161" s="14" t="n">
        <v>5.02597793135963</v>
      </c>
      <c r="G161" s="16" t="n">
        <f aca="false">E161*F161</f>
        <v>1.00519558627193</v>
      </c>
      <c r="H161" s="12" t="n">
        <v>0</v>
      </c>
      <c r="I161" s="12" t="n">
        <v>0</v>
      </c>
      <c r="J161" s="12" t="n">
        <v>0</v>
      </c>
      <c r="K161" s="12" t="n">
        <v>0</v>
      </c>
      <c r="L161" s="12" t="n">
        <v>0</v>
      </c>
      <c r="M161" s="13" t="str">
        <f aca="false">IF(AND(H161=1,I161=1,J161=1,K161=1),IF(L161=1,"PAID","PAYABLE"),"HELD")</f>
        <v>HELD</v>
      </c>
    </row>
    <row r="162" customFormat="false" ht="15" hidden="false" customHeight="false" outlineLevel="0" collapsed="false">
      <c r="A162" s="12" t="s">
        <v>892</v>
      </c>
      <c r="B162" s="12" t="s">
        <v>313</v>
      </c>
      <c r="C162" s="12" t="s">
        <v>741</v>
      </c>
      <c r="D162" s="12" t="s">
        <v>742</v>
      </c>
      <c r="E162" s="15" t="n">
        <v>0.1</v>
      </c>
      <c r="F162" s="14" t="n">
        <v>5.02597793135963</v>
      </c>
      <c r="G162" s="16" t="n">
        <f aca="false">E162*F162</f>
        <v>0.502597793135963</v>
      </c>
      <c r="H162" s="12" t="n">
        <v>0</v>
      </c>
      <c r="I162" s="12" t="n">
        <v>0</v>
      </c>
      <c r="J162" s="12" t="n">
        <v>0</v>
      </c>
      <c r="K162" s="12" t="n">
        <v>0</v>
      </c>
      <c r="L162" s="12" t="n">
        <v>0</v>
      </c>
      <c r="M162" s="13" t="str">
        <f aca="false">IF(AND(H162=1,I162=1,J162=1,K162=1),IF(L162=1,"PAID","PAYABLE"),"HELD")</f>
        <v>HELD</v>
      </c>
    </row>
    <row r="163" customFormat="false" ht="15" hidden="false" customHeight="false" outlineLevel="0" collapsed="false">
      <c r="A163" s="12" t="s">
        <v>893</v>
      </c>
      <c r="B163" s="12" t="s">
        <v>316</v>
      </c>
      <c r="C163" s="12" t="s">
        <v>728</v>
      </c>
      <c r="D163" s="12" t="s">
        <v>729</v>
      </c>
      <c r="E163" s="15" t="n">
        <v>0.1</v>
      </c>
      <c r="F163" s="14" t="n">
        <v>6.28247241419954</v>
      </c>
      <c r="G163" s="16" t="n">
        <f aca="false">E163*F163</f>
        <v>0.628247241419954</v>
      </c>
      <c r="H163" s="12" t="n">
        <v>0</v>
      </c>
      <c r="I163" s="12" t="n">
        <v>0</v>
      </c>
      <c r="J163" s="12" t="n">
        <v>0</v>
      </c>
      <c r="K163" s="12" t="n">
        <v>0</v>
      </c>
      <c r="L163" s="12" t="n">
        <v>0</v>
      </c>
      <c r="M163" s="13" t="str">
        <f aca="false">IF(AND(H163=1,I163=1,J163=1,K163=1),IF(L163=1,"PAID","PAYABLE"),"HELD")</f>
        <v>HELD</v>
      </c>
    </row>
    <row r="164" customFormat="false" ht="15" hidden="false" customHeight="false" outlineLevel="0" collapsed="false">
      <c r="A164" s="12" t="s">
        <v>894</v>
      </c>
      <c r="B164" s="12" t="s">
        <v>316</v>
      </c>
      <c r="C164" s="12" t="s">
        <v>731</v>
      </c>
      <c r="D164" s="12" t="s">
        <v>732</v>
      </c>
      <c r="E164" s="15" t="n">
        <v>0.2</v>
      </c>
      <c r="F164" s="14" t="n">
        <v>6.28247241419954</v>
      </c>
      <c r="G164" s="16" t="n">
        <f aca="false">E164*F164</f>
        <v>1.25649448283991</v>
      </c>
      <c r="H164" s="12" t="n">
        <v>0</v>
      </c>
      <c r="I164" s="12" t="n">
        <v>0</v>
      </c>
      <c r="J164" s="12" t="n">
        <v>0</v>
      </c>
      <c r="K164" s="12" t="n">
        <v>0</v>
      </c>
      <c r="L164" s="12" t="n">
        <v>0</v>
      </c>
      <c r="M164" s="13" t="str">
        <f aca="false">IF(AND(H164=1,I164=1,J164=1,K164=1),IF(L164=1,"PAID","PAYABLE"),"HELD")</f>
        <v>HELD</v>
      </c>
    </row>
    <row r="165" customFormat="false" ht="15" hidden="false" customHeight="false" outlineLevel="0" collapsed="false">
      <c r="A165" s="12" t="s">
        <v>895</v>
      </c>
      <c r="B165" s="12" t="s">
        <v>316</v>
      </c>
      <c r="C165" s="12" t="s">
        <v>734</v>
      </c>
      <c r="D165" s="12" t="s">
        <v>735</v>
      </c>
      <c r="E165" s="15" t="n">
        <v>0.15</v>
      </c>
      <c r="F165" s="14" t="n">
        <v>6.28247241419954</v>
      </c>
      <c r="G165" s="16" t="n">
        <f aca="false">E165*F165</f>
        <v>0.94237086212993</v>
      </c>
      <c r="H165" s="12" t="n">
        <v>0</v>
      </c>
      <c r="I165" s="12" t="n">
        <v>0</v>
      </c>
      <c r="J165" s="12" t="n">
        <v>0</v>
      </c>
      <c r="K165" s="12" t="n">
        <v>0</v>
      </c>
      <c r="L165" s="12" t="n">
        <v>0</v>
      </c>
      <c r="M165" s="13" t="str">
        <f aca="false">IF(AND(H165=1,I165=1,J165=1,K165=1),IF(L165=1,"PAID","PAYABLE"),"HELD")</f>
        <v>HELD</v>
      </c>
    </row>
    <row r="166" customFormat="false" ht="15" hidden="false" customHeight="false" outlineLevel="0" collapsed="false">
      <c r="A166" s="12" t="s">
        <v>896</v>
      </c>
      <c r="B166" s="12" t="s">
        <v>316</v>
      </c>
      <c r="C166" s="12" t="s">
        <v>737</v>
      </c>
      <c r="D166" s="12" t="s">
        <v>345</v>
      </c>
      <c r="E166" s="15" t="n">
        <v>0.25</v>
      </c>
      <c r="F166" s="14" t="n">
        <v>6.28247241419954</v>
      </c>
      <c r="G166" s="16" t="n">
        <f aca="false">E166*F166</f>
        <v>1.57061810354988</v>
      </c>
      <c r="H166" s="12" t="n">
        <v>0</v>
      </c>
      <c r="I166" s="12" t="n">
        <v>0</v>
      </c>
      <c r="J166" s="12" t="n">
        <v>0</v>
      </c>
      <c r="K166" s="12" t="n">
        <v>0</v>
      </c>
      <c r="L166" s="12" t="n">
        <v>0</v>
      </c>
      <c r="M166" s="13" t="str">
        <f aca="false">IF(AND(H166=1,I166=1,J166=1,K166=1),IF(L166=1,"PAID","PAYABLE"),"HELD")</f>
        <v>HELD</v>
      </c>
    </row>
    <row r="167" customFormat="false" ht="15" hidden="false" customHeight="false" outlineLevel="0" collapsed="false">
      <c r="A167" s="12" t="s">
        <v>897</v>
      </c>
      <c r="B167" s="12" t="s">
        <v>316</v>
      </c>
      <c r="C167" s="12" t="s">
        <v>739</v>
      </c>
      <c r="D167" s="12" t="s">
        <v>278</v>
      </c>
      <c r="E167" s="15" t="n">
        <v>0.2</v>
      </c>
      <c r="F167" s="14" t="n">
        <v>6.28247241419954</v>
      </c>
      <c r="G167" s="16" t="n">
        <f aca="false">E167*F167</f>
        <v>1.25649448283991</v>
      </c>
      <c r="H167" s="12" t="n">
        <v>0</v>
      </c>
      <c r="I167" s="12" t="n">
        <v>0</v>
      </c>
      <c r="J167" s="12" t="n">
        <v>0</v>
      </c>
      <c r="K167" s="12" t="n">
        <v>0</v>
      </c>
      <c r="L167" s="12" t="n">
        <v>0</v>
      </c>
      <c r="M167" s="13" t="str">
        <f aca="false">IF(AND(H167=1,I167=1,J167=1,K167=1),IF(L167=1,"PAID","PAYABLE"),"HELD")</f>
        <v>HELD</v>
      </c>
    </row>
    <row r="168" customFormat="false" ht="15" hidden="false" customHeight="false" outlineLevel="0" collapsed="false">
      <c r="A168" s="12" t="s">
        <v>898</v>
      </c>
      <c r="B168" s="12" t="s">
        <v>316</v>
      </c>
      <c r="C168" s="12" t="s">
        <v>741</v>
      </c>
      <c r="D168" s="12" t="s">
        <v>742</v>
      </c>
      <c r="E168" s="15" t="n">
        <v>0.1</v>
      </c>
      <c r="F168" s="14" t="n">
        <v>6.28247241419954</v>
      </c>
      <c r="G168" s="16" t="n">
        <f aca="false">E168*F168</f>
        <v>0.628247241419954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3" t="str">
        <f aca="false">IF(AND(H168=1,I168=1,J168=1,K168=1),IF(L168=1,"PAID","PAYABLE"),"HELD")</f>
        <v>HELD</v>
      </c>
    </row>
    <row r="169" customFormat="false" ht="15" hidden="false" customHeight="false" outlineLevel="0" collapsed="false">
      <c r="A169" s="12" t="s">
        <v>899</v>
      </c>
      <c r="B169" s="12" t="s">
        <v>317</v>
      </c>
      <c r="C169" s="12" t="s">
        <v>728</v>
      </c>
      <c r="D169" s="12" t="s">
        <v>729</v>
      </c>
      <c r="E169" s="15" t="n">
        <v>0.1</v>
      </c>
      <c r="F169" s="14" t="n">
        <v>3.76948344851972</v>
      </c>
      <c r="G169" s="16" t="n">
        <f aca="false">E169*F169</f>
        <v>0.376948344851972</v>
      </c>
      <c r="H169" s="12" t="n">
        <v>0</v>
      </c>
      <c r="I169" s="12" t="n">
        <v>0</v>
      </c>
      <c r="J169" s="12" t="n">
        <v>0</v>
      </c>
      <c r="K169" s="12" t="n">
        <v>0</v>
      </c>
      <c r="L169" s="12" t="n">
        <v>0</v>
      </c>
      <c r="M169" s="13" t="str">
        <f aca="false">IF(AND(H169=1,I169=1,J169=1,K169=1),IF(L169=1,"PAID","PAYABLE"),"HELD")</f>
        <v>HELD</v>
      </c>
    </row>
    <row r="170" customFormat="false" ht="15" hidden="false" customHeight="false" outlineLevel="0" collapsed="false">
      <c r="A170" s="12" t="s">
        <v>900</v>
      </c>
      <c r="B170" s="12" t="s">
        <v>317</v>
      </c>
      <c r="C170" s="12" t="s">
        <v>731</v>
      </c>
      <c r="D170" s="12" t="s">
        <v>732</v>
      </c>
      <c r="E170" s="15" t="n">
        <v>0.2</v>
      </c>
      <c r="F170" s="14" t="n">
        <v>3.76948344851972</v>
      </c>
      <c r="G170" s="16" t="n">
        <f aca="false">E170*F170</f>
        <v>0.753896689703944</v>
      </c>
      <c r="H170" s="12" t="n">
        <v>0</v>
      </c>
      <c r="I170" s="12" t="n">
        <v>0</v>
      </c>
      <c r="J170" s="12" t="n">
        <v>0</v>
      </c>
      <c r="K170" s="12" t="n">
        <v>0</v>
      </c>
      <c r="L170" s="12" t="n">
        <v>0</v>
      </c>
      <c r="M170" s="13" t="str">
        <f aca="false">IF(AND(H170=1,I170=1,J170=1,K170=1),IF(L170=1,"PAID","PAYABLE"),"HELD")</f>
        <v>HELD</v>
      </c>
    </row>
    <row r="171" customFormat="false" ht="15" hidden="false" customHeight="false" outlineLevel="0" collapsed="false">
      <c r="A171" s="12" t="s">
        <v>901</v>
      </c>
      <c r="B171" s="12" t="s">
        <v>317</v>
      </c>
      <c r="C171" s="12" t="s">
        <v>734</v>
      </c>
      <c r="D171" s="12" t="s">
        <v>735</v>
      </c>
      <c r="E171" s="15" t="n">
        <v>0.15</v>
      </c>
      <c r="F171" s="14" t="n">
        <v>3.76948344851972</v>
      </c>
      <c r="G171" s="16" t="n">
        <f aca="false">E171*F171</f>
        <v>0.565422517277958</v>
      </c>
      <c r="H171" s="12" t="n">
        <v>0</v>
      </c>
      <c r="I171" s="12" t="n">
        <v>0</v>
      </c>
      <c r="J171" s="12" t="n">
        <v>0</v>
      </c>
      <c r="K171" s="12" t="n">
        <v>0</v>
      </c>
      <c r="L171" s="12" t="n">
        <v>0</v>
      </c>
      <c r="M171" s="13" t="str">
        <f aca="false">IF(AND(H171=1,I171=1,J171=1,K171=1),IF(L171=1,"PAID","PAYABLE"),"HELD")</f>
        <v>HELD</v>
      </c>
    </row>
    <row r="172" customFormat="false" ht="15" hidden="false" customHeight="false" outlineLevel="0" collapsed="false">
      <c r="A172" s="12" t="s">
        <v>902</v>
      </c>
      <c r="B172" s="12" t="s">
        <v>317</v>
      </c>
      <c r="C172" s="12" t="s">
        <v>737</v>
      </c>
      <c r="D172" s="12" t="s">
        <v>345</v>
      </c>
      <c r="E172" s="15" t="n">
        <v>0.25</v>
      </c>
      <c r="F172" s="14" t="n">
        <v>3.76948344851972</v>
      </c>
      <c r="G172" s="16" t="n">
        <f aca="false">E172*F172</f>
        <v>0.94237086212993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3" t="str">
        <f aca="false">IF(AND(H172=1,I172=1,J172=1,K172=1),IF(L172=1,"PAID","PAYABLE"),"HELD")</f>
        <v>HELD</v>
      </c>
    </row>
    <row r="173" customFormat="false" ht="15" hidden="false" customHeight="false" outlineLevel="0" collapsed="false">
      <c r="A173" s="12" t="s">
        <v>903</v>
      </c>
      <c r="B173" s="12" t="s">
        <v>317</v>
      </c>
      <c r="C173" s="12" t="s">
        <v>739</v>
      </c>
      <c r="D173" s="12" t="s">
        <v>278</v>
      </c>
      <c r="E173" s="15" t="n">
        <v>0.2</v>
      </c>
      <c r="F173" s="14" t="n">
        <v>3.76948344851972</v>
      </c>
      <c r="G173" s="16" t="n">
        <f aca="false">E173*F173</f>
        <v>0.753896689703944</v>
      </c>
      <c r="H173" s="12" t="n">
        <v>0</v>
      </c>
      <c r="I173" s="12" t="n">
        <v>0</v>
      </c>
      <c r="J173" s="12" t="n">
        <v>0</v>
      </c>
      <c r="K173" s="12" t="n">
        <v>0</v>
      </c>
      <c r="L173" s="12" t="n">
        <v>0</v>
      </c>
      <c r="M173" s="13" t="str">
        <f aca="false">IF(AND(H173=1,I173=1,J173=1,K173=1),IF(L173=1,"PAID","PAYABLE"),"HELD")</f>
        <v>HELD</v>
      </c>
    </row>
    <row r="174" customFormat="false" ht="15" hidden="false" customHeight="false" outlineLevel="0" collapsed="false">
      <c r="A174" s="12" t="s">
        <v>904</v>
      </c>
      <c r="B174" s="12" t="s">
        <v>317</v>
      </c>
      <c r="C174" s="12" t="s">
        <v>741</v>
      </c>
      <c r="D174" s="12" t="s">
        <v>742</v>
      </c>
      <c r="E174" s="15" t="n">
        <v>0.1</v>
      </c>
      <c r="F174" s="14" t="n">
        <v>3.76948344851972</v>
      </c>
      <c r="G174" s="16" t="n">
        <f aca="false">E174*F174</f>
        <v>0.376948344851972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3" t="str">
        <f aca="false">IF(AND(H174=1,I174=1,J174=1,K174=1),IF(L174=1,"PAID","PAYABLE"),"HELD")</f>
        <v>HELD</v>
      </c>
    </row>
    <row r="175" customFormat="false" ht="15" hidden="false" customHeight="false" outlineLevel="0" collapsed="false">
      <c r="A175" s="12" t="s">
        <v>905</v>
      </c>
      <c r="B175" s="12" t="s">
        <v>318</v>
      </c>
      <c r="C175" s="12" t="s">
        <v>728</v>
      </c>
      <c r="D175" s="12" t="s">
        <v>729</v>
      </c>
      <c r="E175" s="15" t="n">
        <v>0.1</v>
      </c>
      <c r="F175" s="14" t="n">
        <v>6.28247241419954</v>
      </c>
      <c r="G175" s="16" t="n">
        <f aca="false">E175*F175</f>
        <v>0.628247241419954</v>
      </c>
      <c r="H175" s="12" t="n">
        <v>0</v>
      </c>
      <c r="I175" s="12" t="n">
        <v>0</v>
      </c>
      <c r="J175" s="12" t="n">
        <v>0</v>
      </c>
      <c r="K175" s="12" t="n">
        <v>0</v>
      </c>
      <c r="L175" s="12" t="n">
        <v>0</v>
      </c>
      <c r="M175" s="13" t="str">
        <f aca="false">IF(AND(H175=1,I175=1,J175=1,K175=1),IF(L175=1,"PAID","PAYABLE"),"HELD")</f>
        <v>HELD</v>
      </c>
    </row>
    <row r="176" customFormat="false" ht="15" hidden="false" customHeight="false" outlineLevel="0" collapsed="false">
      <c r="A176" s="12" t="s">
        <v>906</v>
      </c>
      <c r="B176" s="12" t="s">
        <v>318</v>
      </c>
      <c r="C176" s="12" t="s">
        <v>731</v>
      </c>
      <c r="D176" s="12" t="s">
        <v>732</v>
      </c>
      <c r="E176" s="15" t="n">
        <v>0.2</v>
      </c>
      <c r="F176" s="14" t="n">
        <v>6.28247241419954</v>
      </c>
      <c r="G176" s="16" t="n">
        <f aca="false">E176*F176</f>
        <v>1.25649448283991</v>
      </c>
      <c r="H176" s="12" t="n">
        <v>0</v>
      </c>
      <c r="I176" s="12" t="n">
        <v>0</v>
      </c>
      <c r="J176" s="12" t="n">
        <v>0</v>
      </c>
      <c r="K176" s="12" t="n">
        <v>0</v>
      </c>
      <c r="L176" s="12" t="n">
        <v>0</v>
      </c>
      <c r="M176" s="13" t="str">
        <f aca="false">IF(AND(H176=1,I176=1,J176=1,K176=1),IF(L176=1,"PAID","PAYABLE"),"HELD")</f>
        <v>HELD</v>
      </c>
    </row>
    <row r="177" customFormat="false" ht="15" hidden="false" customHeight="false" outlineLevel="0" collapsed="false">
      <c r="A177" s="12" t="s">
        <v>907</v>
      </c>
      <c r="B177" s="12" t="s">
        <v>318</v>
      </c>
      <c r="C177" s="12" t="s">
        <v>734</v>
      </c>
      <c r="D177" s="12" t="s">
        <v>735</v>
      </c>
      <c r="E177" s="15" t="n">
        <v>0.15</v>
      </c>
      <c r="F177" s="14" t="n">
        <v>6.28247241419954</v>
      </c>
      <c r="G177" s="16" t="n">
        <f aca="false">E177*F177</f>
        <v>0.94237086212993</v>
      </c>
      <c r="H177" s="12" t="n">
        <v>0</v>
      </c>
      <c r="I177" s="12" t="n">
        <v>0</v>
      </c>
      <c r="J177" s="12" t="n">
        <v>0</v>
      </c>
      <c r="K177" s="12" t="n">
        <v>0</v>
      </c>
      <c r="L177" s="12" t="n">
        <v>0</v>
      </c>
      <c r="M177" s="13" t="str">
        <f aca="false">IF(AND(H177=1,I177=1,J177=1,K177=1),IF(L177=1,"PAID","PAYABLE"),"HELD")</f>
        <v>HELD</v>
      </c>
    </row>
    <row r="178" customFormat="false" ht="15" hidden="false" customHeight="false" outlineLevel="0" collapsed="false">
      <c r="A178" s="12" t="s">
        <v>908</v>
      </c>
      <c r="B178" s="12" t="s">
        <v>318</v>
      </c>
      <c r="C178" s="12" t="s">
        <v>737</v>
      </c>
      <c r="D178" s="12" t="s">
        <v>345</v>
      </c>
      <c r="E178" s="15" t="n">
        <v>0.25</v>
      </c>
      <c r="F178" s="14" t="n">
        <v>6.28247241419954</v>
      </c>
      <c r="G178" s="16" t="n">
        <f aca="false">E178*F178</f>
        <v>1.57061810354988</v>
      </c>
      <c r="H178" s="12" t="n">
        <v>0</v>
      </c>
      <c r="I178" s="12" t="n">
        <v>0</v>
      </c>
      <c r="J178" s="12" t="n">
        <v>0</v>
      </c>
      <c r="K178" s="12" t="n">
        <v>0</v>
      </c>
      <c r="L178" s="12" t="n">
        <v>0</v>
      </c>
      <c r="M178" s="13" t="str">
        <f aca="false">IF(AND(H178=1,I178=1,J178=1,K178=1),IF(L178=1,"PAID","PAYABLE"),"HELD")</f>
        <v>HELD</v>
      </c>
    </row>
    <row r="179" customFormat="false" ht="15" hidden="false" customHeight="false" outlineLevel="0" collapsed="false">
      <c r="A179" s="12" t="s">
        <v>909</v>
      </c>
      <c r="B179" s="12" t="s">
        <v>318</v>
      </c>
      <c r="C179" s="12" t="s">
        <v>739</v>
      </c>
      <c r="D179" s="12" t="s">
        <v>278</v>
      </c>
      <c r="E179" s="15" t="n">
        <v>0.2</v>
      </c>
      <c r="F179" s="14" t="n">
        <v>6.28247241419954</v>
      </c>
      <c r="G179" s="16" t="n">
        <f aca="false">E179*F179</f>
        <v>1.25649448283991</v>
      </c>
      <c r="H179" s="12" t="n">
        <v>0</v>
      </c>
      <c r="I179" s="12" t="n">
        <v>0</v>
      </c>
      <c r="J179" s="12" t="n">
        <v>0</v>
      </c>
      <c r="K179" s="12" t="n">
        <v>0</v>
      </c>
      <c r="L179" s="12" t="n">
        <v>0</v>
      </c>
      <c r="M179" s="13" t="str">
        <f aca="false">IF(AND(H179=1,I179=1,J179=1,K179=1),IF(L179=1,"PAID","PAYABLE"),"HELD")</f>
        <v>HELD</v>
      </c>
    </row>
    <row r="180" customFormat="false" ht="15" hidden="false" customHeight="false" outlineLevel="0" collapsed="false">
      <c r="A180" s="12" t="s">
        <v>910</v>
      </c>
      <c r="B180" s="12" t="s">
        <v>318</v>
      </c>
      <c r="C180" s="12" t="s">
        <v>741</v>
      </c>
      <c r="D180" s="12" t="s">
        <v>742</v>
      </c>
      <c r="E180" s="15" t="n">
        <v>0.1</v>
      </c>
      <c r="F180" s="14" t="n">
        <v>6.28247241419954</v>
      </c>
      <c r="G180" s="16" t="n">
        <f aca="false">E180*F180</f>
        <v>0.628247241419954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3" t="str">
        <f aca="false">IF(AND(H180=1,I180=1,J180=1,K180=1),IF(L180=1,"PAID","PAYABLE"),"HELD")</f>
        <v>HELD</v>
      </c>
    </row>
    <row r="181" customFormat="false" ht="15" hidden="false" customHeight="false" outlineLevel="0" collapsed="false">
      <c r="A181" s="12" t="s">
        <v>911</v>
      </c>
      <c r="B181" s="12" t="s">
        <v>319</v>
      </c>
      <c r="C181" s="12" t="s">
        <v>728</v>
      </c>
      <c r="D181" s="12" t="s">
        <v>729</v>
      </c>
      <c r="E181" s="15" t="n">
        <v>0.1</v>
      </c>
      <c r="F181" s="14" t="n">
        <v>3.76948344851972</v>
      </c>
      <c r="G181" s="16" t="n">
        <f aca="false">E181*F181</f>
        <v>0.376948344851972</v>
      </c>
      <c r="H181" s="12" t="n">
        <v>0</v>
      </c>
      <c r="I181" s="12" t="n">
        <v>0</v>
      </c>
      <c r="J181" s="12" t="n">
        <v>0</v>
      </c>
      <c r="K181" s="12" t="n">
        <v>0</v>
      </c>
      <c r="L181" s="12" t="n">
        <v>0</v>
      </c>
      <c r="M181" s="13" t="str">
        <f aca="false">IF(AND(H181=1,I181=1,J181=1,K181=1),IF(L181=1,"PAID","PAYABLE"),"HELD")</f>
        <v>HELD</v>
      </c>
    </row>
    <row r="182" customFormat="false" ht="15" hidden="false" customHeight="false" outlineLevel="0" collapsed="false">
      <c r="A182" s="12" t="s">
        <v>912</v>
      </c>
      <c r="B182" s="12" t="s">
        <v>319</v>
      </c>
      <c r="C182" s="12" t="s">
        <v>731</v>
      </c>
      <c r="D182" s="12" t="s">
        <v>732</v>
      </c>
      <c r="E182" s="15" t="n">
        <v>0.2</v>
      </c>
      <c r="F182" s="14" t="n">
        <v>3.76948344851972</v>
      </c>
      <c r="G182" s="16" t="n">
        <f aca="false">E182*F182</f>
        <v>0.753896689703944</v>
      </c>
      <c r="H182" s="12" t="n">
        <v>0</v>
      </c>
      <c r="I182" s="12" t="n">
        <v>0</v>
      </c>
      <c r="J182" s="12" t="n">
        <v>0</v>
      </c>
      <c r="K182" s="12" t="n">
        <v>0</v>
      </c>
      <c r="L182" s="12" t="n">
        <v>0</v>
      </c>
      <c r="M182" s="13" t="str">
        <f aca="false">IF(AND(H182=1,I182=1,J182=1,K182=1),IF(L182=1,"PAID","PAYABLE"),"HELD")</f>
        <v>HELD</v>
      </c>
    </row>
    <row r="183" customFormat="false" ht="15" hidden="false" customHeight="false" outlineLevel="0" collapsed="false">
      <c r="A183" s="12" t="s">
        <v>913</v>
      </c>
      <c r="B183" s="12" t="s">
        <v>319</v>
      </c>
      <c r="C183" s="12" t="s">
        <v>734</v>
      </c>
      <c r="D183" s="12" t="s">
        <v>735</v>
      </c>
      <c r="E183" s="15" t="n">
        <v>0.15</v>
      </c>
      <c r="F183" s="14" t="n">
        <v>3.76948344851972</v>
      </c>
      <c r="G183" s="16" t="n">
        <f aca="false">E183*F183</f>
        <v>0.565422517277958</v>
      </c>
      <c r="H183" s="12" t="n">
        <v>0</v>
      </c>
      <c r="I183" s="12" t="n">
        <v>0</v>
      </c>
      <c r="J183" s="12" t="n">
        <v>0</v>
      </c>
      <c r="K183" s="12" t="n">
        <v>0</v>
      </c>
      <c r="L183" s="12" t="n">
        <v>0</v>
      </c>
      <c r="M183" s="13" t="str">
        <f aca="false">IF(AND(H183=1,I183=1,J183=1,K183=1),IF(L183=1,"PAID","PAYABLE"),"HELD")</f>
        <v>HELD</v>
      </c>
    </row>
    <row r="184" customFormat="false" ht="15" hidden="false" customHeight="false" outlineLevel="0" collapsed="false">
      <c r="A184" s="12" t="s">
        <v>914</v>
      </c>
      <c r="B184" s="12" t="s">
        <v>319</v>
      </c>
      <c r="C184" s="12" t="s">
        <v>737</v>
      </c>
      <c r="D184" s="12" t="s">
        <v>345</v>
      </c>
      <c r="E184" s="15" t="n">
        <v>0.25</v>
      </c>
      <c r="F184" s="14" t="n">
        <v>3.76948344851972</v>
      </c>
      <c r="G184" s="16" t="n">
        <f aca="false">E184*F184</f>
        <v>0.94237086212993</v>
      </c>
      <c r="H184" s="12" t="n">
        <v>0</v>
      </c>
      <c r="I184" s="12" t="n">
        <v>0</v>
      </c>
      <c r="J184" s="12" t="n">
        <v>0</v>
      </c>
      <c r="K184" s="12" t="n">
        <v>0</v>
      </c>
      <c r="L184" s="12" t="n">
        <v>0</v>
      </c>
      <c r="M184" s="13" t="str">
        <f aca="false">IF(AND(H184=1,I184=1,J184=1,K184=1),IF(L184=1,"PAID","PAYABLE"),"HELD")</f>
        <v>HELD</v>
      </c>
    </row>
    <row r="185" customFormat="false" ht="15" hidden="false" customHeight="false" outlineLevel="0" collapsed="false">
      <c r="A185" s="12" t="s">
        <v>915</v>
      </c>
      <c r="B185" s="12" t="s">
        <v>319</v>
      </c>
      <c r="C185" s="12" t="s">
        <v>739</v>
      </c>
      <c r="D185" s="12" t="s">
        <v>278</v>
      </c>
      <c r="E185" s="15" t="n">
        <v>0.2</v>
      </c>
      <c r="F185" s="14" t="n">
        <v>3.76948344851972</v>
      </c>
      <c r="G185" s="16" t="n">
        <f aca="false">E185*F185</f>
        <v>0.753896689703944</v>
      </c>
      <c r="H185" s="12" t="n">
        <v>0</v>
      </c>
      <c r="I185" s="12" t="n">
        <v>0</v>
      </c>
      <c r="J185" s="12" t="n">
        <v>0</v>
      </c>
      <c r="K185" s="12" t="n">
        <v>0</v>
      </c>
      <c r="L185" s="12" t="n">
        <v>0</v>
      </c>
      <c r="M185" s="13" t="str">
        <f aca="false">IF(AND(H185=1,I185=1,J185=1,K185=1),IF(L185=1,"PAID","PAYABLE"),"HELD")</f>
        <v>HELD</v>
      </c>
    </row>
    <row r="186" customFormat="false" ht="15" hidden="false" customHeight="false" outlineLevel="0" collapsed="false">
      <c r="A186" s="12" t="s">
        <v>916</v>
      </c>
      <c r="B186" s="12" t="s">
        <v>319</v>
      </c>
      <c r="C186" s="12" t="s">
        <v>741</v>
      </c>
      <c r="D186" s="12" t="s">
        <v>742</v>
      </c>
      <c r="E186" s="15" t="n">
        <v>0.1</v>
      </c>
      <c r="F186" s="14" t="n">
        <v>3.76948344851972</v>
      </c>
      <c r="G186" s="16" t="n">
        <f aca="false">E186*F186</f>
        <v>0.376948344851972</v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0</v>
      </c>
      <c r="M186" s="13" t="str">
        <f aca="false">IF(AND(H186=1,I186=1,J186=1,K186=1),IF(L186=1,"PAID","PAYABLE"),"HELD")</f>
        <v>HELD</v>
      </c>
    </row>
  </sheetData>
  <mergeCells count="2">
    <mergeCell ref="A2:N2"/>
    <mergeCell ref="A4:N4"/>
  </mergeCells>
  <conditionalFormatting sqref="M7:M186">
    <cfRule type="containsText" priority="2" operator="containsText" aboveAverage="0" equalAverage="0" bottom="0" percent="0" rank="0" text="FAIL" dxfId="12">
      <formula>NOT(ISERROR(SEARCH("FAIL",M7)))</formula>
    </cfRule>
    <cfRule type="containsText" priority="3" operator="containsText" aboveAverage="0" equalAverage="0" bottom="0" percent="0" rank="0" text="TERMINATED" dxfId="13">
      <formula>NOT(ISERROR(SEARCH("TERMINATED",M7)))</formula>
    </cfRule>
    <cfRule type="containsText" priority="4" operator="containsText" aboveAverage="0" equalAverage="0" bottom="0" percent="0" rank="0" text="OPEN" dxfId="14">
      <formula>NOT(ISERROR(SEARCH("OPEN",M7)))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34"/>
    <col collapsed="false" customWidth="true" hidden="false" outlineLevel="0" max="5" min="5" style="0" width="21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5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" t="s">
        <v>917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20" hidden="false" customHeight="true" outlineLevel="0" collapsed="false">
      <c r="A4" s="4" t="s">
        <v>918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24" hidden="false" customHeight="true" outlineLevel="0" collapsed="false">
      <c r="A6" s="9" t="s">
        <v>919</v>
      </c>
      <c r="B6" s="10" t="s">
        <v>920</v>
      </c>
      <c r="C6" s="10" t="s">
        <v>921</v>
      </c>
      <c r="D6" s="10" t="s">
        <v>922</v>
      </c>
      <c r="E6" s="10" t="s">
        <v>923</v>
      </c>
      <c r="F6" s="10" t="s">
        <v>924</v>
      </c>
      <c r="G6" s="10" t="s">
        <v>327</v>
      </c>
      <c r="H6" s="11" t="s">
        <v>925</v>
      </c>
    </row>
    <row r="7" customFormat="false" ht="15" hidden="false" customHeight="false" outlineLevel="0" collapsed="false">
      <c r="A7" s="12" t="s">
        <v>926</v>
      </c>
      <c r="B7" s="12" t="s">
        <v>927</v>
      </c>
      <c r="C7" s="12" t="s">
        <v>928</v>
      </c>
      <c r="D7" s="12" t="s">
        <v>929</v>
      </c>
      <c r="E7" s="12" t="s">
        <v>930</v>
      </c>
      <c r="F7" s="12" t="n">
        <v>0</v>
      </c>
      <c r="G7" s="13" t="str">
        <f aca="false">IF(F7=0,"PASS","FAIL")</f>
        <v>PASS</v>
      </c>
      <c r="H7" s="12" t="s">
        <v>7</v>
      </c>
    </row>
    <row r="8" customFormat="false" ht="15" hidden="false" customHeight="false" outlineLevel="0" collapsed="false">
      <c r="A8" s="12" t="s">
        <v>931</v>
      </c>
      <c r="B8" s="12" t="s">
        <v>927</v>
      </c>
      <c r="C8" s="12" t="s">
        <v>932</v>
      </c>
      <c r="D8" s="12" t="s">
        <v>933</v>
      </c>
      <c r="E8" s="12" t="s">
        <v>934</v>
      </c>
      <c r="F8" s="12" t="n">
        <v>0</v>
      </c>
      <c r="G8" s="13" t="str">
        <f aca="false">IF(F8=0,"PASS","FAIL")</f>
        <v>PASS</v>
      </c>
      <c r="H8" s="12" t="s">
        <v>7</v>
      </c>
    </row>
    <row r="9" customFormat="false" ht="15" hidden="false" customHeight="false" outlineLevel="0" collapsed="false">
      <c r="A9" s="12" t="s">
        <v>935</v>
      </c>
      <c r="B9" s="12" t="s">
        <v>927</v>
      </c>
      <c r="C9" s="12" t="s">
        <v>936</v>
      </c>
      <c r="D9" s="12" t="s">
        <v>937</v>
      </c>
      <c r="E9" s="12" t="s">
        <v>934</v>
      </c>
      <c r="F9" s="12" t="n">
        <v>0</v>
      </c>
      <c r="G9" s="13" t="str">
        <f aca="false">IF(F9=0,"PASS","FAIL")</f>
        <v>PASS</v>
      </c>
      <c r="H9" s="12" t="s">
        <v>7</v>
      </c>
    </row>
    <row r="10" customFormat="false" ht="15" hidden="false" customHeight="false" outlineLevel="0" collapsed="false">
      <c r="A10" s="12" t="s">
        <v>938</v>
      </c>
      <c r="B10" s="12" t="s">
        <v>927</v>
      </c>
      <c r="C10" s="12" t="s">
        <v>939</v>
      </c>
      <c r="D10" s="12" t="s">
        <v>940</v>
      </c>
      <c r="E10" s="12" t="s">
        <v>934</v>
      </c>
      <c r="F10" s="12" t="n">
        <v>0</v>
      </c>
      <c r="G10" s="13" t="str">
        <f aca="false">IF(F10=0,"PASS","FAIL")</f>
        <v>PASS</v>
      </c>
      <c r="H10" s="12" t="s">
        <v>7</v>
      </c>
    </row>
    <row r="11" customFormat="false" ht="15" hidden="false" customHeight="false" outlineLevel="0" collapsed="false">
      <c r="A11" s="12" t="s">
        <v>941</v>
      </c>
      <c r="B11" s="12" t="s">
        <v>927</v>
      </c>
      <c r="C11" s="12" t="s">
        <v>942</v>
      </c>
      <c r="D11" s="12" t="s">
        <v>943</v>
      </c>
      <c r="E11" s="12" t="s">
        <v>944</v>
      </c>
      <c r="F11" s="12" t="n">
        <v>0</v>
      </c>
      <c r="G11" s="13" t="str">
        <f aca="false">IF(F11=0,"PASS","FAIL")</f>
        <v>PASS</v>
      </c>
      <c r="H11" s="12" t="s">
        <v>7</v>
      </c>
    </row>
    <row r="12" customFormat="false" ht="15" hidden="false" customHeight="false" outlineLevel="0" collapsed="false">
      <c r="A12" s="12" t="s">
        <v>945</v>
      </c>
      <c r="B12" s="12" t="s">
        <v>927</v>
      </c>
      <c r="C12" s="12" t="s">
        <v>946</v>
      </c>
      <c r="D12" s="12" t="s">
        <v>947</v>
      </c>
      <c r="E12" s="12" t="s">
        <v>944</v>
      </c>
      <c r="F12" s="12" t="n">
        <v>0</v>
      </c>
      <c r="G12" s="13" t="str">
        <f aca="false">IF(F12=0,"PASS","FAIL")</f>
        <v>PASS</v>
      </c>
      <c r="H12" s="12" t="s">
        <v>7</v>
      </c>
    </row>
    <row r="13" customFormat="false" ht="15" hidden="false" customHeight="false" outlineLevel="0" collapsed="false">
      <c r="A13" s="12" t="s">
        <v>948</v>
      </c>
      <c r="B13" s="12" t="s">
        <v>927</v>
      </c>
      <c r="C13" s="12" t="s">
        <v>949</v>
      </c>
      <c r="D13" s="12" t="s">
        <v>950</v>
      </c>
      <c r="E13" s="12" t="s">
        <v>944</v>
      </c>
      <c r="F13" s="12" t="n">
        <v>0</v>
      </c>
      <c r="G13" s="13" t="str">
        <f aca="false">IF(F13=0,"PASS","FAIL")</f>
        <v>PASS</v>
      </c>
      <c r="H13" s="12" t="s">
        <v>7</v>
      </c>
    </row>
    <row r="14" customFormat="false" ht="15" hidden="false" customHeight="false" outlineLevel="0" collapsed="false">
      <c r="A14" s="12" t="s">
        <v>951</v>
      </c>
      <c r="B14" s="12" t="s">
        <v>927</v>
      </c>
      <c r="C14" s="12" t="s">
        <v>952</v>
      </c>
      <c r="D14" s="12" t="s">
        <v>953</v>
      </c>
      <c r="E14" s="12" t="s">
        <v>954</v>
      </c>
      <c r="F14" s="12" t="n">
        <v>0</v>
      </c>
      <c r="G14" s="13" t="str">
        <f aca="false">IF(F14=0,"PASS","FAIL")</f>
        <v>PASS</v>
      </c>
      <c r="H14" s="12" t="s">
        <v>7</v>
      </c>
    </row>
    <row r="15" customFormat="false" ht="15" hidden="false" customHeight="false" outlineLevel="0" collapsed="false">
      <c r="A15" s="12" t="s">
        <v>955</v>
      </c>
      <c r="B15" s="12" t="s">
        <v>927</v>
      </c>
      <c r="C15" s="12" t="s">
        <v>956</v>
      </c>
      <c r="D15" s="12" t="s">
        <v>957</v>
      </c>
      <c r="E15" s="12" t="s">
        <v>954</v>
      </c>
      <c r="F15" s="12" t="n">
        <v>0</v>
      </c>
      <c r="G15" s="13" t="str">
        <f aca="false">IF(F15=0,"PASS","FAIL")</f>
        <v>PASS</v>
      </c>
      <c r="H15" s="12" t="s">
        <v>7</v>
      </c>
    </row>
    <row r="16" customFormat="false" ht="15" hidden="false" customHeight="false" outlineLevel="0" collapsed="false">
      <c r="A16" s="12" t="s">
        <v>958</v>
      </c>
      <c r="B16" s="12" t="s">
        <v>928</v>
      </c>
      <c r="C16" s="12" t="s">
        <v>932</v>
      </c>
      <c r="D16" s="12" t="s">
        <v>959</v>
      </c>
      <c r="E16" s="12" t="s">
        <v>930</v>
      </c>
      <c r="F16" s="12" t="n">
        <v>0</v>
      </c>
      <c r="G16" s="13" t="str">
        <f aca="false">IF(F16=0,"PASS","FAIL")</f>
        <v>PASS</v>
      </c>
      <c r="H16" s="12" t="s">
        <v>7</v>
      </c>
    </row>
    <row r="17" customFormat="false" ht="15" hidden="false" customHeight="false" outlineLevel="0" collapsed="false">
      <c r="A17" s="12" t="s">
        <v>960</v>
      </c>
      <c r="B17" s="12" t="s">
        <v>928</v>
      </c>
      <c r="C17" s="12" t="s">
        <v>936</v>
      </c>
      <c r="D17" s="12" t="s">
        <v>961</v>
      </c>
      <c r="E17" s="12" t="s">
        <v>930</v>
      </c>
      <c r="F17" s="12" t="n">
        <v>0</v>
      </c>
      <c r="G17" s="13" t="str">
        <f aca="false">IF(F17=0,"PASS","FAIL")</f>
        <v>PASS</v>
      </c>
      <c r="H17" s="12" t="s">
        <v>7</v>
      </c>
    </row>
    <row r="18" customFormat="false" ht="15" hidden="false" customHeight="false" outlineLevel="0" collapsed="false">
      <c r="A18" s="12" t="s">
        <v>962</v>
      </c>
      <c r="B18" s="12" t="s">
        <v>932</v>
      </c>
      <c r="C18" s="12" t="s">
        <v>936</v>
      </c>
      <c r="D18" s="12" t="s">
        <v>961</v>
      </c>
      <c r="E18" s="12" t="s">
        <v>930</v>
      </c>
      <c r="F18" s="12" t="n">
        <v>0</v>
      </c>
      <c r="G18" s="13" t="str">
        <f aca="false">IF(F18=0,"PASS","FAIL")</f>
        <v>PASS</v>
      </c>
      <c r="H18" s="12" t="s">
        <v>7</v>
      </c>
    </row>
    <row r="19" customFormat="false" ht="15" hidden="false" customHeight="false" outlineLevel="0" collapsed="false">
      <c r="A19" s="12" t="s">
        <v>963</v>
      </c>
      <c r="B19" s="12" t="s">
        <v>964</v>
      </c>
      <c r="C19" s="12" t="s">
        <v>927</v>
      </c>
      <c r="D19" s="12" t="s">
        <v>965</v>
      </c>
      <c r="E19" s="12" t="s">
        <v>966</v>
      </c>
      <c r="F19" s="12" t="n">
        <v>0</v>
      </c>
      <c r="G19" s="13" t="str">
        <f aca="false">IF(F19=0,"PASS","FAIL")</f>
        <v>PASS</v>
      </c>
      <c r="H19" s="12" t="s">
        <v>7</v>
      </c>
    </row>
    <row r="20" customFormat="false" ht="15" hidden="false" customHeight="false" outlineLevel="0" collapsed="false">
      <c r="A20" s="12" t="s">
        <v>967</v>
      </c>
      <c r="B20" s="12" t="s">
        <v>964</v>
      </c>
      <c r="C20" s="12" t="s">
        <v>939</v>
      </c>
      <c r="D20" s="12" t="s">
        <v>968</v>
      </c>
      <c r="E20" s="12" t="s">
        <v>966</v>
      </c>
      <c r="F20" s="12" t="n">
        <v>0</v>
      </c>
      <c r="G20" s="13" t="str">
        <f aca="false">IF(F20=0,"PASS","FAIL")</f>
        <v>PASS</v>
      </c>
      <c r="H20" s="12" t="s">
        <v>7</v>
      </c>
    </row>
    <row r="21" customFormat="false" ht="15" hidden="false" customHeight="false" outlineLevel="0" collapsed="false">
      <c r="A21" s="12" t="s">
        <v>969</v>
      </c>
      <c r="B21" s="12" t="s">
        <v>970</v>
      </c>
      <c r="C21" s="12" t="s">
        <v>946</v>
      </c>
      <c r="D21" s="12" t="s">
        <v>971</v>
      </c>
      <c r="E21" s="12" t="s">
        <v>944</v>
      </c>
      <c r="F21" s="12" t="n">
        <v>0</v>
      </c>
      <c r="G21" s="13" t="str">
        <f aca="false">IF(F21=0,"PASS","FAIL")</f>
        <v>PASS</v>
      </c>
      <c r="H21" s="12" t="s">
        <v>7</v>
      </c>
    </row>
    <row r="22" customFormat="false" ht="15" hidden="false" customHeight="false" outlineLevel="0" collapsed="false">
      <c r="A22" s="12" t="s">
        <v>972</v>
      </c>
      <c r="B22" s="12" t="s">
        <v>970</v>
      </c>
      <c r="C22" s="12" t="s">
        <v>949</v>
      </c>
      <c r="D22" s="12" t="s">
        <v>973</v>
      </c>
      <c r="E22" s="12" t="s">
        <v>944</v>
      </c>
      <c r="F22" s="12" t="n">
        <v>0</v>
      </c>
      <c r="G22" s="13" t="str">
        <f aca="false">IF(F22=0,"PASS","FAIL")</f>
        <v>PASS</v>
      </c>
      <c r="H22" s="12" t="s">
        <v>7</v>
      </c>
    </row>
    <row r="23" customFormat="false" ht="15" hidden="false" customHeight="false" outlineLevel="0" collapsed="false">
      <c r="A23" s="12" t="s">
        <v>974</v>
      </c>
      <c r="B23" s="12" t="s">
        <v>946</v>
      </c>
      <c r="C23" s="12" t="s">
        <v>949</v>
      </c>
      <c r="D23" s="12" t="s">
        <v>975</v>
      </c>
      <c r="E23" s="12" t="s">
        <v>944</v>
      </c>
      <c r="F23" s="12" t="n">
        <v>0</v>
      </c>
      <c r="G23" s="13" t="str">
        <f aca="false">IF(F23=0,"PASS","FAIL")</f>
        <v>PASS</v>
      </c>
      <c r="H23" s="12" t="s">
        <v>7</v>
      </c>
    </row>
    <row r="24" customFormat="false" ht="15" hidden="false" customHeight="false" outlineLevel="0" collapsed="false">
      <c r="A24" s="12" t="s">
        <v>976</v>
      </c>
      <c r="B24" s="12" t="s">
        <v>952</v>
      </c>
      <c r="C24" s="12" t="s">
        <v>956</v>
      </c>
      <c r="D24" s="12" t="s">
        <v>977</v>
      </c>
      <c r="E24" s="12" t="s">
        <v>954</v>
      </c>
      <c r="F24" s="12" t="n">
        <v>0</v>
      </c>
      <c r="G24" s="13" t="str">
        <f aca="false">IF(F24=0,"PASS","FAIL")</f>
        <v>PASS</v>
      </c>
      <c r="H24" s="12" t="s">
        <v>7</v>
      </c>
    </row>
    <row r="25" customFormat="false" ht="15" hidden="false" customHeight="false" outlineLevel="0" collapsed="false">
      <c r="A25" s="12" t="s">
        <v>978</v>
      </c>
      <c r="B25" s="12" t="s">
        <v>952</v>
      </c>
      <c r="C25" s="12" t="s">
        <v>970</v>
      </c>
      <c r="D25" s="12" t="s">
        <v>979</v>
      </c>
      <c r="E25" s="12" t="s">
        <v>954</v>
      </c>
      <c r="F25" s="12" t="n">
        <v>0</v>
      </c>
      <c r="G25" s="13" t="str">
        <f aca="false">IF(F25=0,"PASS","FAIL")</f>
        <v>PASS</v>
      </c>
      <c r="H25" s="12" t="s">
        <v>7</v>
      </c>
    </row>
    <row r="26" customFormat="false" ht="15" hidden="false" customHeight="false" outlineLevel="0" collapsed="false">
      <c r="A26" s="12" t="s">
        <v>980</v>
      </c>
      <c r="B26" s="12" t="s">
        <v>981</v>
      </c>
      <c r="C26" s="12" t="s">
        <v>956</v>
      </c>
      <c r="D26" s="12" t="s">
        <v>982</v>
      </c>
      <c r="E26" s="12" t="s">
        <v>983</v>
      </c>
      <c r="F26" s="12" t="n">
        <v>0</v>
      </c>
      <c r="G26" s="13" t="str">
        <f aca="false">IF(F26=0,"PASS","FAIL")</f>
        <v>PASS</v>
      </c>
      <c r="H26" s="12" t="s">
        <v>7</v>
      </c>
    </row>
    <row r="27" customFormat="false" ht="15" hidden="false" customHeight="false" outlineLevel="0" collapsed="false">
      <c r="A27" s="12" t="s">
        <v>984</v>
      </c>
      <c r="B27" s="12" t="s">
        <v>985</v>
      </c>
      <c r="C27" s="12" t="s">
        <v>986</v>
      </c>
      <c r="D27" s="12" t="s">
        <v>987</v>
      </c>
      <c r="E27" s="12" t="s">
        <v>988</v>
      </c>
      <c r="F27" s="12" t="n">
        <v>0</v>
      </c>
      <c r="G27" s="13" t="str">
        <f aca="false">IF(F27=0,"PASS","FAIL")</f>
        <v>PASS</v>
      </c>
      <c r="H27" s="12" t="s">
        <v>7</v>
      </c>
    </row>
    <row r="28" customFormat="false" ht="15" hidden="false" customHeight="false" outlineLevel="0" collapsed="false">
      <c r="A28" s="12" t="s">
        <v>989</v>
      </c>
      <c r="B28" s="12" t="s">
        <v>990</v>
      </c>
      <c r="C28" s="12" t="s">
        <v>991</v>
      </c>
      <c r="D28" s="12" t="s">
        <v>992</v>
      </c>
      <c r="E28" s="12" t="s">
        <v>993</v>
      </c>
      <c r="F28" s="12" t="n">
        <v>0</v>
      </c>
      <c r="G28" s="13" t="str">
        <f aca="false">IF(F28=0,"PASS","FAIL")</f>
        <v>PASS</v>
      </c>
      <c r="H28" s="12" t="s">
        <v>7</v>
      </c>
    </row>
    <row r="29" customFormat="false" ht="15" hidden="false" customHeight="false" outlineLevel="0" collapsed="false">
      <c r="A29" s="12" t="s">
        <v>994</v>
      </c>
      <c r="B29" s="12" t="s">
        <v>991</v>
      </c>
      <c r="C29" s="12" t="s">
        <v>995</v>
      </c>
      <c r="D29" s="12" t="s">
        <v>996</v>
      </c>
      <c r="E29" s="12" t="s">
        <v>997</v>
      </c>
      <c r="F29" s="12" t="n">
        <v>0</v>
      </c>
      <c r="G29" s="13" t="str">
        <f aca="false">IF(F29=0,"PASS","FAIL")</f>
        <v>PASS</v>
      </c>
      <c r="H29" s="12" t="s">
        <v>7</v>
      </c>
    </row>
    <row r="30" customFormat="false" ht="15" hidden="false" customHeight="false" outlineLevel="0" collapsed="false">
      <c r="A30" s="12" t="s">
        <v>998</v>
      </c>
      <c r="B30" s="12" t="s">
        <v>999</v>
      </c>
      <c r="C30" s="12" t="s">
        <v>939</v>
      </c>
      <c r="D30" s="12" t="s">
        <v>1000</v>
      </c>
      <c r="E30" s="12" t="s">
        <v>1001</v>
      </c>
      <c r="F30" s="12" t="n">
        <v>0</v>
      </c>
      <c r="G30" s="13" t="str">
        <f aca="false">IF(F30=0,"PASS","FAIL")</f>
        <v>PASS</v>
      </c>
      <c r="H30" s="12" t="s">
        <v>7</v>
      </c>
    </row>
    <row r="31" customFormat="false" ht="15" hidden="false" customHeight="false" outlineLevel="0" collapsed="false">
      <c r="A31" s="12" t="s">
        <v>1002</v>
      </c>
      <c r="B31" s="12" t="s">
        <v>1003</v>
      </c>
      <c r="C31" s="12" t="s">
        <v>970</v>
      </c>
      <c r="D31" s="12" t="s">
        <v>1004</v>
      </c>
      <c r="E31" s="12" t="s">
        <v>983</v>
      </c>
      <c r="F31" s="12" t="n">
        <v>0</v>
      </c>
      <c r="G31" s="13" t="str">
        <f aca="false">IF(F31=0,"PASS","FAIL")</f>
        <v>PASS</v>
      </c>
      <c r="H31" s="12" t="s">
        <v>7</v>
      </c>
    </row>
    <row r="32" customFormat="false" ht="15" hidden="false" customHeight="false" outlineLevel="0" collapsed="false">
      <c r="A32" s="12" t="s">
        <v>1005</v>
      </c>
      <c r="B32" s="12" t="s">
        <v>1006</v>
      </c>
      <c r="C32" s="12" t="s">
        <v>1007</v>
      </c>
      <c r="D32" s="12" t="s">
        <v>1008</v>
      </c>
      <c r="E32" s="12" t="s">
        <v>1009</v>
      </c>
      <c r="F32" s="12" t="n">
        <v>0</v>
      </c>
      <c r="G32" s="13" t="str">
        <f aca="false">IF(F32=0,"PASS","FAIL")</f>
        <v>PASS</v>
      </c>
      <c r="H32" s="12" t="s">
        <v>7</v>
      </c>
    </row>
    <row r="33" customFormat="false" ht="15" hidden="false" customHeight="false" outlineLevel="0" collapsed="false">
      <c r="A33" s="12" t="s">
        <v>1010</v>
      </c>
      <c r="B33" s="12" t="s">
        <v>1011</v>
      </c>
      <c r="C33" s="12" t="s">
        <v>1012</v>
      </c>
      <c r="D33" s="12" t="s">
        <v>1013</v>
      </c>
      <c r="E33" s="12" t="s">
        <v>1014</v>
      </c>
      <c r="F33" s="12" t="n">
        <v>0</v>
      </c>
      <c r="G33" s="13" t="str">
        <f aca="false">IF(F33=0,"PASS","FAIL")</f>
        <v>PASS</v>
      </c>
      <c r="H33" s="12" t="s">
        <v>7</v>
      </c>
    </row>
    <row r="34" customFormat="false" ht="15" hidden="false" customHeight="false" outlineLevel="0" collapsed="false">
      <c r="A34" s="12" t="s">
        <v>1015</v>
      </c>
      <c r="B34" s="12" t="s">
        <v>939</v>
      </c>
      <c r="C34" s="12" t="s">
        <v>1016</v>
      </c>
      <c r="D34" s="12" t="s">
        <v>1017</v>
      </c>
      <c r="E34" s="12" t="s">
        <v>1018</v>
      </c>
      <c r="F34" s="12" t="n">
        <v>0</v>
      </c>
      <c r="G34" s="13" t="str">
        <f aca="false">IF(F34=0,"PASS","FAIL")</f>
        <v>PASS</v>
      </c>
      <c r="H34" s="12" t="s">
        <v>7</v>
      </c>
    </row>
    <row r="35" customFormat="false" ht="15" hidden="false" customHeight="false" outlineLevel="0" collapsed="false">
      <c r="A35" s="12" t="s">
        <v>1019</v>
      </c>
      <c r="B35" s="12" t="s">
        <v>1020</v>
      </c>
      <c r="C35" s="12" t="s">
        <v>1021</v>
      </c>
      <c r="D35" s="12" t="s">
        <v>1022</v>
      </c>
      <c r="E35" s="12" t="s">
        <v>1023</v>
      </c>
      <c r="F35" s="12" t="n">
        <v>0</v>
      </c>
      <c r="G35" s="13" t="str">
        <f aca="false">IF(F35=0,"PASS","FAIL")</f>
        <v>PASS</v>
      </c>
      <c r="H35" s="12" t="s">
        <v>7</v>
      </c>
    </row>
    <row r="36" customFormat="false" ht="15" hidden="false" customHeight="false" outlineLevel="0" collapsed="false">
      <c r="A36" s="12" t="s">
        <v>1024</v>
      </c>
      <c r="B36" s="12" t="s">
        <v>1025</v>
      </c>
      <c r="C36" s="12" t="s">
        <v>1026</v>
      </c>
      <c r="D36" s="12" t="s">
        <v>1027</v>
      </c>
      <c r="E36" s="12" t="s">
        <v>1028</v>
      </c>
      <c r="F36" s="12" t="n">
        <v>0</v>
      </c>
      <c r="G36" s="13" t="str">
        <f aca="false">IF(F36=0,"PASS","FAIL")</f>
        <v>PASS</v>
      </c>
      <c r="H36" s="12" t="s">
        <v>7</v>
      </c>
    </row>
    <row r="37" customFormat="false" ht="15" hidden="false" customHeight="false" outlineLevel="0" collapsed="false">
      <c r="A37" s="12" t="s">
        <v>1029</v>
      </c>
      <c r="B37" s="12" t="s">
        <v>1030</v>
      </c>
      <c r="C37" s="12" t="s">
        <v>1031</v>
      </c>
      <c r="D37" s="12" t="s">
        <v>1032</v>
      </c>
      <c r="E37" s="12" t="s">
        <v>997</v>
      </c>
      <c r="F37" s="12" t="n">
        <v>0</v>
      </c>
      <c r="G37" s="13" t="str">
        <f aca="false">IF(F37=0,"PASS","FAIL")</f>
        <v>PASS</v>
      </c>
      <c r="H37" s="12" t="s">
        <v>7</v>
      </c>
    </row>
    <row r="38" customFormat="false" ht="15" hidden="false" customHeight="false" outlineLevel="0" collapsed="false">
      <c r="A38" s="12" t="s">
        <v>1033</v>
      </c>
      <c r="B38" s="12" t="s">
        <v>995</v>
      </c>
      <c r="C38" s="12" t="s">
        <v>986</v>
      </c>
      <c r="D38" s="12" t="s">
        <v>1034</v>
      </c>
      <c r="E38" s="12" t="s">
        <v>1035</v>
      </c>
      <c r="F38" s="12" t="n">
        <v>0</v>
      </c>
      <c r="G38" s="13" t="str">
        <f aca="false">IF(F38=0,"PASS","FAIL")</f>
        <v>PASS</v>
      </c>
      <c r="H38" s="12" t="s">
        <v>7</v>
      </c>
    </row>
    <row r="39" customFormat="false" ht="15" hidden="false" customHeight="false" outlineLevel="0" collapsed="false">
      <c r="A39" s="12" t="s">
        <v>1036</v>
      </c>
      <c r="B39" s="12" t="s">
        <v>1037</v>
      </c>
      <c r="C39" s="12" t="s">
        <v>1038</v>
      </c>
      <c r="D39" s="12" t="s">
        <v>1039</v>
      </c>
      <c r="E39" s="12" t="s">
        <v>954</v>
      </c>
      <c r="F39" s="12" t="n">
        <v>0</v>
      </c>
      <c r="G39" s="13" t="str">
        <f aca="false">IF(F39=0,"PASS","FAIL")</f>
        <v>PASS</v>
      </c>
      <c r="H39" s="12" t="s">
        <v>7</v>
      </c>
    </row>
    <row r="40" customFormat="false" ht="15" hidden="false" customHeight="false" outlineLevel="0" collapsed="false">
      <c r="A40" s="12" t="s">
        <v>1040</v>
      </c>
      <c r="B40" s="12" t="s">
        <v>1041</v>
      </c>
      <c r="C40" s="12" t="s">
        <v>1042</v>
      </c>
      <c r="D40" s="12" t="s">
        <v>1043</v>
      </c>
      <c r="E40" s="12" t="s">
        <v>930</v>
      </c>
      <c r="F40" s="12" t="n">
        <v>0</v>
      </c>
      <c r="G40" s="13" t="str">
        <f aca="false">IF(F40=0,"PASS","FAIL")</f>
        <v>PASS</v>
      </c>
      <c r="H40" s="12" t="s">
        <v>7</v>
      </c>
    </row>
    <row r="41" customFormat="false" ht="15" hidden="false" customHeight="false" outlineLevel="0" collapsed="false">
      <c r="A41" s="12" t="s">
        <v>1044</v>
      </c>
      <c r="B41" s="12" t="s">
        <v>1045</v>
      </c>
      <c r="C41" s="12" t="s">
        <v>1046</v>
      </c>
      <c r="D41" s="12" t="s">
        <v>1047</v>
      </c>
      <c r="E41" s="12" t="s">
        <v>983</v>
      </c>
      <c r="F41" s="12" t="n">
        <v>0</v>
      </c>
      <c r="G41" s="13" t="str">
        <f aca="false">IF(F41=0,"PASS","FAIL")</f>
        <v>PASS</v>
      </c>
      <c r="H41" s="12" t="s">
        <v>7</v>
      </c>
    </row>
    <row r="42" customFormat="false" ht="15" hidden="false" customHeight="false" outlineLevel="0" collapsed="false">
      <c r="A42" s="12" t="s">
        <v>1048</v>
      </c>
      <c r="B42" s="12" t="s">
        <v>1049</v>
      </c>
      <c r="C42" s="12" t="s">
        <v>956</v>
      </c>
      <c r="D42" s="12" t="s">
        <v>1050</v>
      </c>
      <c r="E42" s="12" t="s">
        <v>954</v>
      </c>
      <c r="F42" s="12" t="n">
        <v>0</v>
      </c>
      <c r="G42" s="13" t="str">
        <f aca="false">IF(F42=0,"PASS","FAIL")</f>
        <v>PASS</v>
      </c>
      <c r="H42" s="12" t="s">
        <v>7</v>
      </c>
    </row>
  </sheetData>
  <mergeCells count="2">
    <mergeCell ref="A2:N2"/>
    <mergeCell ref="A4:N4"/>
  </mergeCells>
  <conditionalFormatting sqref="G7:G42">
    <cfRule type="containsText" priority="2" operator="containsText" aboveAverage="0" equalAverage="0" bottom="0" percent="0" rank="0" text="FAIL" dxfId="15">
      <formula>NOT(ISERROR(SEARCH("FAIL",G7)))</formula>
    </cfRule>
    <cfRule type="containsText" priority="3" operator="containsText" aboveAverage="0" equalAverage="0" bottom="0" percent="0" rank="0" text="TERMINATED" dxfId="16">
      <formula>NOT(ISERROR(SEARCH("TERMINATED",G7)))</formula>
    </cfRule>
    <cfRule type="containsText" priority="4" operator="containsText" aboveAverage="0" equalAverage="0" bottom="0" percent="0" rank="0" text="OPEN" dxfId="17">
      <formula>NOT(ISERROR(SEARCH("OPEN",G7)))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29"/>
    <col collapsed="false" customWidth="true" hidden="false" outlineLevel="0" max="6" min="6" style="0" width="20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24" hidden="false" customHeight="true" outlineLevel="0" collapsed="false">
      <c r="A2" s="2" t="s">
        <v>1051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</row>
    <row r="4" customFormat="false" ht="20" hidden="false" customHeight="true" outlineLevel="0" collapsed="false">
      <c r="A4" s="4" t="s">
        <v>1052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</row>
    <row r="6" customFormat="false" ht="24" hidden="false" customHeight="true" outlineLevel="0" collapsed="false">
      <c r="A6" s="9" t="s">
        <v>919</v>
      </c>
      <c r="B6" s="10" t="s">
        <v>1053</v>
      </c>
      <c r="C6" s="10" t="s">
        <v>1054</v>
      </c>
      <c r="D6" s="10" t="s">
        <v>1055</v>
      </c>
      <c r="E6" s="10" t="s">
        <v>1056</v>
      </c>
      <c r="F6" s="10" t="s">
        <v>1057</v>
      </c>
      <c r="G6" s="11" t="s">
        <v>89</v>
      </c>
    </row>
    <row r="7" customFormat="false" ht="15" hidden="false" customHeight="false" outlineLevel="0" collapsed="false">
      <c r="A7" s="12" t="s">
        <v>1058</v>
      </c>
      <c r="B7" s="12" t="s">
        <v>1059</v>
      </c>
      <c r="C7" s="12" t="s">
        <v>1060</v>
      </c>
      <c r="D7" s="12" t="s">
        <v>1061</v>
      </c>
      <c r="E7" s="12" t="s">
        <v>126</v>
      </c>
      <c r="F7" s="12" t="s">
        <v>1062</v>
      </c>
      <c r="G7" s="12" t="s">
        <v>132</v>
      </c>
    </row>
    <row r="8" customFormat="false" ht="15" hidden="false" customHeight="false" outlineLevel="0" collapsed="false">
      <c r="A8" s="12" t="s">
        <v>1063</v>
      </c>
      <c r="B8" s="12" t="s">
        <v>1064</v>
      </c>
      <c r="C8" s="12" t="s">
        <v>1065</v>
      </c>
      <c r="D8" s="12" t="s">
        <v>1066</v>
      </c>
      <c r="E8" s="12" t="s">
        <v>126</v>
      </c>
      <c r="F8" s="12" t="s">
        <v>1062</v>
      </c>
      <c r="G8" s="12" t="s">
        <v>132</v>
      </c>
    </row>
    <row r="9" customFormat="false" ht="15" hidden="false" customHeight="false" outlineLevel="0" collapsed="false">
      <c r="A9" s="12" t="s">
        <v>1067</v>
      </c>
      <c r="B9" s="12" t="s">
        <v>1060</v>
      </c>
      <c r="C9" s="12" t="s">
        <v>219</v>
      </c>
      <c r="D9" s="12" t="s">
        <v>1068</v>
      </c>
      <c r="E9" s="12" t="s">
        <v>1069</v>
      </c>
      <c r="F9" s="12" t="s">
        <v>1070</v>
      </c>
      <c r="G9" s="12" t="s">
        <v>126</v>
      </c>
    </row>
    <row r="10" customFormat="false" ht="15" hidden="false" customHeight="false" outlineLevel="0" collapsed="false">
      <c r="A10" s="12" t="s">
        <v>1071</v>
      </c>
      <c r="B10" s="12" t="s">
        <v>1072</v>
      </c>
      <c r="C10" s="12" t="s">
        <v>163</v>
      </c>
      <c r="D10" s="12" t="s">
        <v>1073</v>
      </c>
      <c r="E10" s="12" t="s">
        <v>266</v>
      </c>
      <c r="F10" s="12" t="s">
        <v>1074</v>
      </c>
      <c r="G10" s="12" t="s">
        <v>126</v>
      </c>
    </row>
    <row r="11" customFormat="false" ht="15" hidden="false" customHeight="false" outlineLevel="0" collapsed="false">
      <c r="A11" s="12" t="s">
        <v>1075</v>
      </c>
      <c r="B11" s="12" t="s">
        <v>1076</v>
      </c>
      <c r="C11" s="12" t="s">
        <v>1077</v>
      </c>
      <c r="D11" s="12" t="s">
        <v>1078</v>
      </c>
      <c r="E11" s="12" t="s">
        <v>234</v>
      </c>
      <c r="F11" s="12" t="s">
        <v>1079</v>
      </c>
      <c r="G11" s="12" t="s">
        <v>140</v>
      </c>
    </row>
    <row r="12" customFormat="false" ht="15" hidden="false" customHeight="false" outlineLevel="0" collapsed="false">
      <c r="A12" s="12" t="s">
        <v>1080</v>
      </c>
      <c r="B12" s="12" t="s">
        <v>1081</v>
      </c>
      <c r="C12" s="12" t="s">
        <v>1082</v>
      </c>
      <c r="D12" s="12" t="s">
        <v>1083</v>
      </c>
      <c r="E12" s="12" t="s">
        <v>196</v>
      </c>
      <c r="F12" s="12" t="s">
        <v>1074</v>
      </c>
      <c r="G12" s="12" t="s">
        <v>146</v>
      </c>
    </row>
    <row r="13" customFormat="false" ht="15" hidden="false" customHeight="false" outlineLevel="0" collapsed="false">
      <c r="A13" s="12" t="s">
        <v>1084</v>
      </c>
      <c r="B13" s="12" t="s">
        <v>1082</v>
      </c>
      <c r="C13" s="12" t="s">
        <v>1085</v>
      </c>
      <c r="D13" s="12" t="s">
        <v>1086</v>
      </c>
      <c r="E13" s="12" t="s">
        <v>201</v>
      </c>
      <c r="F13" s="12" t="s">
        <v>1062</v>
      </c>
      <c r="G13" s="12" t="s">
        <v>146</v>
      </c>
    </row>
    <row r="14" customFormat="false" ht="15" hidden="false" customHeight="false" outlineLevel="0" collapsed="false">
      <c r="A14" s="12" t="s">
        <v>1087</v>
      </c>
      <c r="B14" s="12" t="s">
        <v>1085</v>
      </c>
      <c r="C14" s="12" t="s">
        <v>1088</v>
      </c>
      <c r="D14" s="12" t="s">
        <v>1089</v>
      </c>
      <c r="E14" s="12" t="s">
        <v>206</v>
      </c>
      <c r="F14" s="12" t="s">
        <v>1062</v>
      </c>
      <c r="G14" s="12" t="s">
        <v>146</v>
      </c>
    </row>
    <row r="15" customFormat="false" ht="15" hidden="false" customHeight="false" outlineLevel="0" collapsed="false">
      <c r="A15" s="12" t="s">
        <v>1090</v>
      </c>
      <c r="B15" s="12" t="s">
        <v>1088</v>
      </c>
      <c r="C15" s="12" t="s">
        <v>144</v>
      </c>
      <c r="D15" s="12" t="s">
        <v>1091</v>
      </c>
      <c r="E15" s="12" t="s">
        <v>266</v>
      </c>
      <c r="F15" s="12" t="s">
        <v>1092</v>
      </c>
      <c r="G15" s="12" t="s">
        <v>146</v>
      </c>
    </row>
    <row r="16" customFormat="false" ht="15" hidden="false" customHeight="false" outlineLevel="0" collapsed="false">
      <c r="A16" s="12" t="s">
        <v>1093</v>
      </c>
      <c r="B16" s="12" t="s">
        <v>1094</v>
      </c>
      <c r="C16" s="12" t="s">
        <v>1095</v>
      </c>
      <c r="D16" s="12" t="s">
        <v>1096</v>
      </c>
      <c r="E16" s="12" t="s">
        <v>1097</v>
      </c>
      <c r="F16" s="12" t="s">
        <v>1079</v>
      </c>
      <c r="G16" s="12" t="s">
        <v>146</v>
      </c>
    </row>
    <row r="17" customFormat="false" ht="15" hidden="false" customHeight="false" outlineLevel="0" collapsed="false">
      <c r="A17" s="12" t="s">
        <v>1098</v>
      </c>
      <c r="B17" s="12" t="s">
        <v>1099</v>
      </c>
      <c r="C17" s="12" t="s">
        <v>195</v>
      </c>
      <c r="D17" s="12" t="s">
        <v>1100</v>
      </c>
      <c r="E17" s="12" t="s">
        <v>149</v>
      </c>
      <c r="F17" s="12" t="s">
        <v>1062</v>
      </c>
      <c r="G17" s="12" t="s">
        <v>146</v>
      </c>
    </row>
    <row r="18" customFormat="false" ht="15" hidden="false" customHeight="false" outlineLevel="0" collapsed="false">
      <c r="A18" s="12" t="s">
        <v>1101</v>
      </c>
      <c r="B18" s="12" t="s">
        <v>1102</v>
      </c>
      <c r="C18" s="12" t="s">
        <v>1103</v>
      </c>
      <c r="D18" s="12" t="s">
        <v>1104</v>
      </c>
      <c r="E18" s="12" t="s">
        <v>1105</v>
      </c>
      <c r="F18" s="12" t="s">
        <v>1062</v>
      </c>
      <c r="G18" s="12" t="s">
        <v>152</v>
      </c>
    </row>
    <row r="19" customFormat="false" ht="15" hidden="false" customHeight="false" outlineLevel="0" collapsed="false">
      <c r="A19" s="12" t="s">
        <v>1106</v>
      </c>
      <c r="B19" s="12" t="s">
        <v>1103</v>
      </c>
      <c r="C19" s="12" t="s">
        <v>1107</v>
      </c>
      <c r="D19" s="12" t="s">
        <v>1108</v>
      </c>
      <c r="E19" s="12" t="s">
        <v>1109</v>
      </c>
      <c r="F19" s="12" t="s">
        <v>1062</v>
      </c>
      <c r="G19" s="12" t="s">
        <v>158</v>
      </c>
    </row>
    <row r="20" customFormat="false" ht="15" hidden="false" customHeight="false" outlineLevel="0" collapsed="false">
      <c r="A20" s="12" t="s">
        <v>1110</v>
      </c>
      <c r="B20" s="12" t="s">
        <v>1111</v>
      </c>
      <c r="C20" s="12" t="s">
        <v>1112</v>
      </c>
      <c r="D20" s="12" t="s">
        <v>1113</v>
      </c>
      <c r="E20" s="12" t="s">
        <v>1114</v>
      </c>
      <c r="F20" s="12" t="s">
        <v>1062</v>
      </c>
      <c r="G20" s="12" t="s">
        <v>158</v>
      </c>
    </row>
    <row r="21" customFormat="false" ht="15" hidden="false" customHeight="false" outlineLevel="0" collapsed="false">
      <c r="A21" s="12" t="s">
        <v>1115</v>
      </c>
      <c r="B21" s="12" t="s">
        <v>1116</v>
      </c>
      <c r="C21" s="12" t="s">
        <v>1117</v>
      </c>
      <c r="D21" s="12" t="s">
        <v>1118</v>
      </c>
      <c r="E21" s="12" t="s">
        <v>1119</v>
      </c>
      <c r="F21" s="12" t="s">
        <v>1062</v>
      </c>
      <c r="G21" s="12" t="s">
        <v>158</v>
      </c>
    </row>
    <row r="22" customFormat="false" ht="15" hidden="false" customHeight="false" outlineLevel="0" collapsed="false">
      <c r="A22" s="12" t="s">
        <v>1120</v>
      </c>
      <c r="B22" s="12" t="s">
        <v>1121</v>
      </c>
      <c r="C22" s="12" t="s">
        <v>266</v>
      </c>
      <c r="D22" s="12" t="s">
        <v>1122</v>
      </c>
      <c r="E22" s="12" t="s">
        <v>1123</v>
      </c>
      <c r="F22" s="12" t="s">
        <v>1124</v>
      </c>
      <c r="G22" s="12" t="s">
        <v>158</v>
      </c>
    </row>
    <row r="23" customFormat="false" ht="15" hidden="false" customHeight="false" outlineLevel="0" collapsed="false">
      <c r="A23" s="12" t="s">
        <v>1125</v>
      </c>
      <c r="B23" s="12" t="s">
        <v>1126</v>
      </c>
      <c r="C23" s="12" t="s">
        <v>1127</v>
      </c>
      <c r="D23" s="12" t="s">
        <v>1128</v>
      </c>
      <c r="E23" s="12" t="s">
        <v>1129</v>
      </c>
      <c r="F23" s="12" t="s">
        <v>1062</v>
      </c>
      <c r="G23" s="12" t="s">
        <v>158</v>
      </c>
    </row>
    <row r="24" customFormat="false" ht="15" hidden="false" customHeight="false" outlineLevel="0" collapsed="false">
      <c r="A24" s="12" t="s">
        <v>1130</v>
      </c>
      <c r="B24" s="12" t="s">
        <v>185</v>
      </c>
      <c r="C24" s="12" t="s">
        <v>190</v>
      </c>
      <c r="D24" s="12" t="s">
        <v>1131</v>
      </c>
      <c r="E24" s="12" t="s">
        <v>266</v>
      </c>
      <c r="F24" s="12" t="s">
        <v>1124</v>
      </c>
      <c r="G24" s="12" t="s">
        <v>7</v>
      </c>
    </row>
    <row r="25" customFormat="false" ht="15" hidden="false" customHeight="false" outlineLevel="0" collapsed="false">
      <c r="A25" s="12" t="s">
        <v>1132</v>
      </c>
      <c r="B25" s="12" t="s">
        <v>1133</v>
      </c>
      <c r="C25" s="12" t="s">
        <v>1134</v>
      </c>
      <c r="D25" s="12" t="s">
        <v>1135</v>
      </c>
      <c r="E25" s="12" t="s">
        <v>215</v>
      </c>
      <c r="F25" s="12" t="s">
        <v>1062</v>
      </c>
      <c r="G25" s="12" t="s">
        <v>7</v>
      </c>
    </row>
    <row r="26" customFormat="false" ht="15" hidden="false" customHeight="false" outlineLevel="0" collapsed="false">
      <c r="A26" s="12" t="s">
        <v>1136</v>
      </c>
      <c r="B26" s="12" t="s">
        <v>1134</v>
      </c>
      <c r="C26" s="12" t="s">
        <v>223</v>
      </c>
      <c r="D26" s="12" t="s">
        <v>1137</v>
      </c>
      <c r="E26" s="12" t="s">
        <v>724</v>
      </c>
      <c r="F26" s="12" t="s">
        <v>1062</v>
      </c>
      <c r="G26" s="12" t="s">
        <v>7</v>
      </c>
    </row>
    <row r="27" customFormat="false" ht="15" hidden="false" customHeight="false" outlineLevel="0" collapsed="false">
      <c r="A27" s="12" t="s">
        <v>1138</v>
      </c>
      <c r="B27" s="12" t="s">
        <v>266</v>
      </c>
      <c r="C27" s="12" t="s">
        <v>219</v>
      </c>
      <c r="D27" s="12" t="s">
        <v>1139</v>
      </c>
      <c r="E27" s="12" t="s">
        <v>724</v>
      </c>
      <c r="F27" s="12" t="s">
        <v>1070</v>
      </c>
      <c r="G27" s="12" t="s">
        <v>7</v>
      </c>
    </row>
    <row r="28" customFormat="false" ht="15" hidden="false" customHeight="false" outlineLevel="0" collapsed="false">
      <c r="A28" s="12" t="s">
        <v>1140</v>
      </c>
      <c r="B28" s="12" t="s">
        <v>724</v>
      </c>
      <c r="C28" s="12" t="s">
        <v>219</v>
      </c>
      <c r="D28" s="12" t="s">
        <v>1141</v>
      </c>
      <c r="E28" s="12" t="s">
        <v>266</v>
      </c>
      <c r="F28" s="12" t="s">
        <v>1070</v>
      </c>
      <c r="G28" s="12" t="s">
        <v>7</v>
      </c>
    </row>
    <row r="29" customFormat="false" ht="15" hidden="false" customHeight="false" outlineLevel="0" collapsed="false">
      <c r="A29" s="12" t="s">
        <v>1142</v>
      </c>
      <c r="B29" s="12" t="s">
        <v>1069</v>
      </c>
      <c r="C29" s="12" t="s">
        <v>1143</v>
      </c>
      <c r="D29" s="12" t="s">
        <v>1144</v>
      </c>
      <c r="E29" s="12" t="s">
        <v>1145</v>
      </c>
      <c r="F29" s="12" t="s">
        <v>1070</v>
      </c>
      <c r="G29" s="12" t="s">
        <v>7</v>
      </c>
    </row>
    <row r="30" customFormat="false" ht="15" hidden="false" customHeight="false" outlineLevel="0" collapsed="false">
      <c r="A30" s="12" t="s">
        <v>1146</v>
      </c>
      <c r="B30" s="12" t="s">
        <v>219</v>
      </c>
      <c r="C30" s="12" t="s">
        <v>1077</v>
      </c>
      <c r="D30" s="12" t="s">
        <v>1147</v>
      </c>
      <c r="E30" s="12" t="s">
        <v>234</v>
      </c>
      <c r="F30" s="12" t="s">
        <v>1079</v>
      </c>
      <c r="G30" s="12" t="s">
        <v>7</v>
      </c>
    </row>
    <row r="31" customFormat="false" ht="15" hidden="false" customHeight="false" outlineLevel="0" collapsed="false">
      <c r="A31" s="12" t="s">
        <v>1148</v>
      </c>
      <c r="B31" s="12" t="s">
        <v>163</v>
      </c>
      <c r="C31" s="12" t="s">
        <v>1149</v>
      </c>
      <c r="D31" s="12" t="s">
        <v>1150</v>
      </c>
      <c r="E31" s="12" t="s">
        <v>1151</v>
      </c>
      <c r="F31" s="12" t="s">
        <v>1079</v>
      </c>
      <c r="G31" s="12" t="s">
        <v>7</v>
      </c>
    </row>
    <row r="32" customFormat="false" ht="15" hidden="false" customHeight="false" outlineLevel="0" collapsed="false">
      <c r="A32" s="12" t="s">
        <v>1152</v>
      </c>
      <c r="B32" s="12" t="s">
        <v>163</v>
      </c>
      <c r="C32" s="12" t="s">
        <v>1153</v>
      </c>
      <c r="D32" s="12" t="s">
        <v>1154</v>
      </c>
      <c r="E32" s="12" t="s">
        <v>243</v>
      </c>
      <c r="F32" s="12" t="s">
        <v>1079</v>
      </c>
      <c r="G32" s="12" t="s">
        <v>7</v>
      </c>
    </row>
    <row r="33" customFormat="false" ht="15" hidden="false" customHeight="false" outlineLevel="0" collapsed="false">
      <c r="A33" s="12" t="s">
        <v>1155</v>
      </c>
      <c r="B33" s="12" t="s">
        <v>163</v>
      </c>
      <c r="C33" s="12" t="s">
        <v>1156</v>
      </c>
      <c r="D33" s="12" t="s">
        <v>1157</v>
      </c>
      <c r="E33" s="12" t="s">
        <v>1158</v>
      </c>
      <c r="F33" s="12" t="s">
        <v>1079</v>
      </c>
      <c r="G33" s="12" t="s">
        <v>7</v>
      </c>
    </row>
    <row r="34" customFormat="false" ht="15" hidden="false" customHeight="false" outlineLevel="0" collapsed="false">
      <c r="A34" s="12" t="s">
        <v>1159</v>
      </c>
      <c r="B34" s="12" t="s">
        <v>1160</v>
      </c>
      <c r="C34" s="12" t="s">
        <v>1161</v>
      </c>
      <c r="D34" s="12" t="s">
        <v>1162</v>
      </c>
      <c r="E34" s="12" t="s">
        <v>1151</v>
      </c>
      <c r="F34" s="12" t="s">
        <v>1079</v>
      </c>
      <c r="G34" s="12" t="s">
        <v>7</v>
      </c>
    </row>
    <row r="35" customFormat="false" ht="15" hidden="false" customHeight="false" outlineLevel="0" collapsed="false">
      <c r="A35" s="12" t="s">
        <v>1163</v>
      </c>
      <c r="B35" s="12" t="s">
        <v>1164</v>
      </c>
      <c r="C35" s="12" t="s">
        <v>1165</v>
      </c>
      <c r="D35" s="12" t="s">
        <v>1166</v>
      </c>
      <c r="E35" s="12" t="s">
        <v>1167</v>
      </c>
      <c r="F35" s="12" t="s">
        <v>1079</v>
      </c>
      <c r="G35" s="12" t="s">
        <v>7</v>
      </c>
    </row>
    <row r="36" customFormat="false" ht="15" hidden="false" customHeight="false" outlineLevel="0" collapsed="false">
      <c r="A36" s="12" t="s">
        <v>1168</v>
      </c>
      <c r="B36" s="12" t="s">
        <v>1169</v>
      </c>
      <c r="C36" s="12" t="s">
        <v>124</v>
      </c>
      <c r="D36" s="12" t="s">
        <v>1170</v>
      </c>
      <c r="E36" s="12" t="s">
        <v>1171</v>
      </c>
      <c r="F36" s="12" t="s">
        <v>983</v>
      </c>
      <c r="G36" s="12" t="s">
        <v>132</v>
      </c>
    </row>
    <row r="37" customFormat="false" ht="15" hidden="false" customHeight="false" outlineLevel="0" collapsed="false">
      <c r="A37" s="12" t="s">
        <v>1172</v>
      </c>
      <c r="B37" s="12" t="s">
        <v>109</v>
      </c>
      <c r="C37" s="12" t="s">
        <v>1173</v>
      </c>
      <c r="D37" s="12" t="s">
        <v>1174</v>
      </c>
      <c r="E37" s="12" t="s">
        <v>1175</v>
      </c>
      <c r="F37" s="12" t="s">
        <v>1176</v>
      </c>
      <c r="G37" s="12" t="s">
        <v>7</v>
      </c>
    </row>
    <row r="38" customFormat="false" ht="15" hidden="false" customHeight="false" outlineLevel="0" collapsed="false">
      <c r="A38" s="12" t="s">
        <v>1177</v>
      </c>
      <c r="B38" s="12" t="s">
        <v>1178</v>
      </c>
      <c r="C38" s="12" t="s">
        <v>1179</v>
      </c>
      <c r="D38" s="12" t="s">
        <v>1180</v>
      </c>
      <c r="E38" s="12" t="s">
        <v>1181</v>
      </c>
      <c r="F38" s="12" t="s">
        <v>1062</v>
      </c>
      <c r="G38" s="12" t="s">
        <v>7</v>
      </c>
    </row>
  </sheetData>
  <mergeCells count="2">
    <mergeCell ref="A2:N2"/>
    <mergeCell ref="A4:N4"/>
  </mergeCells>
  <conditionalFormatting sqref="F7:F38">
    <cfRule type="containsText" priority="2" operator="containsText" aboveAverage="0" equalAverage="0" bottom="0" percent="0" rank="0" text="FAIL" dxfId="18">
      <formula>NOT(ISERROR(SEARCH("FAIL",F7)))</formula>
    </cfRule>
    <cfRule type="containsText" priority="3" operator="containsText" aboveAverage="0" equalAverage="0" bottom="0" percent="0" rank="0" text="TERMINATED" dxfId="19">
      <formula>NOT(ISERROR(SEARCH("TERMINATED",F7)))</formula>
    </cfRule>
    <cfRule type="containsText" priority="4" operator="containsText" aboveAverage="0" equalAverage="0" bottom="0" percent="0" rank="0" text="OPEN" dxfId="20">
      <formula>NOT(ISERROR(SEARCH("OPEN",F7)))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34"/>
    <col collapsed="false" customWidth="true" hidden="false" outlineLevel="0" max="7" min="7" style="0" width="28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" t="s">
        <v>1182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20" hidden="false" customHeight="true" outlineLevel="0" collapsed="false">
      <c r="A4" s="4" t="s">
        <v>1183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24" hidden="false" customHeight="true" outlineLevel="0" collapsed="false">
      <c r="A6" s="9" t="s">
        <v>1184</v>
      </c>
      <c r="B6" s="10" t="s">
        <v>1185</v>
      </c>
      <c r="C6" s="10" t="s">
        <v>1186</v>
      </c>
      <c r="D6" s="10" t="s">
        <v>1187</v>
      </c>
      <c r="E6" s="10" t="s">
        <v>1188</v>
      </c>
      <c r="F6" s="10" t="s">
        <v>1189</v>
      </c>
      <c r="G6" s="10" t="s">
        <v>1190</v>
      </c>
      <c r="H6" s="11" t="s">
        <v>1191</v>
      </c>
    </row>
    <row r="7" customFormat="false" ht="15" hidden="false" customHeight="false" outlineLevel="0" collapsed="false">
      <c r="A7" s="12" t="s">
        <v>1192</v>
      </c>
      <c r="B7" s="12" t="s">
        <v>266</v>
      </c>
      <c r="C7" s="12" t="s">
        <v>1193</v>
      </c>
      <c r="D7" s="12" t="s">
        <v>1194</v>
      </c>
      <c r="E7" s="12" t="s">
        <v>1195</v>
      </c>
      <c r="F7" s="12" t="s">
        <v>1196</v>
      </c>
      <c r="G7" s="12" t="s">
        <v>1197</v>
      </c>
      <c r="H7" s="17" t="n">
        <v>0</v>
      </c>
    </row>
    <row r="8" customFormat="false" ht="15" hidden="false" customHeight="false" outlineLevel="0" collapsed="false">
      <c r="A8" s="12" t="s">
        <v>1198</v>
      </c>
      <c r="B8" s="12" t="s">
        <v>266</v>
      </c>
      <c r="C8" s="12" t="s">
        <v>1199</v>
      </c>
      <c r="D8" s="12" t="s">
        <v>1194</v>
      </c>
      <c r="E8" s="12" t="s">
        <v>1195</v>
      </c>
      <c r="F8" s="12" t="s">
        <v>1200</v>
      </c>
      <c r="G8" s="12" t="s">
        <v>1197</v>
      </c>
      <c r="H8" s="17" t="n">
        <v>0</v>
      </c>
    </row>
    <row r="9" customFormat="false" ht="15" hidden="false" customHeight="false" outlineLevel="0" collapsed="false">
      <c r="A9" s="12" t="s">
        <v>1201</v>
      </c>
      <c r="B9" s="12" t="s">
        <v>266</v>
      </c>
      <c r="C9" s="12" t="s">
        <v>1202</v>
      </c>
      <c r="D9" s="12" t="s">
        <v>1203</v>
      </c>
      <c r="E9" s="12" t="s">
        <v>966</v>
      </c>
      <c r="F9" s="12" t="s">
        <v>1204</v>
      </c>
      <c r="G9" s="12" t="s">
        <v>1197</v>
      </c>
      <c r="H9" s="17" t="n">
        <v>0</v>
      </c>
    </row>
    <row r="10" customFormat="false" ht="15" hidden="false" customHeight="false" outlineLevel="0" collapsed="false">
      <c r="A10" s="12" t="s">
        <v>1205</v>
      </c>
      <c r="B10" s="12" t="s">
        <v>266</v>
      </c>
      <c r="C10" s="12" t="s">
        <v>1206</v>
      </c>
      <c r="D10" s="12" t="s">
        <v>1203</v>
      </c>
      <c r="E10" s="12" t="s">
        <v>966</v>
      </c>
      <c r="F10" s="12" t="s">
        <v>1207</v>
      </c>
      <c r="G10" s="12" t="s">
        <v>1197</v>
      </c>
      <c r="H10" s="17" t="n">
        <v>0</v>
      </c>
    </row>
    <row r="11" customFormat="false" ht="15" hidden="false" customHeight="false" outlineLevel="0" collapsed="false">
      <c r="A11" s="12" t="s">
        <v>1208</v>
      </c>
      <c r="B11" s="12" t="s">
        <v>266</v>
      </c>
      <c r="C11" s="12" t="s">
        <v>1209</v>
      </c>
      <c r="D11" s="12" t="s">
        <v>1210</v>
      </c>
      <c r="E11" s="12" t="s">
        <v>966</v>
      </c>
      <c r="F11" s="12" t="s">
        <v>1211</v>
      </c>
      <c r="G11" s="12" t="s">
        <v>1212</v>
      </c>
      <c r="H11" s="17" t="n">
        <v>0</v>
      </c>
    </row>
    <row r="12" customFormat="false" ht="15" hidden="false" customHeight="false" outlineLevel="0" collapsed="false">
      <c r="A12" s="12" t="s">
        <v>1213</v>
      </c>
      <c r="B12" s="12" t="s">
        <v>266</v>
      </c>
      <c r="C12" s="12" t="s">
        <v>1214</v>
      </c>
      <c r="D12" s="12" t="s">
        <v>1194</v>
      </c>
      <c r="E12" s="12" t="s">
        <v>966</v>
      </c>
      <c r="F12" s="12" t="s">
        <v>1215</v>
      </c>
      <c r="G12" s="12" t="s">
        <v>1197</v>
      </c>
      <c r="H12" s="17" t="n">
        <v>0</v>
      </c>
    </row>
    <row r="13" customFormat="false" ht="15" hidden="false" customHeight="false" outlineLevel="0" collapsed="false">
      <c r="A13" s="12" t="s">
        <v>1216</v>
      </c>
      <c r="B13" s="12" t="s">
        <v>729</v>
      </c>
      <c r="C13" s="12" t="s">
        <v>1217</v>
      </c>
      <c r="D13" s="12" t="s">
        <v>1194</v>
      </c>
      <c r="E13" s="12" t="s">
        <v>1218</v>
      </c>
      <c r="F13" s="12" t="s">
        <v>1219</v>
      </c>
      <c r="G13" s="12" t="s">
        <v>1097</v>
      </c>
      <c r="H13" s="17" t="n">
        <v>0</v>
      </c>
    </row>
    <row r="14" customFormat="false" ht="15" hidden="false" customHeight="false" outlineLevel="0" collapsed="false">
      <c r="A14" s="12" t="s">
        <v>1220</v>
      </c>
      <c r="B14" s="12" t="s">
        <v>1221</v>
      </c>
      <c r="C14" s="12" t="s">
        <v>1222</v>
      </c>
      <c r="D14" s="12" t="s">
        <v>1194</v>
      </c>
      <c r="E14" s="12" t="s">
        <v>1223</v>
      </c>
      <c r="F14" s="12" t="s">
        <v>1224</v>
      </c>
      <c r="G14" s="12" t="s">
        <v>1097</v>
      </c>
      <c r="H14" s="17" t="n">
        <v>0</v>
      </c>
    </row>
    <row r="15" customFormat="false" ht="15" hidden="false" customHeight="false" outlineLevel="0" collapsed="false">
      <c r="A15" s="12" t="s">
        <v>1225</v>
      </c>
      <c r="B15" s="12" t="s">
        <v>1226</v>
      </c>
      <c r="C15" s="12" t="s">
        <v>1227</v>
      </c>
      <c r="D15" s="12" t="s">
        <v>1194</v>
      </c>
      <c r="E15" s="12" t="s">
        <v>1228</v>
      </c>
      <c r="F15" s="12" t="s">
        <v>1229</v>
      </c>
      <c r="G15" s="12" t="s">
        <v>1097</v>
      </c>
      <c r="H15" s="17" t="n">
        <v>0</v>
      </c>
    </row>
    <row r="16" customFormat="false" ht="15" hidden="false" customHeight="false" outlineLevel="0" collapsed="false">
      <c r="A16" s="12" t="s">
        <v>1230</v>
      </c>
      <c r="B16" s="12" t="s">
        <v>206</v>
      </c>
      <c r="C16" s="12" t="s">
        <v>1231</v>
      </c>
      <c r="D16" s="12" t="s">
        <v>1194</v>
      </c>
      <c r="E16" s="12" t="s">
        <v>966</v>
      </c>
      <c r="F16" s="12" t="s">
        <v>1232</v>
      </c>
      <c r="G16" s="12" t="s">
        <v>1097</v>
      </c>
      <c r="H16" s="17" t="n">
        <v>0</v>
      </c>
    </row>
    <row r="17" customFormat="false" ht="15" hidden="false" customHeight="false" outlineLevel="0" collapsed="false">
      <c r="A17" s="12" t="s">
        <v>1233</v>
      </c>
      <c r="B17" s="12" t="s">
        <v>1234</v>
      </c>
      <c r="C17" s="12" t="s">
        <v>1235</v>
      </c>
      <c r="D17" s="12" t="s">
        <v>1194</v>
      </c>
      <c r="E17" s="12" t="s">
        <v>1236</v>
      </c>
      <c r="F17" s="12" t="s">
        <v>1237</v>
      </c>
      <c r="G17" s="12" t="s">
        <v>1097</v>
      </c>
      <c r="H17" s="17" t="n">
        <v>0</v>
      </c>
    </row>
    <row r="18" customFormat="false" ht="15" hidden="false" customHeight="false" outlineLevel="0" collapsed="false">
      <c r="A18" s="12" t="s">
        <v>1238</v>
      </c>
      <c r="B18" s="12" t="s">
        <v>1119</v>
      </c>
      <c r="C18" s="12" t="s">
        <v>1239</v>
      </c>
      <c r="D18" s="12" t="s">
        <v>1240</v>
      </c>
      <c r="E18" s="12" t="s">
        <v>1241</v>
      </c>
      <c r="F18" s="12" t="s">
        <v>1242</v>
      </c>
      <c r="G18" s="12" t="s">
        <v>1243</v>
      </c>
      <c r="H18" s="17" t="n">
        <v>0</v>
      </c>
    </row>
    <row r="19" customFormat="false" ht="15" hidden="false" customHeight="false" outlineLevel="0" collapsed="false">
      <c r="A19" s="12" t="s">
        <v>1244</v>
      </c>
      <c r="B19" s="12" t="s">
        <v>1245</v>
      </c>
      <c r="C19" s="12" t="s">
        <v>1246</v>
      </c>
      <c r="D19" s="12" t="s">
        <v>1194</v>
      </c>
      <c r="E19" s="12" t="s">
        <v>1247</v>
      </c>
      <c r="F19" s="12" t="s">
        <v>1248</v>
      </c>
      <c r="G19" s="12" t="s">
        <v>1097</v>
      </c>
      <c r="H19" s="17" t="n">
        <v>0</v>
      </c>
    </row>
    <row r="20" customFormat="false" ht="15" hidden="false" customHeight="false" outlineLevel="0" collapsed="false">
      <c r="A20" s="12" t="s">
        <v>1249</v>
      </c>
      <c r="B20" s="12" t="s">
        <v>1250</v>
      </c>
      <c r="C20" s="12" t="s">
        <v>1251</v>
      </c>
      <c r="D20" s="12" t="s">
        <v>1194</v>
      </c>
      <c r="E20" s="12" t="s">
        <v>1252</v>
      </c>
      <c r="F20" s="12" t="s">
        <v>1253</v>
      </c>
      <c r="G20" s="12" t="s">
        <v>1097</v>
      </c>
      <c r="H20" s="17" t="n">
        <v>0</v>
      </c>
    </row>
    <row r="21" customFormat="false" ht="15" hidden="false" customHeight="false" outlineLevel="0" collapsed="false">
      <c r="A21" s="12" t="s">
        <v>1254</v>
      </c>
      <c r="B21" s="12" t="s">
        <v>1255</v>
      </c>
      <c r="C21" s="12" t="s">
        <v>1256</v>
      </c>
      <c r="D21" s="12" t="s">
        <v>1257</v>
      </c>
      <c r="E21" s="12" t="s">
        <v>988</v>
      </c>
      <c r="F21" s="12" t="s">
        <v>1258</v>
      </c>
      <c r="G21" s="12" t="s">
        <v>1097</v>
      </c>
      <c r="H21" s="17" t="n">
        <v>0</v>
      </c>
    </row>
    <row r="22" customFormat="false" ht="15" hidden="false" customHeight="false" outlineLevel="0" collapsed="false">
      <c r="A22" s="12" t="s">
        <v>1259</v>
      </c>
      <c r="B22" s="12" t="s">
        <v>1260</v>
      </c>
      <c r="C22" s="12" t="s">
        <v>1261</v>
      </c>
      <c r="D22" s="12" t="s">
        <v>1262</v>
      </c>
      <c r="E22" s="12" t="s">
        <v>1263</v>
      </c>
      <c r="F22" s="12" t="s">
        <v>1264</v>
      </c>
      <c r="G22" s="12" t="s">
        <v>1097</v>
      </c>
      <c r="H22" s="17" t="n">
        <v>0</v>
      </c>
    </row>
    <row r="23" customFormat="false" ht="15" hidden="false" customHeight="false" outlineLevel="0" collapsed="false">
      <c r="A23" s="12" t="s">
        <v>1265</v>
      </c>
      <c r="B23" s="12" t="s">
        <v>724</v>
      </c>
      <c r="C23" s="12" t="s">
        <v>1266</v>
      </c>
      <c r="D23" s="12" t="s">
        <v>1194</v>
      </c>
      <c r="E23" s="12" t="s">
        <v>1267</v>
      </c>
      <c r="F23" s="12" t="s">
        <v>1268</v>
      </c>
      <c r="G23" s="12" t="s">
        <v>1269</v>
      </c>
      <c r="H23" s="17" t="n">
        <v>0</v>
      </c>
    </row>
    <row r="24" customFormat="false" ht="15" hidden="false" customHeight="false" outlineLevel="0" collapsed="false">
      <c r="A24" s="12" t="s">
        <v>1270</v>
      </c>
      <c r="B24" s="12" t="s">
        <v>226</v>
      </c>
      <c r="C24" s="12" t="s">
        <v>1271</v>
      </c>
      <c r="D24" s="12" t="s">
        <v>220</v>
      </c>
      <c r="E24" s="12" t="s">
        <v>1272</v>
      </c>
      <c r="F24" s="12" t="s">
        <v>1273</v>
      </c>
      <c r="G24" s="12" t="s">
        <v>1274</v>
      </c>
      <c r="H24" s="17" t="n">
        <v>0</v>
      </c>
    </row>
  </sheetData>
  <mergeCells count="2">
    <mergeCell ref="A2:N2"/>
    <mergeCell ref="A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3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38"/>
    <col collapsed="false" customWidth="true" hidden="false" outlineLevel="0" max="6" min="6" style="0" width="28"/>
    <col collapsed="false" customWidth="true" hidden="false" outlineLevel="0" max="7" min="7" style="0" width="3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20" hidden="false" customHeight="true" outlineLevel="0" collapsed="false">
      <c r="A4" s="4" t="s">
        <v>1275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24" hidden="false" customHeight="true" outlineLevel="0" collapsed="false">
      <c r="A6" s="9" t="s">
        <v>1184</v>
      </c>
      <c r="B6" s="10" t="s">
        <v>1186</v>
      </c>
      <c r="C6" s="10" t="s">
        <v>1276</v>
      </c>
      <c r="D6" s="10" t="s">
        <v>1277</v>
      </c>
      <c r="E6" s="10" t="s">
        <v>1278</v>
      </c>
      <c r="F6" s="10" t="s">
        <v>1279</v>
      </c>
      <c r="G6" s="10" t="s">
        <v>1280</v>
      </c>
      <c r="H6" s="11" t="s">
        <v>1191</v>
      </c>
    </row>
    <row r="7" customFormat="false" ht="15" hidden="false" customHeight="false" outlineLevel="0" collapsed="false">
      <c r="A7" s="12" t="s">
        <v>1281</v>
      </c>
      <c r="B7" s="12" t="s">
        <v>1282</v>
      </c>
      <c r="C7" s="12" t="s">
        <v>1283</v>
      </c>
      <c r="D7" s="12" t="s">
        <v>1284</v>
      </c>
      <c r="E7" s="12" t="s">
        <v>1285</v>
      </c>
      <c r="F7" s="12" t="s">
        <v>1286</v>
      </c>
      <c r="G7" s="12" t="s">
        <v>1287</v>
      </c>
      <c r="H7" s="17" t="n">
        <v>0</v>
      </c>
    </row>
    <row r="8" customFormat="false" ht="15" hidden="false" customHeight="false" outlineLevel="0" collapsed="false">
      <c r="A8" s="12" t="s">
        <v>1288</v>
      </c>
      <c r="B8" s="12" t="s">
        <v>1289</v>
      </c>
      <c r="C8" s="12" t="s">
        <v>1283</v>
      </c>
      <c r="D8" s="12" t="s">
        <v>1290</v>
      </c>
      <c r="E8" s="12" t="s">
        <v>1291</v>
      </c>
      <c r="F8" s="12" t="s">
        <v>1292</v>
      </c>
      <c r="G8" s="12" t="s">
        <v>1293</v>
      </c>
      <c r="H8" s="17" t="n">
        <v>0</v>
      </c>
    </row>
    <row r="9" customFormat="false" ht="15" hidden="false" customHeight="false" outlineLevel="0" collapsed="false">
      <c r="A9" s="12" t="s">
        <v>1294</v>
      </c>
      <c r="B9" s="12" t="s">
        <v>1295</v>
      </c>
      <c r="C9" s="12" t="s">
        <v>1283</v>
      </c>
      <c r="D9" s="12" t="s">
        <v>1296</v>
      </c>
      <c r="E9" s="12" t="s">
        <v>1297</v>
      </c>
      <c r="F9" s="12" t="s">
        <v>1292</v>
      </c>
      <c r="G9" s="12" t="s">
        <v>1298</v>
      </c>
      <c r="H9" s="17" t="n">
        <v>0</v>
      </c>
    </row>
    <row r="10" customFormat="false" ht="15" hidden="false" customHeight="false" outlineLevel="0" collapsed="false">
      <c r="A10" s="12" t="s">
        <v>1299</v>
      </c>
      <c r="B10" s="12" t="s">
        <v>1300</v>
      </c>
      <c r="C10" s="12" t="s">
        <v>1283</v>
      </c>
      <c r="D10" s="12" t="s">
        <v>1296</v>
      </c>
      <c r="E10" s="12" t="s">
        <v>1301</v>
      </c>
      <c r="F10" s="12" t="s">
        <v>1292</v>
      </c>
      <c r="G10" s="12" t="s">
        <v>1302</v>
      </c>
      <c r="H10" s="17" t="n">
        <v>0</v>
      </c>
    </row>
    <row r="11" customFormat="false" ht="15" hidden="false" customHeight="false" outlineLevel="0" collapsed="false">
      <c r="A11" s="12" t="s">
        <v>1303</v>
      </c>
      <c r="B11" s="12" t="s">
        <v>1304</v>
      </c>
      <c r="C11" s="12" t="s">
        <v>1305</v>
      </c>
      <c r="D11" s="12" t="s">
        <v>237</v>
      </c>
      <c r="E11" s="12" t="s">
        <v>1306</v>
      </c>
      <c r="F11" s="12" t="s">
        <v>1307</v>
      </c>
      <c r="G11" s="12" t="s">
        <v>1308</v>
      </c>
      <c r="H11" s="17" t="n">
        <v>0</v>
      </c>
    </row>
    <row r="12" customFormat="false" ht="15" hidden="false" customHeight="false" outlineLevel="0" collapsed="false">
      <c r="A12" s="12" t="s">
        <v>1309</v>
      </c>
      <c r="B12" s="12" t="s">
        <v>1310</v>
      </c>
      <c r="C12" s="12" t="s">
        <v>1311</v>
      </c>
      <c r="D12" s="12" t="s">
        <v>1312</v>
      </c>
      <c r="E12" s="12" t="s">
        <v>1313</v>
      </c>
      <c r="F12" s="12" t="s">
        <v>1314</v>
      </c>
      <c r="G12" s="12" t="s">
        <v>1315</v>
      </c>
      <c r="H12" s="17" t="n">
        <v>0</v>
      </c>
    </row>
    <row r="13" customFormat="false" ht="15" hidden="false" customHeight="false" outlineLevel="0" collapsed="false">
      <c r="A13" s="12" t="s">
        <v>1316</v>
      </c>
      <c r="B13" s="12" t="s">
        <v>1317</v>
      </c>
      <c r="C13" s="12" t="s">
        <v>1318</v>
      </c>
      <c r="D13" s="12" t="s">
        <v>1319</v>
      </c>
      <c r="E13" s="12" t="s">
        <v>1320</v>
      </c>
      <c r="F13" s="12" t="s">
        <v>1097</v>
      </c>
      <c r="G13" s="12" t="s">
        <v>1321</v>
      </c>
      <c r="H13" s="17" t="n">
        <v>0</v>
      </c>
    </row>
    <row r="14" customFormat="false" ht="15" hidden="false" customHeight="false" outlineLevel="0" collapsed="false">
      <c r="A14" s="12" t="s">
        <v>1322</v>
      </c>
      <c r="B14" s="12" t="s">
        <v>1323</v>
      </c>
      <c r="C14" s="12" t="s">
        <v>1324</v>
      </c>
      <c r="D14" s="12" t="s">
        <v>1319</v>
      </c>
      <c r="E14" s="12" t="s">
        <v>1325</v>
      </c>
      <c r="F14" s="12" t="s">
        <v>1097</v>
      </c>
      <c r="G14" s="12" t="s">
        <v>1326</v>
      </c>
      <c r="H14" s="17" t="n">
        <v>0</v>
      </c>
    </row>
    <row r="15" customFormat="false" ht="15" hidden="false" customHeight="false" outlineLevel="0" collapsed="false">
      <c r="A15" s="12" t="s">
        <v>1327</v>
      </c>
      <c r="B15" s="12" t="s">
        <v>1328</v>
      </c>
      <c r="C15" s="12" t="s">
        <v>1318</v>
      </c>
      <c r="D15" s="12" t="s">
        <v>1329</v>
      </c>
      <c r="E15" s="12" t="s">
        <v>1330</v>
      </c>
      <c r="F15" s="12" t="s">
        <v>1243</v>
      </c>
      <c r="G15" s="12" t="s">
        <v>1331</v>
      </c>
      <c r="H15" s="17" t="n">
        <v>0</v>
      </c>
    </row>
    <row r="16" customFormat="false" ht="15" hidden="false" customHeight="false" outlineLevel="0" collapsed="false">
      <c r="A16" s="12" t="s">
        <v>1332</v>
      </c>
      <c r="B16" s="12" t="s">
        <v>1333</v>
      </c>
      <c r="C16" s="12" t="s">
        <v>1334</v>
      </c>
      <c r="D16" s="12" t="s">
        <v>237</v>
      </c>
      <c r="E16" s="12" t="s">
        <v>1335</v>
      </c>
      <c r="F16" s="12" t="s">
        <v>1336</v>
      </c>
      <c r="G16" s="12" t="s">
        <v>1337</v>
      </c>
      <c r="H16" s="17" t="n">
        <v>0</v>
      </c>
    </row>
    <row r="17" customFormat="false" ht="15" hidden="false" customHeight="false" outlineLevel="0" collapsed="false">
      <c r="A17" s="12" t="s">
        <v>1338</v>
      </c>
      <c r="B17" s="12" t="s">
        <v>181</v>
      </c>
      <c r="C17" s="12" t="s">
        <v>1339</v>
      </c>
      <c r="D17" s="12" t="s">
        <v>1340</v>
      </c>
      <c r="E17" s="12" t="s">
        <v>1341</v>
      </c>
      <c r="F17" s="12" t="s">
        <v>1097</v>
      </c>
      <c r="G17" s="12" t="s">
        <v>1342</v>
      </c>
      <c r="H17" s="17" t="n">
        <v>0</v>
      </c>
    </row>
    <row r="18" customFormat="false" ht="15" hidden="false" customHeight="false" outlineLevel="0" collapsed="false">
      <c r="A18" s="12" t="s">
        <v>1343</v>
      </c>
      <c r="B18" s="12" t="s">
        <v>1344</v>
      </c>
      <c r="C18" s="12" t="s">
        <v>1345</v>
      </c>
      <c r="D18" s="12" t="s">
        <v>1346</v>
      </c>
      <c r="E18" s="12" t="s">
        <v>1347</v>
      </c>
      <c r="F18" s="12" t="s">
        <v>1097</v>
      </c>
      <c r="G18" s="12" t="s">
        <v>1348</v>
      </c>
      <c r="H18" s="17" t="n">
        <v>0</v>
      </c>
    </row>
    <row r="19" customFormat="false" ht="15" hidden="false" customHeight="false" outlineLevel="0" collapsed="false">
      <c r="A19" s="12" t="s">
        <v>1349</v>
      </c>
      <c r="B19" s="12" t="s">
        <v>1350</v>
      </c>
      <c r="C19" s="12" t="s">
        <v>1351</v>
      </c>
      <c r="D19" s="12" t="s">
        <v>1319</v>
      </c>
      <c r="E19" s="12" t="s">
        <v>1352</v>
      </c>
      <c r="F19" s="12" t="s">
        <v>1097</v>
      </c>
      <c r="G19" s="12" t="s">
        <v>1353</v>
      </c>
      <c r="H19" s="17" t="n">
        <v>0</v>
      </c>
    </row>
    <row r="20" customFormat="false" ht="15" hidden="false" customHeight="false" outlineLevel="0" collapsed="false">
      <c r="A20" s="12" t="s">
        <v>1354</v>
      </c>
      <c r="B20" s="12" t="s">
        <v>1355</v>
      </c>
      <c r="C20" s="12" t="s">
        <v>1356</v>
      </c>
      <c r="D20" s="12" t="s">
        <v>237</v>
      </c>
      <c r="E20" s="12" t="s">
        <v>1267</v>
      </c>
      <c r="F20" s="12" t="s">
        <v>1269</v>
      </c>
      <c r="G20" s="12" t="s">
        <v>1357</v>
      </c>
      <c r="H20" s="17" t="n">
        <v>0</v>
      </c>
    </row>
    <row r="21" customFormat="false" ht="15" hidden="false" customHeight="false" outlineLevel="0" collapsed="false">
      <c r="A21" s="12" t="s">
        <v>1358</v>
      </c>
      <c r="B21" s="12" t="s">
        <v>1359</v>
      </c>
      <c r="C21" s="12" t="s">
        <v>1356</v>
      </c>
      <c r="D21" s="12" t="s">
        <v>237</v>
      </c>
      <c r="E21" s="12" t="s">
        <v>1360</v>
      </c>
      <c r="F21" s="12" t="s">
        <v>1361</v>
      </c>
      <c r="G21" s="12" t="s">
        <v>1362</v>
      </c>
      <c r="H21" s="17" t="n">
        <v>0</v>
      </c>
    </row>
    <row r="22" customFormat="false" ht="15" hidden="false" customHeight="false" outlineLevel="0" collapsed="false">
      <c r="A22" s="12" t="s">
        <v>1363</v>
      </c>
      <c r="B22" s="12" t="s">
        <v>1364</v>
      </c>
      <c r="C22" s="12" t="s">
        <v>1365</v>
      </c>
      <c r="D22" s="12" t="s">
        <v>1312</v>
      </c>
      <c r="E22" s="12" t="s">
        <v>1366</v>
      </c>
      <c r="F22" s="12" t="s">
        <v>1097</v>
      </c>
      <c r="G22" s="12" t="s">
        <v>1367</v>
      </c>
      <c r="H22" s="17" t="n">
        <v>0</v>
      </c>
    </row>
    <row r="23" customFormat="false" ht="15" hidden="false" customHeight="false" outlineLevel="0" collapsed="false">
      <c r="A23" s="12" t="s">
        <v>1368</v>
      </c>
      <c r="B23" s="12" t="s">
        <v>1369</v>
      </c>
      <c r="C23" s="12" t="s">
        <v>1365</v>
      </c>
      <c r="D23" s="12" t="s">
        <v>1312</v>
      </c>
      <c r="E23" s="12" t="s">
        <v>1370</v>
      </c>
      <c r="F23" s="12" t="s">
        <v>1371</v>
      </c>
      <c r="G23" s="12" t="s">
        <v>1372</v>
      </c>
      <c r="H23" s="17" t="n">
        <v>0</v>
      </c>
    </row>
    <row r="24" customFormat="false" ht="15" hidden="false" customHeight="false" outlineLevel="0" collapsed="false">
      <c r="A24" s="12" t="s">
        <v>1373</v>
      </c>
      <c r="B24" s="12" t="s">
        <v>1374</v>
      </c>
      <c r="C24" s="12" t="s">
        <v>1375</v>
      </c>
      <c r="D24" s="12" t="s">
        <v>1376</v>
      </c>
      <c r="E24" s="12" t="s">
        <v>1377</v>
      </c>
      <c r="F24" s="12" t="s">
        <v>1097</v>
      </c>
      <c r="G24" s="12" t="s">
        <v>1378</v>
      </c>
      <c r="H24" s="17" t="n">
        <v>0</v>
      </c>
    </row>
  </sheetData>
  <mergeCells count="2">
    <mergeCell ref="A2:N2"/>
    <mergeCell ref="A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33"/>
    <col collapsed="false" customWidth="true" hidden="false" outlineLevel="0" max="6" min="6" style="0" width="28"/>
    <col collapsed="false" customWidth="true" hidden="false" outlineLevel="0" max="7" min="7" style="0" width="31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" t="s">
        <v>1379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20" hidden="false" customHeight="true" outlineLevel="0" collapsed="false">
      <c r="A4" s="4" t="s">
        <v>1380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24" hidden="false" customHeight="true" outlineLevel="0" collapsed="false">
      <c r="A6" s="9" t="s">
        <v>1184</v>
      </c>
      <c r="B6" s="10" t="s">
        <v>1381</v>
      </c>
      <c r="C6" s="10" t="s">
        <v>1276</v>
      </c>
      <c r="D6" s="10" t="s">
        <v>1382</v>
      </c>
      <c r="E6" s="10" t="s">
        <v>1383</v>
      </c>
      <c r="F6" s="10" t="s">
        <v>1384</v>
      </c>
      <c r="G6" s="10" t="s">
        <v>1385</v>
      </c>
      <c r="H6" s="11" t="s">
        <v>1191</v>
      </c>
    </row>
    <row r="7" customFormat="false" ht="15" hidden="false" customHeight="false" outlineLevel="0" collapsed="false">
      <c r="A7" s="12" t="s">
        <v>1386</v>
      </c>
      <c r="B7" s="12" t="s">
        <v>1387</v>
      </c>
      <c r="C7" s="12" t="s">
        <v>1311</v>
      </c>
      <c r="D7" s="12" t="s">
        <v>1388</v>
      </c>
      <c r="E7" s="12" t="s">
        <v>1389</v>
      </c>
      <c r="F7" s="12" t="s">
        <v>1390</v>
      </c>
      <c r="G7" s="12" t="s">
        <v>1391</v>
      </c>
      <c r="H7" s="17" t="n">
        <v>0</v>
      </c>
    </row>
    <row r="8" customFormat="false" ht="15" hidden="false" customHeight="false" outlineLevel="0" collapsed="false">
      <c r="A8" s="12" t="s">
        <v>1392</v>
      </c>
      <c r="B8" s="12" t="s">
        <v>1393</v>
      </c>
      <c r="C8" s="12" t="s">
        <v>1283</v>
      </c>
      <c r="D8" s="12" t="s">
        <v>1394</v>
      </c>
      <c r="E8" s="12" t="s">
        <v>1395</v>
      </c>
      <c r="F8" s="12" t="s">
        <v>1396</v>
      </c>
      <c r="G8" s="12" t="s">
        <v>1397</v>
      </c>
      <c r="H8" s="17" t="n">
        <v>0</v>
      </c>
    </row>
    <row r="9" customFormat="false" ht="15" hidden="false" customHeight="false" outlineLevel="0" collapsed="false">
      <c r="A9" s="12" t="s">
        <v>1398</v>
      </c>
      <c r="B9" s="12" t="s">
        <v>1399</v>
      </c>
      <c r="C9" s="12" t="s">
        <v>1345</v>
      </c>
      <c r="D9" s="12" t="s">
        <v>1400</v>
      </c>
      <c r="E9" s="12" t="s">
        <v>1401</v>
      </c>
      <c r="F9" s="12" t="s">
        <v>1097</v>
      </c>
      <c r="G9" s="12" t="s">
        <v>1402</v>
      </c>
      <c r="H9" s="17" t="n">
        <v>0</v>
      </c>
    </row>
    <row r="10" customFormat="false" ht="15" hidden="false" customHeight="false" outlineLevel="0" collapsed="false">
      <c r="A10" s="12" t="s">
        <v>1403</v>
      </c>
      <c r="B10" s="12" t="s">
        <v>1404</v>
      </c>
      <c r="C10" s="12" t="s">
        <v>1351</v>
      </c>
      <c r="D10" s="12" t="s">
        <v>1405</v>
      </c>
      <c r="E10" s="12" t="s">
        <v>1406</v>
      </c>
      <c r="F10" s="12" t="s">
        <v>1097</v>
      </c>
      <c r="G10" s="12" t="s">
        <v>1407</v>
      </c>
      <c r="H10" s="17" t="n">
        <v>0</v>
      </c>
    </row>
    <row r="11" customFormat="false" ht="15" hidden="false" customHeight="false" outlineLevel="0" collapsed="false">
      <c r="A11" s="12" t="s">
        <v>1408</v>
      </c>
      <c r="B11" s="12" t="s">
        <v>1409</v>
      </c>
      <c r="C11" s="12" t="s">
        <v>1305</v>
      </c>
      <c r="D11" s="12" t="s">
        <v>1410</v>
      </c>
      <c r="E11" s="12" t="s">
        <v>1411</v>
      </c>
      <c r="F11" s="12" t="s">
        <v>1412</v>
      </c>
      <c r="G11" s="12" t="s">
        <v>1413</v>
      </c>
      <c r="H11" s="17" t="n">
        <v>0</v>
      </c>
    </row>
    <row r="12" customFormat="false" ht="15" hidden="false" customHeight="false" outlineLevel="0" collapsed="false">
      <c r="A12" s="12" t="s">
        <v>1414</v>
      </c>
      <c r="B12" s="12" t="s">
        <v>1415</v>
      </c>
      <c r="C12" s="12" t="s">
        <v>1283</v>
      </c>
      <c r="D12" s="12" t="s">
        <v>1416</v>
      </c>
      <c r="E12" s="12" t="s">
        <v>1417</v>
      </c>
      <c r="F12" s="12" t="s">
        <v>1418</v>
      </c>
      <c r="G12" s="12" t="s">
        <v>1419</v>
      </c>
      <c r="H12" s="17" t="n">
        <v>0</v>
      </c>
    </row>
    <row r="13" customFormat="false" ht="15" hidden="false" customHeight="false" outlineLevel="0" collapsed="false">
      <c r="A13" s="12" t="s">
        <v>1420</v>
      </c>
      <c r="B13" s="12" t="s">
        <v>1421</v>
      </c>
      <c r="C13" s="12" t="s">
        <v>1422</v>
      </c>
      <c r="D13" s="12" t="s">
        <v>1423</v>
      </c>
      <c r="E13" s="12" t="s">
        <v>1424</v>
      </c>
      <c r="F13" s="12" t="s">
        <v>1425</v>
      </c>
      <c r="G13" s="12" t="s">
        <v>1426</v>
      </c>
      <c r="H13" s="17" t="n">
        <v>0</v>
      </c>
    </row>
    <row r="14" customFormat="false" ht="15" hidden="false" customHeight="false" outlineLevel="0" collapsed="false">
      <c r="A14" s="12" t="s">
        <v>1427</v>
      </c>
      <c r="B14" s="12" t="s">
        <v>1428</v>
      </c>
      <c r="C14" s="12" t="s">
        <v>1334</v>
      </c>
      <c r="D14" s="12" t="s">
        <v>1429</v>
      </c>
      <c r="E14" s="12" t="s">
        <v>1430</v>
      </c>
      <c r="F14" s="12" t="s">
        <v>1431</v>
      </c>
      <c r="G14" s="12" t="s">
        <v>1432</v>
      </c>
      <c r="H14" s="17" t="n">
        <v>0</v>
      </c>
    </row>
    <row r="15" customFormat="false" ht="15" hidden="false" customHeight="false" outlineLevel="0" collapsed="false">
      <c r="A15" s="12" t="s">
        <v>1433</v>
      </c>
      <c r="B15" s="12" t="s">
        <v>1434</v>
      </c>
      <c r="C15" s="12" t="s">
        <v>1318</v>
      </c>
      <c r="D15" s="12" t="s">
        <v>1435</v>
      </c>
      <c r="E15" s="12" t="s">
        <v>1436</v>
      </c>
      <c r="F15" s="12" t="s">
        <v>1243</v>
      </c>
      <c r="G15" s="12" t="s">
        <v>1437</v>
      </c>
      <c r="H15" s="17" t="n">
        <v>0</v>
      </c>
    </row>
    <row r="16" customFormat="false" ht="15" hidden="false" customHeight="false" outlineLevel="0" collapsed="false">
      <c r="A16" s="12" t="s">
        <v>1438</v>
      </c>
      <c r="B16" s="12" t="s">
        <v>1439</v>
      </c>
      <c r="C16" s="12" t="s">
        <v>1283</v>
      </c>
      <c r="D16" s="12" t="s">
        <v>1394</v>
      </c>
      <c r="E16" s="12" t="s">
        <v>1440</v>
      </c>
      <c r="F16" s="12" t="s">
        <v>1418</v>
      </c>
      <c r="G16" s="12" t="s">
        <v>1441</v>
      </c>
      <c r="H16" s="17" t="n">
        <v>0</v>
      </c>
    </row>
    <row r="17" customFormat="false" ht="15" hidden="false" customHeight="false" outlineLevel="0" collapsed="false">
      <c r="A17" s="12" t="s">
        <v>1442</v>
      </c>
      <c r="B17" s="12" t="s">
        <v>1443</v>
      </c>
      <c r="C17" s="12" t="s">
        <v>1356</v>
      </c>
      <c r="D17" s="12" t="s">
        <v>1444</v>
      </c>
      <c r="E17" s="12" t="s">
        <v>1445</v>
      </c>
      <c r="F17" s="12" t="s">
        <v>1446</v>
      </c>
      <c r="G17" s="12" t="s">
        <v>1447</v>
      </c>
      <c r="H17" s="17" t="n">
        <v>0</v>
      </c>
    </row>
    <row r="18" customFormat="false" ht="15" hidden="false" customHeight="false" outlineLevel="0" collapsed="false">
      <c r="A18" s="12" t="s">
        <v>1448</v>
      </c>
      <c r="B18" s="12" t="s">
        <v>1449</v>
      </c>
      <c r="C18" s="12" t="s">
        <v>1365</v>
      </c>
      <c r="D18" s="12" t="s">
        <v>7</v>
      </c>
      <c r="E18" s="12" t="s">
        <v>1450</v>
      </c>
      <c r="F18" s="12" t="s">
        <v>1097</v>
      </c>
      <c r="G18" s="12" t="s">
        <v>1451</v>
      </c>
      <c r="H18" s="17" t="n">
        <v>0</v>
      </c>
    </row>
    <row r="19" customFormat="false" ht="15" hidden="false" customHeight="false" outlineLevel="0" collapsed="false">
      <c r="A19" s="12" t="s">
        <v>1452</v>
      </c>
      <c r="B19" s="12" t="s">
        <v>1453</v>
      </c>
      <c r="C19" s="12" t="s">
        <v>1365</v>
      </c>
      <c r="D19" s="12" t="s">
        <v>7</v>
      </c>
      <c r="E19" s="12" t="s">
        <v>1454</v>
      </c>
      <c r="F19" s="12" t="s">
        <v>1412</v>
      </c>
      <c r="G19" s="12" t="s">
        <v>1455</v>
      </c>
      <c r="H19" s="17" t="n">
        <v>0</v>
      </c>
    </row>
    <row r="20" customFormat="false" ht="15" hidden="false" customHeight="false" outlineLevel="0" collapsed="false">
      <c r="A20" s="12" t="s">
        <v>1456</v>
      </c>
      <c r="B20" s="12" t="s">
        <v>1457</v>
      </c>
      <c r="C20" s="12" t="s">
        <v>1365</v>
      </c>
      <c r="D20" s="12" t="s">
        <v>7</v>
      </c>
      <c r="E20" s="12" t="s">
        <v>1458</v>
      </c>
      <c r="F20" s="12" t="s">
        <v>1459</v>
      </c>
      <c r="G20" s="12" t="s">
        <v>1460</v>
      </c>
      <c r="H20" s="17" t="n">
        <v>0</v>
      </c>
    </row>
    <row r="21" customFormat="false" ht="15" hidden="false" customHeight="false" outlineLevel="0" collapsed="false">
      <c r="A21" s="12" t="s">
        <v>1461</v>
      </c>
      <c r="B21" s="12" t="s">
        <v>1462</v>
      </c>
      <c r="C21" s="12" t="s">
        <v>1365</v>
      </c>
      <c r="D21" s="12" t="s">
        <v>7</v>
      </c>
      <c r="E21" s="12" t="s">
        <v>1463</v>
      </c>
      <c r="F21" s="12" t="s">
        <v>1097</v>
      </c>
      <c r="G21" s="12" t="s">
        <v>1464</v>
      </c>
      <c r="H21" s="17" t="n">
        <v>0</v>
      </c>
    </row>
    <row r="22" customFormat="false" ht="15" hidden="false" customHeight="false" outlineLevel="0" collapsed="false">
      <c r="A22" s="12" t="s">
        <v>1465</v>
      </c>
      <c r="B22" s="12" t="s">
        <v>1466</v>
      </c>
      <c r="C22" s="12" t="s">
        <v>1365</v>
      </c>
      <c r="D22" s="12" t="s">
        <v>1467</v>
      </c>
      <c r="E22" s="12" t="s">
        <v>1468</v>
      </c>
      <c r="F22" s="12" t="s">
        <v>1469</v>
      </c>
      <c r="G22" s="12" t="s">
        <v>1470</v>
      </c>
      <c r="H22" s="17" t="n">
        <v>0</v>
      </c>
    </row>
  </sheetData>
  <mergeCells count="2">
    <mergeCell ref="A2:N2"/>
    <mergeCell ref="A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6" min="4" style="0" width="8"/>
    <col collapsed="false" customWidth="true" hidden="false" outlineLevel="0" max="7" min="7" style="0" width="10"/>
    <col collapsed="false" customWidth="true" hidden="false" outlineLevel="0" max="9" min="8" style="0" width="8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5" min="14" style="0" width="12"/>
    <col collapsed="false" customWidth="true" hidden="false" outlineLevel="0" max="18" min="16" style="0" width="14"/>
    <col collapsed="false" customWidth="true" hidden="false" outlineLevel="0" max="19" min="19" style="0" width="12"/>
    <col collapsed="false" customWidth="true" hidden="false" outlineLevel="0" max="20" min="20" style="0" width="13"/>
    <col collapsed="false" customWidth="true" hidden="false" outlineLevel="0" max="21" min="21" style="0" width="12"/>
    <col collapsed="false" customWidth="true" hidden="false" outlineLevel="0" max="22" min="22" style="0" width="24"/>
    <col collapsed="false" customWidth="true" hidden="false" outlineLevel="0" max="23" min="23" style="0" width="20"/>
    <col collapsed="false" customWidth="true" hidden="false" outlineLevel="0" max="25" min="24" style="0" width="12"/>
    <col collapsed="false" customWidth="true" hidden="false" outlineLevel="0" max="26" min="26" style="0" width="13"/>
    <col collapsed="false" customWidth="true" hidden="false" outlineLevel="0" max="27" min="27" style="0" width="24"/>
    <col collapsed="false" customWidth="true" hidden="false" outlineLevel="0" max="28" min="28" style="0" width="20"/>
    <col collapsed="false" customWidth="true" hidden="false" outlineLevel="0" max="29" min="29" style="0" width="1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customFormat="false" ht="24" hidden="false" customHeight="true" outlineLevel="0" collapsed="false">
      <c r="A2" s="2" t="s">
        <v>1471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customFormat="false" ht="20" hidden="false" customHeight="true" outlineLevel="0" collapsed="false">
      <c r="A4" s="4" t="s">
        <v>1472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customFormat="false" ht="24" hidden="false" customHeight="true" outlineLevel="0" collapsed="false">
      <c r="A6" s="9" t="s">
        <v>1473</v>
      </c>
      <c r="B6" s="10" t="s">
        <v>1474</v>
      </c>
      <c r="C6" s="10" t="s">
        <v>1475</v>
      </c>
      <c r="D6" s="10" t="s">
        <v>1476</v>
      </c>
      <c r="E6" s="10" t="s">
        <v>1477</v>
      </c>
      <c r="F6" s="10" t="s">
        <v>1478</v>
      </c>
      <c r="G6" s="10" t="s">
        <v>265</v>
      </c>
      <c r="H6" s="10" t="s">
        <v>1479</v>
      </c>
      <c r="I6" s="10" t="s">
        <v>1119</v>
      </c>
      <c r="J6" s="10" t="s">
        <v>1480</v>
      </c>
      <c r="K6" s="10" t="s">
        <v>1481</v>
      </c>
      <c r="L6" s="10" t="s">
        <v>717</v>
      </c>
      <c r="M6" s="10" t="s">
        <v>1482</v>
      </c>
      <c r="N6" s="10" t="s">
        <v>1483</v>
      </c>
      <c r="O6" s="10" t="s">
        <v>1484</v>
      </c>
      <c r="P6" s="10" t="s">
        <v>1485</v>
      </c>
      <c r="Q6" s="10" t="s">
        <v>1486</v>
      </c>
      <c r="R6" s="10" t="s">
        <v>1487</v>
      </c>
      <c r="S6" s="10" t="s">
        <v>1488</v>
      </c>
      <c r="T6" s="10" t="s">
        <v>1489</v>
      </c>
      <c r="U6" s="10" t="s">
        <v>1490</v>
      </c>
      <c r="V6" s="10" t="s">
        <v>1491</v>
      </c>
      <c r="W6" s="10" t="s">
        <v>1492</v>
      </c>
      <c r="X6" s="10" t="s">
        <v>1493</v>
      </c>
      <c r="Y6" s="10" t="s">
        <v>1494</v>
      </c>
      <c r="Z6" s="10" t="s">
        <v>1495</v>
      </c>
      <c r="AA6" s="10" t="s">
        <v>1496</v>
      </c>
      <c r="AB6" s="10" t="s">
        <v>1497</v>
      </c>
      <c r="AC6" s="11" t="s">
        <v>1498</v>
      </c>
    </row>
    <row r="7" customFormat="false" ht="15" hidden="false" customHeight="false" outlineLevel="0" collapsed="false">
      <c r="A7" s="18" t="s">
        <v>1499</v>
      </c>
      <c r="B7" s="18" t="s">
        <v>1500</v>
      </c>
      <c r="C7" s="18" t="s">
        <v>1501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1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1</v>
      </c>
      <c r="V7" s="18" t="s">
        <v>1502</v>
      </c>
      <c r="W7" s="18" t="s">
        <v>1503</v>
      </c>
      <c r="X7" s="19" t="n">
        <f aca="false">IF(AND(D7=Inputs!$B$10,E7=1,F7=1,G7=Inputs!$B$15,H7=1,I7=1,J7=1,K7=0),1,0)</f>
        <v>0</v>
      </c>
      <c r="Y7" s="19" t="n">
        <f aca="false">IF(AND(X7=1,L7=1,M7=1,N7=1),1,0)</f>
        <v>0</v>
      </c>
      <c r="Z7" s="19" t="n">
        <f aca="false">IF(AND(Y7=1,O7=1,P7=1),1,0)</f>
        <v>0</v>
      </c>
      <c r="AA7" s="19" t="str">
        <f aca="false">IF(OR(J7=0,K7=1),"TERMINATED",IF(AND(X7=1,N7=1),"VALID",IF(X7=1,"ELIGIBLE / UNISSUED",IF(D7=Inputs!$B$10,"RECONSTRUCTION / HOLD",IF(D7&gt;0,"WORK / REWORK","OBLIGATED / OPEN")))))</f>
        <v>OBLIGATED / OPEN</v>
      </c>
      <c r="AB7" s="19" t="str">
        <f aca="false">IF(OR(Q7=1,R7=1,S7=1,T7=1,U7=0,J7=0,K7=1),"TERMINATED",IF(OR(AND(N7=1,X7=0),AND(O7=1,Y7=0),AND(P7=1,Z7=0)),"ROLLBACK","CONTROLLED"))</f>
        <v>CONTROLLED</v>
      </c>
      <c r="AC7" s="19" t="str">
        <f aca="false">IF(AND(AA7=V7,AB7=W7),"PASS","FAIL")</f>
        <v>PASS</v>
      </c>
    </row>
    <row r="8" customFormat="false" ht="15" hidden="false" customHeight="false" outlineLevel="0" collapsed="false">
      <c r="A8" s="18" t="s">
        <v>1504</v>
      </c>
      <c r="B8" s="18" t="s">
        <v>1500</v>
      </c>
      <c r="C8" s="18" t="s">
        <v>1505</v>
      </c>
      <c r="D8" s="18" t="n">
        <v>6</v>
      </c>
      <c r="E8" s="18" t="n">
        <v>0</v>
      </c>
      <c r="F8" s="18" t="n">
        <v>0</v>
      </c>
      <c r="G8" s="18" t="n">
        <v>0</v>
      </c>
      <c r="H8" s="18" t="n">
        <v>1</v>
      </c>
      <c r="I8" s="18" t="n">
        <v>1</v>
      </c>
      <c r="J8" s="18" t="n">
        <v>1</v>
      </c>
      <c r="K8" s="18" t="n">
        <v>0</v>
      </c>
      <c r="L8" s="18" t="n">
        <v>1</v>
      </c>
      <c r="M8" s="18" t="n">
        <v>1</v>
      </c>
      <c r="N8" s="18" t="n">
        <v>0</v>
      </c>
      <c r="O8" s="18" t="n">
        <v>0</v>
      </c>
      <c r="P8" s="18" t="n">
        <v>0</v>
      </c>
      <c r="Q8" s="18" t="n">
        <v>0</v>
      </c>
      <c r="R8" s="18" t="n">
        <v>0</v>
      </c>
      <c r="S8" s="18" t="n">
        <v>0</v>
      </c>
      <c r="T8" s="18" t="n">
        <v>0</v>
      </c>
      <c r="U8" s="18" t="n">
        <v>1</v>
      </c>
      <c r="V8" s="18" t="s">
        <v>1284</v>
      </c>
      <c r="W8" s="18" t="s">
        <v>1503</v>
      </c>
      <c r="X8" s="19" t="n">
        <f aca="false">IF(AND(D8=Inputs!$B$10,E8=1,F8=1,G8=Inputs!$B$15,H8=1,I8=1,J8=1,K8=0),1,0)</f>
        <v>0</v>
      </c>
      <c r="Y8" s="19" t="n">
        <f aca="false">IF(AND(X8=1,L8=1,M8=1,N8=1),1,0)</f>
        <v>0</v>
      </c>
      <c r="Z8" s="19" t="n">
        <f aca="false">IF(AND(Y8=1,O8=1,P8=1),1,0)</f>
        <v>0</v>
      </c>
      <c r="AA8" s="19" t="str">
        <f aca="false">IF(OR(J8=0,K8=1),"TERMINATED",IF(AND(X8=1,N8=1),"VALID",IF(X8=1,"ELIGIBLE / UNISSUED",IF(D8=Inputs!$B$10,"RECONSTRUCTION / HOLD",IF(D8&gt;0,"WORK / REWORK","OBLIGATED / OPEN")))))</f>
        <v>WORK / REWORK</v>
      </c>
      <c r="AB8" s="19" t="str">
        <f aca="false">IF(OR(Q8=1,R8=1,S8=1,T8=1,U8=0,J8=0,K8=1),"TERMINATED",IF(OR(AND(N8=1,X8=0),AND(O8=1,Y8=0),AND(P8=1,Z8=0)),"ROLLBACK","CONTROLLED"))</f>
        <v>CONTROLLED</v>
      </c>
      <c r="AC8" s="19" t="str">
        <f aca="false">IF(AND(AA8=V8,AB8=W8),"PASS","FAIL")</f>
        <v>PASS</v>
      </c>
    </row>
    <row r="9" customFormat="false" ht="15" hidden="false" customHeight="false" outlineLevel="0" collapsed="false">
      <c r="A9" s="18" t="s">
        <v>1506</v>
      </c>
      <c r="B9" s="18" t="s">
        <v>1500</v>
      </c>
      <c r="C9" s="18" t="s">
        <v>1507</v>
      </c>
      <c r="D9" s="18" t="n">
        <v>12</v>
      </c>
      <c r="E9" s="18" t="n">
        <v>0</v>
      </c>
      <c r="F9" s="18" t="n">
        <v>0</v>
      </c>
      <c r="G9" s="18" t="n">
        <v>0</v>
      </c>
      <c r="H9" s="18" t="n">
        <v>1</v>
      </c>
      <c r="I9" s="18" t="n">
        <v>1</v>
      </c>
      <c r="J9" s="18" t="n">
        <v>1</v>
      </c>
      <c r="K9" s="18" t="n">
        <v>0</v>
      </c>
      <c r="L9" s="18" t="n">
        <v>1</v>
      </c>
      <c r="M9" s="18" t="n">
        <v>1</v>
      </c>
      <c r="N9" s="18" t="n">
        <v>0</v>
      </c>
      <c r="O9" s="18" t="n">
        <v>0</v>
      </c>
      <c r="P9" s="18" t="n">
        <v>0</v>
      </c>
      <c r="Q9" s="18" t="n">
        <v>0</v>
      </c>
      <c r="R9" s="18" t="n">
        <v>0</v>
      </c>
      <c r="S9" s="18" t="n">
        <v>0</v>
      </c>
      <c r="T9" s="18" t="n">
        <v>0</v>
      </c>
      <c r="U9" s="18" t="n">
        <v>1</v>
      </c>
      <c r="V9" s="18" t="s">
        <v>1508</v>
      </c>
      <c r="W9" s="18" t="s">
        <v>1503</v>
      </c>
      <c r="X9" s="19" t="n">
        <f aca="false">IF(AND(D9=Inputs!$B$10,E9=1,F9=1,G9=Inputs!$B$15,H9=1,I9=1,J9=1,K9=0),1,0)</f>
        <v>0</v>
      </c>
      <c r="Y9" s="19" t="n">
        <f aca="false">IF(AND(X9=1,L9=1,M9=1,N9=1),1,0)</f>
        <v>0</v>
      </c>
      <c r="Z9" s="19" t="n">
        <f aca="false">IF(AND(Y9=1,O9=1,P9=1),1,0)</f>
        <v>0</v>
      </c>
      <c r="AA9" s="19" t="str">
        <f aca="false">IF(OR(J9=0,K9=1),"TERMINATED",IF(AND(X9=1,N9=1),"VALID",IF(X9=1,"ELIGIBLE / UNISSUED",IF(D9=Inputs!$B$10,"RECONSTRUCTION / HOLD",IF(D9&gt;0,"WORK / REWORK","OBLIGATED / OPEN")))))</f>
        <v>RECONSTRUCTION / HOLD</v>
      </c>
      <c r="AB9" s="19" t="str">
        <f aca="false">IF(OR(Q9=1,R9=1,S9=1,T9=1,U9=0,J9=0,K9=1),"TERMINATED",IF(OR(AND(N9=1,X9=0),AND(O9=1,Y9=0),AND(P9=1,Z9=0)),"ROLLBACK","CONTROLLED"))</f>
        <v>CONTROLLED</v>
      </c>
      <c r="AC9" s="19" t="str">
        <f aca="false">IF(AND(AA9=V9,AB9=W9),"PASS","FAIL")</f>
        <v>PASS</v>
      </c>
    </row>
    <row r="10" customFormat="false" ht="15" hidden="false" customHeight="false" outlineLevel="0" collapsed="false">
      <c r="A10" s="18" t="s">
        <v>1509</v>
      </c>
      <c r="B10" s="18" t="s">
        <v>1500</v>
      </c>
      <c r="C10" s="18" t="s">
        <v>1510</v>
      </c>
      <c r="D10" s="18" t="n">
        <v>12</v>
      </c>
      <c r="E10" s="18" t="n">
        <v>1</v>
      </c>
      <c r="F10" s="18" t="n">
        <v>0</v>
      </c>
      <c r="G10" s="18" t="n">
        <v>0</v>
      </c>
      <c r="H10" s="18" t="n">
        <v>1</v>
      </c>
      <c r="I10" s="18" t="n">
        <v>1</v>
      </c>
      <c r="J10" s="18" t="n">
        <v>1</v>
      </c>
      <c r="K10" s="18" t="n">
        <v>0</v>
      </c>
      <c r="L10" s="18" t="n">
        <v>1</v>
      </c>
      <c r="M10" s="18" t="n">
        <v>1</v>
      </c>
      <c r="N10" s="18" t="n">
        <v>0</v>
      </c>
      <c r="O10" s="18" t="n">
        <v>0</v>
      </c>
      <c r="P10" s="18" t="n">
        <v>0</v>
      </c>
      <c r="Q10" s="18" t="n">
        <v>0</v>
      </c>
      <c r="R10" s="18" t="n">
        <v>0</v>
      </c>
      <c r="S10" s="18" t="n">
        <v>0</v>
      </c>
      <c r="T10" s="18" t="n">
        <v>0</v>
      </c>
      <c r="U10" s="18" t="n">
        <v>1</v>
      </c>
      <c r="V10" s="18" t="s">
        <v>1508</v>
      </c>
      <c r="W10" s="18" t="s">
        <v>1503</v>
      </c>
      <c r="X10" s="19" t="n">
        <f aca="false">IF(AND(D10=Inputs!$B$10,E10=1,F10=1,G10=Inputs!$B$15,H10=1,I10=1,J10=1,K10=0),1,0)</f>
        <v>0</v>
      </c>
      <c r="Y10" s="19" t="n">
        <f aca="false">IF(AND(X10=1,L10=1,M10=1,N10=1),1,0)</f>
        <v>0</v>
      </c>
      <c r="Z10" s="19" t="n">
        <f aca="false">IF(AND(Y10=1,O10=1,P10=1),1,0)</f>
        <v>0</v>
      </c>
      <c r="AA10" s="19" t="str">
        <f aca="false">IF(OR(J10=0,K10=1),"TERMINATED",IF(AND(X10=1,N10=1),"VALID",IF(X10=1,"ELIGIBLE / UNISSUED",IF(D10=Inputs!$B$10,"RECONSTRUCTION / HOLD",IF(D10&gt;0,"WORK / REWORK","OBLIGATED / OPEN")))))</f>
        <v>RECONSTRUCTION / HOLD</v>
      </c>
      <c r="AB10" s="19" t="str">
        <f aca="false">IF(OR(Q10=1,R10=1,S10=1,T10=1,U10=0,J10=0,K10=1),"TERMINATED",IF(OR(AND(N10=1,X10=0),AND(O10=1,Y10=0),AND(P10=1,Z10=0)),"ROLLBACK","CONTROLLED"))</f>
        <v>CONTROLLED</v>
      </c>
      <c r="AC10" s="19" t="str">
        <f aca="false">IF(AND(AA10=V10,AB10=W10),"PASS","FAIL")</f>
        <v>PASS</v>
      </c>
    </row>
    <row r="11" customFormat="false" ht="15" hidden="false" customHeight="false" outlineLevel="0" collapsed="false">
      <c r="A11" s="18" t="s">
        <v>1511</v>
      </c>
      <c r="B11" s="18" t="s">
        <v>1500</v>
      </c>
      <c r="C11" s="18" t="s">
        <v>1512</v>
      </c>
      <c r="D11" s="18" t="n">
        <v>12</v>
      </c>
      <c r="E11" s="18" t="n">
        <v>1</v>
      </c>
      <c r="F11" s="18" t="n">
        <v>1</v>
      </c>
      <c r="G11" s="18" t="n">
        <v>5</v>
      </c>
      <c r="H11" s="18" t="n">
        <v>1</v>
      </c>
      <c r="I11" s="18" t="n">
        <v>1</v>
      </c>
      <c r="J11" s="18" t="n">
        <v>1</v>
      </c>
      <c r="K11" s="18" t="n">
        <v>0</v>
      </c>
      <c r="L11" s="18" t="n">
        <v>1</v>
      </c>
      <c r="M11" s="18" t="n">
        <v>1</v>
      </c>
      <c r="N11" s="18" t="n">
        <v>0</v>
      </c>
      <c r="O11" s="18" t="n">
        <v>0</v>
      </c>
      <c r="P11" s="18" t="n">
        <v>0</v>
      </c>
      <c r="Q11" s="18" t="n">
        <v>0</v>
      </c>
      <c r="R11" s="18" t="n">
        <v>0</v>
      </c>
      <c r="S11" s="18" t="n">
        <v>0</v>
      </c>
      <c r="T11" s="18" t="n">
        <v>0</v>
      </c>
      <c r="U11" s="18" t="n">
        <v>1</v>
      </c>
      <c r="V11" s="18" t="s">
        <v>1508</v>
      </c>
      <c r="W11" s="18" t="s">
        <v>1503</v>
      </c>
      <c r="X11" s="19" t="n">
        <f aca="false">IF(AND(D11=Inputs!$B$10,E11=1,F11=1,G11=Inputs!$B$15,H11=1,I11=1,J11=1,K11=0),1,0)</f>
        <v>0</v>
      </c>
      <c r="Y11" s="19" t="n">
        <f aca="false">IF(AND(X11=1,L11=1,M11=1,N11=1),1,0)</f>
        <v>0</v>
      </c>
      <c r="Z11" s="19" t="n">
        <f aca="false">IF(AND(Y11=1,O11=1,P11=1),1,0)</f>
        <v>0</v>
      </c>
      <c r="AA11" s="19" t="str">
        <f aca="false">IF(OR(J11=0,K11=1),"TERMINATED",IF(AND(X11=1,N11=1),"VALID",IF(X11=1,"ELIGIBLE / UNISSUED",IF(D11=Inputs!$B$10,"RECONSTRUCTION / HOLD",IF(D11&gt;0,"WORK / REWORK","OBLIGATED / OPEN")))))</f>
        <v>RECONSTRUCTION / HOLD</v>
      </c>
      <c r="AB11" s="19" t="str">
        <f aca="false">IF(OR(Q11=1,R11=1,S11=1,T11=1,U11=0,J11=0,K11=1),"TERMINATED",IF(OR(AND(N11=1,X11=0),AND(O11=1,Y11=0),AND(P11=1,Z11=0)),"ROLLBACK","CONTROLLED"))</f>
        <v>CONTROLLED</v>
      </c>
      <c r="AC11" s="19" t="str">
        <f aca="false">IF(AND(AA11=V11,AB11=W11),"PASS","FAIL")</f>
        <v>PASS</v>
      </c>
    </row>
    <row r="12" customFormat="false" ht="15" hidden="false" customHeight="false" outlineLevel="0" collapsed="false">
      <c r="A12" s="18" t="s">
        <v>1513</v>
      </c>
      <c r="B12" s="18" t="s">
        <v>1500</v>
      </c>
      <c r="C12" s="18" t="s">
        <v>1514</v>
      </c>
      <c r="D12" s="18" t="n">
        <v>12</v>
      </c>
      <c r="E12" s="18" t="n">
        <v>1</v>
      </c>
      <c r="F12" s="18" t="n">
        <v>1</v>
      </c>
      <c r="G12" s="18" t="n">
        <v>6</v>
      </c>
      <c r="H12" s="18" t="n">
        <v>1</v>
      </c>
      <c r="I12" s="18" t="n">
        <v>1</v>
      </c>
      <c r="J12" s="18" t="n">
        <v>1</v>
      </c>
      <c r="K12" s="18" t="n">
        <v>0</v>
      </c>
      <c r="L12" s="18" t="n">
        <v>1</v>
      </c>
      <c r="M12" s="18" t="n">
        <v>1</v>
      </c>
      <c r="N12" s="18" t="n">
        <v>0</v>
      </c>
      <c r="O12" s="18" t="n">
        <v>0</v>
      </c>
      <c r="P12" s="18" t="n">
        <v>0</v>
      </c>
      <c r="Q12" s="18" t="n">
        <v>0</v>
      </c>
      <c r="R12" s="18" t="n">
        <v>0</v>
      </c>
      <c r="S12" s="18" t="n">
        <v>0</v>
      </c>
      <c r="T12" s="18" t="n">
        <v>0</v>
      </c>
      <c r="U12" s="18" t="n">
        <v>1</v>
      </c>
      <c r="V12" s="18" t="s">
        <v>1515</v>
      </c>
      <c r="W12" s="18" t="s">
        <v>1503</v>
      </c>
      <c r="X12" s="19" t="n">
        <f aca="false">IF(AND(D12=Inputs!$B$10,E12=1,F12=1,G12=Inputs!$B$15,H12=1,I12=1,J12=1,K12=0),1,0)</f>
        <v>1</v>
      </c>
      <c r="Y12" s="19" t="n">
        <f aca="false">IF(AND(X12=1,L12=1,M12=1,N12=1),1,0)</f>
        <v>0</v>
      </c>
      <c r="Z12" s="19" t="n">
        <f aca="false">IF(AND(Y12=1,O12=1,P12=1),1,0)</f>
        <v>0</v>
      </c>
      <c r="AA12" s="19" t="str">
        <f aca="false">IF(OR(J12=0,K12=1),"TERMINATED",IF(AND(X12=1,N12=1),"VALID",IF(X12=1,"ELIGIBLE / UNISSUED",IF(D12=Inputs!$B$10,"RECONSTRUCTION / HOLD",IF(D12&gt;0,"WORK / REWORK","OBLIGATED / OPEN")))))</f>
        <v>ELIGIBLE / UNISSUED</v>
      </c>
      <c r="AB12" s="19" t="str">
        <f aca="false">IF(OR(Q12=1,R12=1,S12=1,T12=1,U12=0,J12=0,K12=1),"TERMINATED",IF(OR(AND(N12=1,X12=0),AND(O12=1,Y12=0),AND(P12=1,Z12=0)),"ROLLBACK","CONTROLLED"))</f>
        <v>CONTROLLED</v>
      </c>
      <c r="AC12" s="19" t="str">
        <f aca="false">IF(AND(AA12=V12,AB12=W12),"PASS","FAIL")</f>
        <v>PASS</v>
      </c>
    </row>
    <row r="13" customFormat="false" ht="15" hidden="false" customHeight="false" outlineLevel="0" collapsed="false">
      <c r="A13" s="18" t="s">
        <v>1516</v>
      </c>
      <c r="B13" s="18" t="s">
        <v>1500</v>
      </c>
      <c r="C13" s="18" t="s">
        <v>1517</v>
      </c>
      <c r="D13" s="18" t="n">
        <v>12</v>
      </c>
      <c r="E13" s="18" t="n">
        <v>1</v>
      </c>
      <c r="F13" s="18" t="n">
        <v>1</v>
      </c>
      <c r="G13" s="18" t="n">
        <v>6</v>
      </c>
      <c r="H13" s="18" t="n">
        <v>1</v>
      </c>
      <c r="I13" s="18" t="n">
        <v>1</v>
      </c>
      <c r="J13" s="18" t="n">
        <v>1</v>
      </c>
      <c r="K13" s="18" t="n">
        <v>0</v>
      </c>
      <c r="L13" s="18" t="n">
        <v>1</v>
      </c>
      <c r="M13" s="18" t="n">
        <v>1</v>
      </c>
      <c r="N13" s="18" t="n">
        <v>1</v>
      </c>
      <c r="O13" s="18" t="n">
        <v>0</v>
      </c>
      <c r="P13" s="18" t="n">
        <v>0</v>
      </c>
      <c r="Q13" s="18" t="n">
        <v>0</v>
      </c>
      <c r="R13" s="18" t="n">
        <v>0</v>
      </c>
      <c r="S13" s="18" t="n">
        <v>0</v>
      </c>
      <c r="T13" s="18" t="n">
        <v>0</v>
      </c>
      <c r="U13" s="18" t="n">
        <v>1</v>
      </c>
      <c r="V13" s="18" t="s">
        <v>1518</v>
      </c>
      <c r="W13" s="18" t="s">
        <v>1503</v>
      </c>
      <c r="X13" s="19" t="n">
        <f aca="false">IF(AND(D13=Inputs!$B$10,E13=1,F13=1,G13=Inputs!$B$15,H13=1,I13=1,J13=1,K13=0),1,0)</f>
        <v>1</v>
      </c>
      <c r="Y13" s="19" t="n">
        <f aca="false">IF(AND(X13=1,L13=1,M13=1,N13=1),1,0)</f>
        <v>1</v>
      </c>
      <c r="Z13" s="19" t="n">
        <f aca="false">IF(AND(Y13=1,O13=1,P13=1),1,0)</f>
        <v>0</v>
      </c>
      <c r="AA13" s="19" t="str">
        <f aca="false">IF(OR(J13=0,K13=1),"TERMINATED",IF(AND(X13=1,N13=1),"VALID",IF(X13=1,"ELIGIBLE / UNISSUED",IF(D13=Inputs!$B$10,"RECONSTRUCTION / HOLD",IF(D13&gt;0,"WORK / REWORK","OBLIGATED / OPEN")))))</f>
        <v>VALID</v>
      </c>
      <c r="AB13" s="19" t="str">
        <f aca="false">IF(OR(Q13=1,R13=1,S13=1,T13=1,U13=0,J13=0,K13=1),"TERMINATED",IF(OR(AND(N13=1,X13=0),AND(O13=1,Y13=0),AND(P13=1,Z13=0)),"ROLLBACK","CONTROLLED"))</f>
        <v>CONTROLLED</v>
      </c>
      <c r="AC13" s="19" t="str">
        <f aca="false">IF(AND(AA13=V13,AB13=W13),"PASS","FAIL")</f>
        <v>PASS</v>
      </c>
    </row>
    <row r="14" customFormat="false" ht="15" hidden="false" customHeight="false" outlineLevel="0" collapsed="false">
      <c r="A14" s="18" t="s">
        <v>1519</v>
      </c>
      <c r="B14" s="18" t="s">
        <v>1500</v>
      </c>
      <c r="C14" s="18" t="s">
        <v>1520</v>
      </c>
      <c r="D14" s="18" t="n">
        <v>12</v>
      </c>
      <c r="E14" s="18" t="n">
        <v>1</v>
      </c>
      <c r="F14" s="18" t="n">
        <v>1</v>
      </c>
      <c r="G14" s="18" t="n">
        <v>6</v>
      </c>
      <c r="H14" s="18" t="n">
        <v>1</v>
      </c>
      <c r="I14" s="18" t="n">
        <v>1</v>
      </c>
      <c r="J14" s="18" t="n">
        <v>1</v>
      </c>
      <c r="K14" s="18" t="n">
        <v>0</v>
      </c>
      <c r="L14" s="18" t="n">
        <v>1</v>
      </c>
      <c r="M14" s="18" t="n">
        <v>1</v>
      </c>
      <c r="N14" s="18" t="n">
        <v>1</v>
      </c>
      <c r="O14" s="18" t="n">
        <v>1</v>
      </c>
      <c r="P14" s="18" t="n">
        <v>1</v>
      </c>
      <c r="Q14" s="18" t="n">
        <v>0</v>
      </c>
      <c r="R14" s="18" t="n">
        <v>0</v>
      </c>
      <c r="S14" s="18" t="n">
        <v>0</v>
      </c>
      <c r="T14" s="18" t="n">
        <v>0</v>
      </c>
      <c r="U14" s="18" t="n">
        <v>1</v>
      </c>
      <c r="V14" s="18" t="s">
        <v>1518</v>
      </c>
      <c r="W14" s="18" t="s">
        <v>1503</v>
      </c>
      <c r="X14" s="19" t="n">
        <f aca="false">IF(AND(D14=Inputs!$B$10,E14=1,F14=1,G14=Inputs!$B$15,H14=1,I14=1,J14=1,K14=0),1,0)</f>
        <v>1</v>
      </c>
      <c r="Y14" s="19" t="n">
        <f aca="false">IF(AND(X14=1,L14=1,M14=1,N14=1),1,0)</f>
        <v>1</v>
      </c>
      <c r="Z14" s="19" t="n">
        <f aca="false">IF(AND(Y14=1,O14=1,P14=1),1,0)</f>
        <v>1</v>
      </c>
      <c r="AA14" s="19" t="str">
        <f aca="false">IF(OR(J14=0,K14=1),"TERMINATED",IF(AND(X14=1,N14=1),"VALID",IF(X14=1,"ELIGIBLE / UNISSUED",IF(D14=Inputs!$B$10,"RECONSTRUCTION / HOLD",IF(D14&gt;0,"WORK / REWORK","OBLIGATED / OPEN")))))</f>
        <v>VALID</v>
      </c>
      <c r="AB14" s="19" t="str">
        <f aca="false">IF(OR(Q14=1,R14=1,S14=1,T14=1,U14=0,J14=0,K14=1),"TERMINATED",IF(OR(AND(N14=1,X14=0),AND(O14=1,Y14=0),AND(P14=1,Z14=0)),"ROLLBACK","CONTROLLED"))</f>
        <v>CONTROLLED</v>
      </c>
      <c r="AC14" s="19" t="str">
        <f aca="false">IF(AND(AA14=V14,AB14=W14),"PASS","FAIL")</f>
        <v>PASS</v>
      </c>
    </row>
    <row r="15" customFormat="false" ht="15" hidden="false" customHeight="false" outlineLevel="0" collapsed="false">
      <c r="A15" s="18" t="s">
        <v>1521</v>
      </c>
      <c r="B15" s="18" t="s">
        <v>1522</v>
      </c>
      <c r="C15" s="18" t="s">
        <v>1523</v>
      </c>
      <c r="D15" s="18" t="n">
        <v>11</v>
      </c>
      <c r="E15" s="18" t="n">
        <v>1</v>
      </c>
      <c r="F15" s="18" t="n">
        <v>1</v>
      </c>
      <c r="G15" s="18" t="n">
        <v>6</v>
      </c>
      <c r="H15" s="18" t="n">
        <v>1</v>
      </c>
      <c r="I15" s="18" t="n">
        <v>1</v>
      </c>
      <c r="J15" s="18" t="n">
        <v>1</v>
      </c>
      <c r="K15" s="18" t="n">
        <v>0</v>
      </c>
      <c r="L15" s="18" t="n">
        <v>1</v>
      </c>
      <c r="M15" s="18" t="n">
        <v>1</v>
      </c>
      <c r="N15" s="18" t="n">
        <v>1</v>
      </c>
      <c r="O15" s="18" t="n">
        <v>0</v>
      </c>
      <c r="P15" s="18" t="n">
        <v>0</v>
      </c>
      <c r="Q15" s="18" t="n">
        <v>0</v>
      </c>
      <c r="R15" s="18" t="n">
        <v>0</v>
      </c>
      <c r="S15" s="18" t="n">
        <v>0</v>
      </c>
      <c r="T15" s="18" t="n">
        <v>0</v>
      </c>
      <c r="U15" s="18" t="n">
        <v>1</v>
      </c>
      <c r="V15" s="18" t="s">
        <v>1284</v>
      </c>
      <c r="W15" s="18" t="s">
        <v>1524</v>
      </c>
      <c r="X15" s="19" t="n">
        <f aca="false">IF(AND(D15=Inputs!$B$10,E15=1,F15=1,G15=Inputs!$B$15,H15=1,I15=1,J15=1,K15=0),1,0)</f>
        <v>0</v>
      </c>
      <c r="Y15" s="19" t="n">
        <f aca="false">IF(AND(X15=1,L15=1,M15=1,N15=1),1,0)</f>
        <v>0</v>
      </c>
      <c r="Z15" s="19" t="n">
        <f aca="false">IF(AND(Y15=1,O15=1,P15=1),1,0)</f>
        <v>0</v>
      </c>
      <c r="AA15" s="19" t="str">
        <f aca="false">IF(OR(J15=0,K15=1),"TERMINATED",IF(AND(X15=1,N15=1),"VALID",IF(X15=1,"ELIGIBLE / UNISSUED",IF(D15=Inputs!$B$10,"RECONSTRUCTION / HOLD",IF(D15&gt;0,"WORK / REWORK","OBLIGATED / OPEN")))))</f>
        <v>WORK / REWORK</v>
      </c>
      <c r="AB15" s="19" t="str">
        <f aca="false">IF(OR(Q15=1,R15=1,S15=1,T15=1,U15=0,J15=0,K15=1),"TERMINATED",IF(OR(AND(N15=1,X15=0),AND(O15=1,Y15=0),AND(P15=1,Z15=0)),"ROLLBACK","CONTROLLED"))</f>
        <v>ROLLBACK</v>
      </c>
      <c r="AC15" s="19" t="str">
        <f aca="false">IF(AND(AA15=V15,AB15=W15),"PASS","FAIL")</f>
        <v>PASS</v>
      </c>
    </row>
    <row r="16" customFormat="false" ht="15" hidden="false" customHeight="false" outlineLevel="0" collapsed="false">
      <c r="A16" s="18" t="s">
        <v>1525</v>
      </c>
      <c r="B16" s="18" t="s">
        <v>1522</v>
      </c>
      <c r="C16" s="18" t="s">
        <v>1526</v>
      </c>
      <c r="D16" s="18" t="n">
        <v>12</v>
      </c>
      <c r="E16" s="18" t="n">
        <v>0</v>
      </c>
      <c r="F16" s="18" t="n">
        <v>1</v>
      </c>
      <c r="G16" s="18" t="n">
        <v>6</v>
      </c>
      <c r="H16" s="18" t="n">
        <v>1</v>
      </c>
      <c r="I16" s="18" t="n">
        <v>1</v>
      </c>
      <c r="J16" s="18" t="n">
        <v>1</v>
      </c>
      <c r="K16" s="18" t="n">
        <v>0</v>
      </c>
      <c r="L16" s="18" t="n">
        <v>1</v>
      </c>
      <c r="M16" s="18" t="n">
        <v>1</v>
      </c>
      <c r="N16" s="18" t="n">
        <v>1</v>
      </c>
      <c r="O16" s="18" t="n">
        <v>0</v>
      </c>
      <c r="P16" s="18" t="n">
        <v>0</v>
      </c>
      <c r="Q16" s="18" t="n">
        <v>0</v>
      </c>
      <c r="R16" s="18" t="n">
        <v>0</v>
      </c>
      <c r="S16" s="18" t="n">
        <v>0</v>
      </c>
      <c r="T16" s="18" t="n">
        <v>0</v>
      </c>
      <c r="U16" s="18" t="n">
        <v>1</v>
      </c>
      <c r="V16" s="18" t="s">
        <v>1508</v>
      </c>
      <c r="W16" s="18" t="s">
        <v>1524</v>
      </c>
      <c r="X16" s="19" t="n">
        <f aca="false">IF(AND(D16=Inputs!$B$10,E16=1,F16=1,G16=Inputs!$B$15,H16=1,I16=1,J16=1,K16=0),1,0)</f>
        <v>0</v>
      </c>
      <c r="Y16" s="19" t="n">
        <f aca="false">IF(AND(X16=1,L16=1,M16=1,N16=1),1,0)</f>
        <v>0</v>
      </c>
      <c r="Z16" s="19" t="n">
        <f aca="false">IF(AND(Y16=1,O16=1,P16=1),1,0)</f>
        <v>0</v>
      </c>
      <c r="AA16" s="19" t="str">
        <f aca="false">IF(OR(J16=0,K16=1),"TERMINATED",IF(AND(X16=1,N16=1),"VALID",IF(X16=1,"ELIGIBLE / UNISSUED",IF(D16=Inputs!$B$10,"RECONSTRUCTION / HOLD",IF(D16&gt;0,"WORK / REWORK","OBLIGATED / OPEN")))))</f>
        <v>RECONSTRUCTION / HOLD</v>
      </c>
      <c r="AB16" s="19" t="str">
        <f aca="false">IF(OR(Q16=1,R16=1,S16=1,T16=1,U16=0,J16=0,K16=1),"TERMINATED",IF(OR(AND(N16=1,X16=0),AND(O16=1,Y16=0),AND(P16=1,Z16=0)),"ROLLBACK","CONTROLLED"))</f>
        <v>ROLLBACK</v>
      </c>
      <c r="AC16" s="19" t="str">
        <f aca="false">IF(AND(AA16=V16,AB16=W16),"PASS","FAIL")</f>
        <v>PASS</v>
      </c>
    </row>
    <row r="17" customFormat="false" ht="15" hidden="false" customHeight="false" outlineLevel="0" collapsed="false">
      <c r="A17" s="18" t="s">
        <v>1527</v>
      </c>
      <c r="B17" s="18" t="s">
        <v>1522</v>
      </c>
      <c r="C17" s="18" t="s">
        <v>1528</v>
      </c>
      <c r="D17" s="18" t="n">
        <v>12</v>
      </c>
      <c r="E17" s="18" t="n">
        <v>1</v>
      </c>
      <c r="F17" s="18" t="n">
        <v>0</v>
      </c>
      <c r="G17" s="18" t="n">
        <v>6</v>
      </c>
      <c r="H17" s="18" t="n">
        <v>1</v>
      </c>
      <c r="I17" s="18" t="n">
        <v>1</v>
      </c>
      <c r="J17" s="18" t="n">
        <v>1</v>
      </c>
      <c r="K17" s="18" t="n">
        <v>0</v>
      </c>
      <c r="L17" s="18" t="n">
        <v>1</v>
      </c>
      <c r="M17" s="18" t="n">
        <v>1</v>
      </c>
      <c r="N17" s="18" t="n">
        <v>1</v>
      </c>
      <c r="O17" s="18" t="n">
        <v>0</v>
      </c>
      <c r="P17" s="18" t="n">
        <v>0</v>
      </c>
      <c r="Q17" s="18" t="n">
        <v>0</v>
      </c>
      <c r="R17" s="18" t="n">
        <v>0</v>
      </c>
      <c r="S17" s="18" t="n">
        <v>0</v>
      </c>
      <c r="T17" s="18" t="n">
        <v>0</v>
      </c>
      <c r="U17" s="18" t="n">
        <v>1</v>
      </c>
      <c r="V17" s="18" t="s">
        <v>1508</v>
      </c>
      <c r="W17" s="18" t="s">
        <v>1524</v>
      </c>
      <c r="X17" s="19" t="n">
        <f aca="false">IF(AND(D17=Inputs!$B$10,E17=1,F17=1,G17=Inputs!$B$15,H17=1,I17=1,J17=1,K17=0),1,0)</f>
        <v>0</v>
      </c>
      <c r="Y17" s="19" t="n">
        <f aca="false">IF(AND(X17=1,L17=1,M17=1,N17=1),1,0)</f>
        <v>0</v>
      </c>
      <c r="Z17" s="19" t="n">
        <f aca="false">IF(AND(Y17=1,O17=1,P17=1),1,0)</f>
        <v>0</v>
      </c>
      <c r="AA17" s="19" t="str">
        <f aca="false">IF(OR(J17=0,K17=1),"TERMINATED",IF(AND(X17=1,N17=1),"VALID",IF(X17=1,"ELIGIBLE / UNISSUED",IF(D17=Inputs!$B$10,"RECONSTRUCTION / HOLD",IF(D17&gt;0,"WORK / REWORK","OBLIGATED / OPEN")))))</f>
        <v>RECONSTRUCTION / HOLD</v>
      </c>
      <c r="AB17" s="19" t="str">
        <f aca="false">IF(OR(Q17=1,R17=1,S17=1,T17=1,U17=0,J17=0,K17=1),"TERMINATED",IF(OR(AND(N17=1,X17=0),AND(O17=1,Y17=0),AND(P17=1,Z17=0)),"ROLLBACK","CONTROLLED"))</f>
        <v>ROLLBACK</v>
      </c>
      <c r="AC17" s="19" t="str">
        <f aca="false">IF(AND(AA17=V17,AB17=W17),"PASS","FAIL")</f>
        <v>PASS</v>
      </c>
    </row>
    <row r="18" customFormat="false" ht="15" hidden="false" customHeight="false" outlineLevel="0" collapsed="false">
      <c r="A18" s="18" t="s">
        <v>1529</v>
      </c>
      <c r="B18" s="18" t="s">
        <v>1522</v>
      </c>
      <c r="C18" s="18" t="s">
        <v>1530</v>
      </c>
      <c r="D18" s="18" t="n">
        <v>12</v>
      </c>
      <c r="E18" s="18" t="n">
        <v>1</v>
      </c>
      <c r="F18" s="18" t="n">
        <v>1</v>
      </c>
      <c r="G18" s="18" t="n">
        <v>5</v>
      </c>
      <c r="H18" s="18" t="n">
        <v>1</v>
      </c>
      <c r="I18" s="18" t="n">
        <v>1</v>
      </c>
      <c r="J18" s="18" t="n">
        <v>1</v>
      </c>
      <c r="K18" s="18" t="n">
        <v>0</v>
      </c>
      <c r="L18" s="18" t="n">
        <v>1</v>
      </c>
      <c r="M18" s="18" t="n">
        <v>1</v>
      </c>
      <c r="N18" s="18" t="n">
        <v>1</v>
      </c>
      <c r="O18" s="18" t="n">
        <v>0</v>
      </c>
      <c r="P18" s="18" t="n">
        <v>0</v>
      </c>
      <c r="Q18" s="18" t="n">
        <v>0</v>
      </c>
      <c r="R18" s="18" t="n">
        <v>0</v>
      </c>
      <c r="S18" s="18" t="n">
        <v>0</v>
      </c>
      <c r="T18" s="18" t="n">
        <v>0</v>
      </c>
      <c r="U18" s="18" t="n">
        <v>1</v>
      </c>
      <c r="V18" s="18" t="s">
        <v>1508</v>
      </c>
      <c r="W18" s="18" t="s">
        <v>1524</v>
      </c>
      <c r="X18" s="19" t="n">
        <f aca="false">IF(AND(D18=Inputs!$B$10,E18=1,F18=1,G18=Inputs!$B$15,H18=1,I18=1,J18=1,K18=0),1,0)</f>
        <v>0</v>
      </c>
      <c r="Y18" s="19" t="n">
        <f aca="false">IF(AND(X18=1,L18=1,M18=1,N18=1),1,0)</f>
        <v>0</v>
      </c>
      <c r="Z18" s="19" t="n">
        <f aca="false">IF(AND(Y18=1,O18=1,P18=1),1,0)</f>
        <v>0</v>
      </c>
      <c r="AA18" s="19" t="str">
        <f aca="false">IF(OR(J18=0,K18=1),"TERMINATED",IF(AND(X18=1,N18=1),"VALID",IF(X18=1,"ELIGIBLE / UNISSUED",IF(D18=Inputs!$B$10,"RECONSTRUCTION / HOLD",IF(D18&gt;0,"WORK / REWORK","OBLIGATED / OPEN")))))</f>
        <v>RECONSTRUCTION / HOLD</v>
      </c>
      <c r="AB18" s="19" t="str">
        <f aca="false">IF(OR(Q18=1,R18=1,S18=1,T18=1,U18=0,J18=0,K18=1),"TERMINATED",IF(OR(AND(N18=1,X18=0),AND(O18=1,Y18=0),AND(P18=1,Z18=0)),"ROLLBACK","CONTROLLED"))</f>
        <v>ROLLBACK</v>
      </c>
      <c r="AC18" s="19" t="str">
        <f aca="false">IF(AND(AA18=V18,AB18=W18),"PASS","FAIL")</f>
        <v>PASS</v>
      </c>
    </row>
    <row r="19" customFormat="false" ht="15" hidden="false" customHeight="false" outlineLevel="0" collapsed="false">
      <c r="A19" s="18" t="s">
        <v>1531</v>
      </c>
      <c r="B19" s="18" t="s">
        <v>1532</v>
      </c>
      <c r="C19" s="18" t="s">
        <v>1533</v>
      </c>
      <c r="D19" s="18" t="n">
        <v>12</v>
      </c>
      <c r="E19" s="18" t="n">
        <v>1</v>
      </c>
      <c r="F19" s="18" t="n">
        <v>1</v>
      </c>
      <c r="G19" s="18" t="n">
        <v>6</v>
      </c>
      <c r="H19" s="18" t="n">
        <v>0</v>
      </c>
      <c r="I19" s="18" t="n">
        <v>1</v>
      </c>
      <c r="J19" s="18" t="n">
        <v>1</v>
      </c>
      <c r="K19" s="18" t="n">
        <v>0</v>
      </c>
      <c r="L19" s="18" t="n">
        <v>1</v>
      </c>
      <c r="M19" s="18" t="n">
        <v>1</v>
      </c>
      <c r="N19" s="18" t="n">
        <v>1</v>
      </c>
      <c r="O19" s="18" t="n">
        <v>0</v>
      </c>
      <c r="P19" s="18" t="n">
        <v>0</v>
      </c>
      <c r="Q19" s="18" t="n">
        <v>0</v>
      </c>
      <c r="R19" s="18" t="n">
        <v>0</v>
      </c>
      <c r="S19" s="18" t="n">
        <v>0</v>
      </c>
      <c r="T19" s="18" t="n">
        <v>0</v>
      </c>
      <c r="U19" s="18" t="n">
        <v>1</v>
      </c>
      <c r="V19" s="18" t="s">
        <v>1508</v>
      </c>
      <c r="W19" s="18" t="s">
        <v>1524</v>
      </c>
      <c r="X19" s="19" t="n">
        <f aca="false">IF(AND(D19=Inputs!$B$10,E19=1,F19=1,G19=Inputs!$B$15,H19=1,I19=1,J19=1,K19=0),1,0)</f>
        <v>0</v>
      </c>
      <c r="Y19" s="19" t="n">
        <f aca="false">IF(AND(X19=1,L19=1,M19=1,N19=1),1,0)</f>
        <v>0</v>
      </c>
      <c r="Z19" s="19" t="n">
        <f aca="false">IF(AND(Y19=1,O19=1,P19=1),1,0)</f>
        <v>0</v>
      </c>
      <c r="AA19" s="19" t="str">
        <f aca="false">IF(OR(J19=0,K19=1),"TERMINATED",IF(AND(X19=1,N19=1),"VALID",IF(X19=1,"ELIGIBLE / UNISSUED",IF(D19=Inputs!$B$10,"RECONSTRUCTION / HOLD",IF(D19&gt;0,"WORK / REWORK","OBLIGATED / OPEN")))))</f>
        <v>RECONSTRUCTION / HOLD</v>
      </c>
      <c r="AB19" s="19" t="str">
        <f aca="false">IF(OR(Q19=1,R19=1,S19=1,T19=1,U19=0,J19=0,K19=1),"TERMINATED",IF(OR(AND(N19=1,X19=0),AND(O19=1,Y19=0),AND(P19=1,Z19=0)),"ROLLBACK","CONTROLLED"))</f>
        <v>ROLLBACK</v>
      </c>
      <c r="AC19" s="19" t="str">
        <f aca="false">IF(AND(AA19=V19,AB19=W19),"PASS","FAIL")</f>
        <v>PASS</v>
      </c>
    </row>
    <row r="20" customFormat="false" ht="15" hidden="false" customHeight="false" outlineLevel="0" collapsed="false">
      <c r="A20" s="18" t="s">
        <v>1534</v>
      </c>
      <c r="B20" s="18" t="s">
        <v>1532</v>
      </c>
      <c r="C20" s="18" t="s">
        <v>1535</v>
      </c>
      <c r="D20" s="18" t="n">
        <v>12</v>
      </c>
      <c r="E20" s="18" t="n">
        <v>1</v>
      </c>
      <c r="F20" s="18" t="n">
        <v>1</v>
      </c>
      <c r="G20" s="18" t="n">
        <v>6</v>
      </c>
      <c r="H20" s="18" t="n">
        <v>1</v>
      </c>
      <c r="I20" s="18" t="n">
        <v>0</v>
      </c>
      <c r="J20" s="18" t="n">
        <v>1</v>
      </c>
      <c r="K20" s="18" t="n">
        <v>0</v>
      </c>
      <c r="L20" s="18" t="n">
        <v>1</v>
      </c>
      <c r="M20" s="18" t="n">
        <v>1</v>
      </c>
      <c r="N20" s="18" t="n">
        <v>1</v>
      </c>
      <c r="O20" s="18" t="n">
        <v>0</v>
      </c>
      <c r="P20" s="18" t="n">
        <v>0</v>
      </c>
      <c r="Q20" s="18" t="n">
        <v>0</v>
      </c>
      <c r="R20" s="18" t="n">
        <v>0</v>
      </c>
      <c r="S20" s="18" t="n">
        <v>0</v>
      </c>
      <c r="T20" s="18" t="n">
        <v>0</v>
      </c>
      <c r="U20" s="18" t="n">
        <v>1</v>
      </c>
      <c r="V20" s="18" t="s">
        <v>1508</v>
      </c>
      <c r="W20" s="18" t="s">
        <v>1524</v>
      </c>
      <c r="X20" s="19" t="n">
        <f aca="false">IF(AND(D20=Inputs!$B$10,E20=1,F20=1,G20=Inputs!$B$15,H20=1,I20=1,J20=1,K20=0),1,0)</f>
        <v>0</v>
      </c>
      <c r="Y20" s="19" t="n">
        <f aca="false">IF(AND(X20=1,L20=1,M20=1,N20=1),1,0)</f>
        <v>0</v>
      </c>
      <c r="Z20" s="19" t="n">
        <f aca="false">IF(AND(Y20=1,O20=1,P20=1),1,0)</f>
        <v>0</v>
      </c>
      <c r="AA20" s="19" t="str">
        <f aca="false">IF(OR(J20=0,K20=1),"TERMINATED",IF(AND(X20=1,N20=1),"VALID",IF(X20=1,"ELIGIBLE / UNISSUED",IF(D20=Inputs!$B$10,"RECONSTRUCTION / HOLD",IF(D20&gt;0,"WORK / REWORK","OBLIGATED / OPEN")))))</f>
        <v>RECONSTRUCTION / HOLD</v>
      </c>
      <c r="AB20" s="19" t="str">
        <f aca="false">IF(OR(Q20=1,R20=1,S20=1,T20=1,U20=0,J20=0,K20=1),"TERMINATED",IF(OR(AND(N20=1,X20=0),AND(O20=1,Y20=0),AND(P20=1,Z20=0)),"ROLLBACK","CONTROLLED"))</f>
        <v>ROLLBACK</v>
      </c>
      <c r="AC20" s="19" t="str">
        <f aca="false">IF(AND(AA20=V20,AB20=W20),"PASS","FAIL")</f>
        <v>PASS</v>
      </c>
    </row>
    <row r="21" customFormat="false" ht="15" hidden="false" customHeight="false" outlineLevel="0" collapsed="false">
      <c r="A21" s="18" t="s">
        <v>1536</v>
      </c>
      <c r="B21" s="18" t="s">
        <v>1537</v>
      </c>
      <c r="C21" s="18" t="s">
        <v>1310</v>
      </c>
      <c r="D21" s="18" t="n">
        <v>12</v>
      </c>
      <c r="E21" s="18" t="n">
        <v>1</v>
      </c>
      <c r="F21" s="18" t="n">
        <v>1</v>
      </c>
      <c r="G21" s="18" t="n">
        <v>6</v>
      </c>
      <c r="H21" s="18" t="n">
        <v>1</v>
      </c>
      <c r="I21" s="18" t="n">
        <v>1</v>
      </c>
      <c r="J21" s="18" t="n">
        <v>0</v>
      </c>
      <c r="K21" s="18" t="n">
        <v>0</v>
      </c>
      <c r="L21" s="18" t="n">
        <v>1</v>
      </c>
      <c r="M21" s="18" t="n">
        <v>1</v>
      </c>
      <c r="N21" s="18" t="n">
        <v>0</v>
      </c>
      <c r="O21" s="18" t="n">
        <v>0</v>
      </c>
      <c r="P21" s="18" t="n">
        <v>0</v>
      </c>
      <c r="Q21" s="18" t="n">
        <v>0</v>
      </c>
      <c r="R21" s="18" t="n">
        <v>0</v>
      </c>
      <c r="S21" s="18" t="n">
        <v>0</v>
      </c>
      <c r="T21" s="18" t="n">
        <v>0</v>
      </c>
      <c r="U21" s="18" t="n">
        <v>1</v>
      </c>
      <c r="V21" s="18" t="s">
        <v>1312</v>
      </c>
      <c r="W21" s="18" t="s">
        <v>1312</v>
      </c>
      <c r="X21" s="19" t="n">
        <f aca="false">IF(AND(D21=Inputs!$B$10,E21=1,F21=1,G21=Inputs!$B$15,H21=1,I21=1,J21=1,K21=0),1,0)</f>
        <v>0</v>
      </c>
      <c r="Y21" s="19" t="n">
        <f aca="false">IF(AND(X21=1,L21=1,M21=1,N21=1),1,0)</f>
        <v>0</v>
      </c>
      <c r="Z21" s="19" t="n">
        <f aca="false">IF(AND(Y21=1,O21=1,P21=1),1,0)</f>
        <v>0</v>
      </c>
      <c r="AA21" s="19" t="str">
        <f aca="false">IF(OR(J21=0,K21=1),"TERMINATED",IF(AND(X21=1,N21=1),"VALID",IF(X21=1,"ELIGIBLE / UNISSUED",IF(D21=Inputs!$B$10,"RECONSTRUCTION / HOLD",IF(D21&gt;0,"WORK / REWORK","OBLIGATED / OPEN")))))</f>
        <v>TERMINATED</v>
      </c>
      <c r="AB21" s="19" t="str">
        <f aca="false">IF(OR(Q21=1,R21=1,S21=1,T21=1,U21=0,J21=0,K21=1),"TERMINATED",IF(OR(AND(N21=1,X21=0),AND(O21=1,Y21=0),AND(P21=1,Z21=0)),"ROLLBACK","CONTROLLED"))</f>
        <v>TERMINATED</v>
      </c>
      <c r="AC21" s="19" t="str">
        <f aca="false">IF(AND(AA21=V21,AB21=W21),"PASS","FAIL")</f>
        <v>PASS</v>
      </c>
    </row>
    <row r="22" customFormat="false" ht="15" hidden="false" customHeight="false" outlineLevel="0" collapsed="false">
      <c r="A22" s="18" t="s">
        <v>1538</v>
      </c>
      <c r="B22" s="18" t="s">
        <v>1537</v>
      </c>
      <c r="C22" s="18" t="s">
        <v>1304</v>
      </c>
      <c r="D22" s="18" t="n">
        <v>12</v>
      </c>
      <c r="E22" s="18" t="n">
        <v>1</v>
      </c>
      <c r="F22" s="18" t="n">
        <v>1</v>
      </c>
      <c r="G22" s="18" t="n">
        <v>6</v>
      </c>
      <c r="H22" s="18" t="n">
        <v>1</v>
      </c>
      <c r="I22" s="18" t="n">
        <v>1</v>
      </c>
      <c r="J22" s="18" t="n">
        <v>1</v>
      </c>
      <c r="K22" s="18" t="n">
        <v>1</v>
      </c>
      <c r="L22" s="18" t="n">
        <v>1</v>
      </c>
      <c r="M22" s="18" t="n">
        <v>1</v>
      </c>
      <c r="N22" s="18" t="n">
        <v>0</v>
      </c>
      <c r="O22" s="18" t="n">
        <v>0</v>
      </c>
      <c r="P22" s="18" t="n">
        <v>0</v>
      </c>
      <c r="Q22" s="18" t="n">
        <v>0</v>
      </c>
      <c r="R22" s="18" t="n">
        <v>0</v>
      </c>
      <c r="S22" s="18" t="n">
        <v>0</v>
      </c>
      <c r="T22" s="18" t="n">
        <v>0</v>
      </c>
      <c r="U22" s="18" t="n">
        <v>1</v>
      </c>
      <c r="V22" s="18" t="s">
        <v>1312</v>
      </c>
      <c r="W22" s="18" t="s">
        <v>1312</v>
      </c>
      <c r="X22" s="19" t="n">
        <f aca="false">IF(AND(D22=Inputs!$B$10,E22=1,F22=1,G22=Inputs!$B$15,H22=1,I22=1,J22=1,K22=0),1,0)</f>
        <v>0</v>
      </c>
      <c r="Y22" s="19" t="n">
        <f aca="false">IF(AND(X22=1,L22=1,M22=1,N22=1),1,0)</f>
        <v>0</v>
      </c>
      <c r="Z22" s="19" t="n">
        <f aca="false">IF(AND(Y22=1,O22=1,P22=1),1,0)</f>
        <v>0</v>
      </c>
      <c r="AA22" s="19" t="str">
        <f aca="false">IF(OR(J22=0,K22=1),"TERMINATED",IF(AND(X22=1,N22=1),"VALID",IF(X22=1,"ELIGIBLE / UNISSUED",IF(D22=Inputs!$B$10,"RECONSTRUCTION / HOLD",IF(D22&gt;0,"WORK / REWORK","OBLIGATED / OPEN")))))</f>
        <v>TERMINATED</v>
      </c>
      <c r="AB22" s="19" t="str">
        <f aca="false">IF(OR(Q22=1,R22=1,S22=1,T22=1,U22=0,J22=0,K22=1),"TERMINATED",IF(OR(AND(N22=1,X22=0),AND(O22=1,Y22=0),AND(P22=1,Z22=0)),"ROLLBACK","CONTROLLED"))</f>
        <v>TERMINATED</v>
      </c>
      <c r="AC22" s="19" t="str">
        <f aca="false">IF(AND(AA22=V22,AB22=W22),"PASS","FAIL")</f>
        <v>PASS</v>
      </c>
    </row>
    <row r="23" customFormat="false" ht="15" hidden="false" customHeight="false" outlineLevel="0" collapsed="false">
      <c r="A23" s="18" t="s">
        <v>1539</v>
      </c>
      <c r="B23" s="18" t="s">
        <v>1540</v>
      </c>
      <c r="C23" s="18" t="s">
        <v>1541</v>
      </c>
      <c r="D23" s="18" t="n">
        <v>12</v>
      </c>
      <c r="E23" s="18" t="n">
        <v>1</v>
      </c>
      <c r="F23" s="18" t="n">
        <v>1</v>
      </c>
      <c r="G23" s="18" t="n">
        <v>6</v>
      </c>
      <c r="H23" s="18" t="n">
        <v>1</v>
      </c>
      <c r="I23" s="18" t="n">
        <v>1</v>
      </c>
      <c r="J23" s="18" t="n">
        <v>1</v>
      </c>
      <c r="K23" s="18" t="n">
        <v>0</v>
      </c>
      <c r="L23" s="18" t="n">
        <v>1</v>
      </c>
      <c r="M23" s="18" t="n">
        <v>1</v>
      </c>
      <c r="N23" s="18" t="n">
        <v>0</v>
      </c>
      <c r="O23" s="18" t="n">
        <v>1</v>
      </c>
      <c r="P23" s="18" t="n">
        <v>0</v>
      </c>
      <c r="Q23" s="18" t="n">
        <v>0</v>
      </c>
      <c r="R23" s="18" t="n">
        <v>0</v>
      </c>
      <c r="S23" s="18" t="n">
        <v>0</v>
      </c>
      <c r="T23" s="18" t="n">
        <v>0</v>
      </c>
      <c r="U23" s="18" t="n">
        <v>1</v>
      </c>
      <c r="V23" s="18" t="s">
        <v>1515</v>
      </c>
      <c r="W23" s="18" t="s">
        <v>1524</v>
      </c>
      <c r="X23" s="19" t="n">
        <f aca="false">IF(AND(D23=Inputs!$B$10,E23=1,F23=1,G23=Inputs!$B$15,H23=1,I23=1,J23=1,K23=0),1,0)</f>
        <v>1</v>
      </c>
      <c r="Y23" s="19" t="n">
        <f aca="false">IF(AND(X23=1,L23=1,M23=1,N23=1),1,0)</f>
        <v>0</v>
      </c>
      <c r="Z23" s="19" t="n">
        <f aca="false">IF(AND(Y23=1,O23=1,P23=1),1,0)</f>
        <v>0</v>
      </c>
      <c r="AA23" s="19" t="str">
        <f aca="false">IF(OR(J23=0,K23=1),"TERMINATED",IF(AND(X23=1,N23=1),"VALID",IF(X23=1,"ELIGIBLE / UNISSUED",IF(D23=Inputs!$B$10,"RECONSTRUCTION / HOLD",IF(D23&gt;0,"WORK / REWORK","OBLIGATED / OPEN")))))</f>
        <v>ELIGIBLE / UNISSUED</v>
      </c>
      <c r="AB23" s="19" t="str">
        <f aca="false">IF(OR(Q23=1,R23=1,S23=1,T23=1,U23=0,J23=0,K23=1),"TERMINATED",IF(OR(AND(N23=1,X23=0),AND(O23=1,Y23=0),AND(P23=1,Z23=0)),"ROLLBACK","CONTROLLED"))</f>
        <v>ROLLBACK</v>
      </c>
      <c r="AC23" s="19" t="str">
        <f aca="false">IF(AND(AA23=V23,AB23=W23),"PASS","FAIL")</f>
        <v>PASS</v>
      </c>
    </row>
    <row r="24" customFormat="false" ht="15" hidden="false" customHeight="false" outlineLevel="0" collapsed="false">
      <c r="A24" s="18" t="s">
        <v>1542</v>
      </c>
      <c r="B24" s="18" t="s">
        <v>1540</v>
      </c>
      <c r="C24" s="18" t="s">
        <v>1543</v>
      </c>
      <c r="D24" s="18" t="n">
        <v>12</v>
      </c>
      <c r="E24" s="18" t="n">
        <v>1</v>
      </c>
      <c r="F24" s="18" t="n">
        <v>1</v>
      </c>
      <c r="G24" s="18" t="n">
        <v>6</v>
      </c>
      <c r="H24" s="18" t="n">
        <v>1</v>
      </c>
      <c r="I24" s="18" t="n">
        <v>1</v>
      </c>
      <c r="J24" s="18" t="n">
        <v>1</v>
      </c>
      <c r="K24" s="18" t="n">
        <v>0</v>
      </c>
      <c r="L24" s="18" t="n">
        <v>1</v>
      </c>
      <c r="M24" s="18" t="n">
        <v>1</v>
      </c>
      <c r="N24" s="18" t="n">
        <v>0</v>
      </c>
      <c r="O24" s="18" t="n">
        <v>0</v>
      </c>
      <c r="P24" s="18" t="n">
        <v>1</v>
      </c>
      <c r="Q24" s="18" t="n">
        <v>0</v>
      </c>
      <c r="R24" s="18" t="n">
        <v>0</v>
      </c>
      <c r="S24" s="18" t="n">
        <v>0</v>
      </c>
      <c r="T24" s="18" t="n">
        <v>0</v>
      </c>
      <c r="U24" s="18" t="n">
        <v>1</v>
      </c>
      <c r="V24" s="18" t="s">
        <v>1515</v>
      </c>
      <c r="W24" s="18" t="s">
        <v>1524</v>
      </c>
      <c r="X24" s="19" t="n">
        <f aca="false">IF(AND(D24=Inputs!$B$10,E24=1,F24=1,G24=Inputs!$B$15,H24=1,I24=1,J24=1,K24=0),1,0)</f>
        <v>1</v>
      </c>
      <c r="Y24" s="19" t="n">
        <f aca="false">IF(AND(X24=1,L24=1,M24=1,N24=1),1,0)</f>
        <v>0</v>
      </c>
      <c r="Z24" s="19" t="n">
        <f aca="false">IF(AND(Y24=1,O24=1,P24=1),1,0)</f>
        <v>0</v>
      </c>
      <c r="AA24" s="19" t="str">
        <f aca="false">IF(OR(J24=0,K24=1),"TERMINATED",IF(AND(X24=1,N24=1),"VALID",IF(X24=1,"ELIGIBLE / UNISSUED",IF(D24=Inputs!$B$10,"RECONSTRUCTION / HOLD",IF(D24&gt;0,"WORK / REWORK","OBLIGATED / OPEN")))))</f>
        <v>ELIGIBLE / UNISSUED</v>
      </c>
      <c r="AB24" s="19" t="str">
        <f aca="false">IF(OR(Q24=1,R24=1,S24=1,T24=1,U24=0,J24=0,K24=1),"TERMINATED",IF(OR(AND(N24=1,X24=0),AND(O24=1,Y24=0),AND(P24=1,Z24=0)),"ROLLBACK","CONTROLLED"))</f>
        <v>ROLLBACK</v>
      </c>
      <c r="AC24" s="19" t="str">
        <f aca="false">IF(AND(AA24=V24,AB24=W24),"PASS","FAIL")</f>
        <v>PASS</v>
      </c>
    </row>
    <row r="25" customFormat="false" ht="15" hidden="false" customHeight="false" outlineLevel="0" collapsed="false">
      <c r="A25" s="18" t="s">
        <v>1544</v>
      </c>
      <c r="B25" s="18" t="s">
        <v>1540</v>
      </c>
      <c r="C25" s="18" t="s">
        <v>1545</v>
      </c>
      <c r="D25" s="18" t="n">
        <v>12</v>
      </c>
      <c r="E25" s="18" t="n">
        <v>1</v>
      </c>
      <c r="F25" s="18" t="n">
        <v>1</v>
      </c>
      <c r="G25" s="18" t="n">
        <v>6</v>
      </c>
      <c r="H25" s="18" t="n">
        <v>1</v>
      </c>
      <c r="I25" s="18" t="n">
        <v>1</v>
      </c>
      <c r="J25" s="18" t="n">
        <v>1</v>
      </c>
      <c r="K25" s="18" t="n">
        <v>0</v>
      </c>
      <c r="L25" s="18" t="n">
        <v>0</v>
      </c>
      <c r="M25" s="18" t="n">
        <v>1</v>
      </c>
      <c r="N25" s="18" t="n">
        <v>1</v>
      </c>
      <c r="O25" s="18" t="n">
        <v>1</v>
      </c>
      <c r="P25" s="18" t="n">
        <v>1</v>
      </c>
      <c r="Q25" s="18" t="n">
        <v>0</v>
      </c>
      <c r="R25" s="18" t="n">
        <v>0</v>
      </c>
      <c r="S25" s="18" t="n">
        <v>0</v>
      </c>
      <c r="T25" s="18" t="n">
        <v>0</v>
      </c>
      <c r="U25" s="18" t="n">
        <v>1</v>
      </c>
      <c r="V25" s="18" t="s">
        <v>1518</v>
      </c>
      <c r="W25" s="18" t="s">
        <v>1524</v>
      </c>
      <c r="X25" s="19" t="n">
        <f aca="false">IF(AND(D25=Inputs!$B$10,E25=1,F25=1,G25=Inputs!$B$15,H25=1,I25=1,J25=1,K25=0),1,0)</f>
        <v>1</v>
      </c>
      <c r="Y25" s="19" t="n">
        <f aca="false">IF(AND(X25=1,L25=1,M25=1,N25=1),1,0)</f>
        <v>0</v>
      </c>
      <c r="Z25" s="19" t="n">
        <f aca="false">IF(AND(Y25=1,O25=1,P25=1),1,0)</f>
        <v>0</v>
      </c>
      <c r="AA25" s="19" t="str">
        <f aca="false">IF(OR(J25=0,K25=1),"TERMINATED",IF(AND(X25=1,N25=1),"VALID",IF(X25=1,"ELIGIBLE / UNISSUED",IF(D25=Inputs!$B$10,"RECONSTRUCTION / HOLD",IF(D25&gt;0,"WORK / REWORK","OBLIGATED / OPEN")))))</f>
        <v>VALID</v>
      </c>
      <c r="AB25" s="19" t="str">
        <f aca="false">IF(OR(Q25=1,R25=1,S25=1,T25=1,U25=0,J25=0,K25=1),"TERMINATED",IF(OR(AND(N25=1,X25=0),AND(O25=1,Y25=0),AND(P25=1,Z25=0)),"ROLLBACK","CONTROLLED"))</f>
        <v>ROLLBACK</v>
      </c>
      <c r="AC25" s="19" t="str">
        <f aca="false">IF(AND(AA25=V25,AB25=W25),"PASS","FAIL")</f>
        <v>PASS</v>
      </c>
    </row>
    <row r="26" customFormat="false" ht="15" hidden="false" customHeight="false" outlineLevel="0" collapsed="false">
      <c r="A26" s="18" t="s">
        <v>1546</v>
      </c>
      <c r="B26" s="18" t="s">
        <v>1540</v>
      </c>
      <c r="C26" s="18" t="s">
        <v>1547</v>
      </c>
      <c r="D26" s="18" t="n">
        <v>12</v>
      </c>
      <c r="E26" s="18" t="n">
        <v>1</v>
      </c>
      <c r="F26" s="18" t="n">
        <v>1</v>
      </c>
      <c r="G26" s="18" t="n">
        <v>6</v>
      </c>
      <c r="H26" s="18" t="n">
        <v>1</v>
      </c>
      <c r="I26" s="18" t="n">
        <v>1</v>
      </c>
      <c r="J26" s="18" t="n">
        <v>1</v>
      </c>
      <c r="K26" s="18" t="n">
        <v>0</v>
      </c>
      <c r="L26" s="18" t="n">
        <v>1</v>
      </c>
      <c r="M26" s="18" t="n">
        <v>0</v>
      </c>
      <c r="N26" s="18" t="n">
        <v>1</v>
      </c>
      <c r="O26" s="18" t="n">
        <v>1</v>
      </c>
      <c r="P26" s="18" t="n">
        <v>1</v>
      </c>
      <c r="Q26" s="18" t="n">
        <v>0</v>
      </c>
      <c r="R26" s="18" t="n">
        <v>0</v>
      </c>
      <c r="S26" s="18" t="n">
        <v>0</v>
      </c>
      <c r="T26" s="18" t="n">
        <v>0</v>
      </c>
      <c r="U26" s="18" t="n">
        <v>1</v>
      </c>
      <c r="V26" s="18" t="s">
        <v>1518</v>
      </c>
      <c r="W26" s="18" t="s">
        <v>1524</v>
      </c>
      <c r="X26" s="19" t="n">
        <f aca="false">IF(AND(D26=Inputs!$B$10,E26=1,F26=1,G26=Inputs!$B$15,H26=1,I26=1,J26=1,K26=0),1,0)</f>
        <v>1</v>
      </c>
      <c r="Y26" s="19" t="n">
        <f aca="false">IF(AND(X26=1,L26=1,M26=1,N26=1),1,0)</f>
        <v>0</v>
      </c>
      <c r="Z26" s="19" t="n">
        <f aca="false">IF(AND(Y26=1,O26=1,P26=1),1,0)</f>
        <v>0</v>
      </c>
      <c r="AA26" s="19" t="str">
        <f aca="false">IF(OR(J26=0,K26=1),"TERMINATED",IF(AND(X26=1,N26=1),"VALID",IF(X26=1,"ELIGIBLE / UNISSUED",IF(D26=Inputs!$B$10,"RECONSTRUCTION / HOLD",IF(D26&gt;0,"WORK / REWORK","OBLIGATED / OPEN")))))</f>
        <v>VALID</v>
      </c>
      <c r="AB26" s="19" t="str">
        <f aca="false">IF(OR(Q26=1,R26=1,S26=1,T26=1,U26=0,J26=0,K26=1),"TERMINATED",IF(OR(AND(N26=1,X26=0),AND(O26=1,Y26=0),AND(P26=1,Z26=0)),"ROLLBACK","CONTROLLED"))</f>
        <v>ROLLBACK</v>
      </c>
      <c r="AC26" s="19" t="str">
        <f aca="false">IF(AND(AA26=V26,AB26=W26),"PASS","FAIL")</f>
        <v>PASS</v>
      </c>
    </row>
    <row r="27" customFormat="false" ht="15" hidden="false" customHeight="false" outlineLevel="0" collapsed="false">
      <c r="A27" s="18" t="s">
        <v>1548</v>
      </c>
      <c r="B27" s="18" t="s">
        <v>1549</v>
      </c>
      <c r="C27" s="18" t="s">
        <v>1550</v>
      </c>
      <c r="D27" s="18" t="n">
        <v>12</v>
      </c>
      <c r="E27" s="18" t="n">
        <v>1</v>
      </c>
      <c r="F27" s="18" t="n">
        <v>1</v>
      </c>
      <c r="G27" s="18" t="n">
        <v>6</v>
      </c>
      <c r="H27" s="18" t="n">
        <v>1</v>
      </c>
      <c r="I27" s="18" t="n">
        <v>1</v>
      </c>
      <c r="J27" s="18" t="n">
        <v>1</v>
      </c>
      <c r="K27" s="18" t="n">
        <v>0</v>
      </c>
      <c r="L27" s="18" t="n">
        <v>1</v>
      </c>
      <c r="M27" s="18" t="n">
        <v>1</v>
      </c>
      <c r="N27" s="18" t="n">
        <v>1</v>
      </c>
      <c r="O27" s="18" t="n">
        <v>0</v>
      </c>
      <c r="P27" s="18" t="n">
        <v>0</v>
      </c>
      <c r="Q27" s="18" t="n">
        <v>1</v>
      </c>
      <c r="R27" s="18" t="n">
        <v>0</v>
      </c>
      <c r="S27" s="18" t="n">
        <v>0</v>
      </c>
      <c r="T27" s="18" t="n">
        <v>0</v>
      </c>
      <c r="U27" s="18" t="n">
        <v>1</v>
      </c>
      <c r="V27" s="18" t="s">
        <v>1518</v>
      </c>
      <c r="W27" s="18" t="s">
        <v>1312</v>
      </c>
      <c r="X27" s="19" t="n">
        <f aca="false">IF(AND(D27=Inputs!$B$10,E27=1,F27=1,G27=Inputs!$B$15,H27=1,I27=1,J27=1,K27=0),1,0)</f>
        <v>1</v>
      </c>
      <c r="Y27" s="19" t="n">
        <f aca="false">IF(AND(X27=1,L27=1,M27=1,N27=1),1,0)</f>
        <v>1</v>
      </c>
      <c r="Z27" s="19" t="n">
        <f aca="false">IF(AND(Y27=1,O27=1,P27=1),1,0)</f>
        <v>0</v>
      </c>
      <c r="AA27" s="19" t="str">
        <f aca="false">IF(OR(J27=0,K27=1),"TERMINATED",IF(AND(X27=1,N27=1),"VALID",IF(X27=1,"ELIGIBLE / UNISSUED",IF(D27=Inputs!$B$10,"RECONSTRUCTION / HOLD",IF(D27&gt;0,"WORK / REWORK","OBLIGATED / OPEN")))))</f>
        <v>VALID</v>
      </c>
      <c r="AB27" s="19" t="str">
        <f aca="false">IF(OR(Q27=1,R27=1,S27=1,T27=1,U27=0,J27=0,K27=1),"TERMINATED",IF(OR(AND(N27=1,X27=0),AND(O27=1,Y27=0),AND(P27=1,Z27=0)),"ROLLBACK","CONTROLLED"))</f>
        <v>TERMINATED</v>
      </c>
      <c r="AC27" s="19" t="str">
        <f aca="false">IF(AND(AA27=V27,AB27=W27),"PASS","FAIL")</f>
        <v>PASS</v>
      </c>
    </row>
    <row r="28" customFormat="false" ht="15" hidden="false" customHeight="false" outlineLevel="0" collapsed="false">
      <c r="A28" s="18" t="s">
        <v>1551</v>
      </c>
      <c r="B28" s="18" t="s">
        <v>1549</v>
      </c>
      <c r="C28" s="18" t="s">
        <v>1552</v>
      </c>
      <c r="D28" s="18" t="n">
        <v>12</v>
      </c>
      <c r="E28" s="18" t="n">
        <v>1</v>
      </c>
      <c r="F28" s="18" t="n">
        <v>1</v>
      </c>
      <c r="G28" s="18" t="n">
        <v>6</v>
      </c>
      <c r="H28" s="18" t="n">
        <v>1</v>
      </c>
      <c r="I28" s="18" t="n">
        <v>1</v>
      </c>
      <c r="J28" s="18" t="n">
        <v>1</v>
      </c>
      <c r="K28" s="18" t="n">
        <v>0</v>
      </c>
      <c r="L28" s="18" t="n">
        <v>1</v>
      </c>
      <c r="M28" s="18" t="n">
        <v>1</v>
      </c>
      <c r="N28" s="18" t="n">
        <v>1</v>
      </c>
      <c r="O28" s="18" t="n">
        <v>0</v>
      </c>
      <c r="P28" s="18" t="n">
        <v>0</v>
      </c>
      <c r="Q28" s="18" t="n">
        <v>0</v>
      </c>
      <c r="R28" s="18" t="n">
        <v>1</v>
      </c>
      <c r="S28" s="18" t="n">
        <v>0</v>
      </c>
      <c r="T28" s="18" t="n">
        <v>0</v>
      </c>
      <c r="U28" s="18" t="n">
        <v>1</v>
      </c>
      <c r="V28" s="18" t="s">
        <v>1518</v>
      </c>
      <c r="W28" s="18" t="s">
        <v>1312</v>
      </c>
      <c r="X28" s="19" t="n">
        <f aca="false">IF(AND(D28=Inputs!$B$10,E28=1,F28=1,G28=Inputs!$B$15,H28=1,I28=1,J28=1,K28=0),1,0)</f>
        <v>1</v>
      </c>
      <c r="Y28" s="19" t="n">
        <f aca="false">IF(AND(X28=1,L28=1,M28=1,N28=1),1,0)</f>
        <v>1</v>
      </c>
      <c r="Z28" s="19" t="n">
        <f aca="false">IF(AND(Y28=1,O28=1,P28=1),1,0)</f>
        <v>0</v>
      </c>
      <c r="AA28" s="19" t="str">
        <f aca="false">IF(OR(J28=0,K28=1),"TERMINATED",IF(AND(X28=1,N28=1),"VALID",IF(X28=1,"ELIGIBLE / UNISSUED",IF(D28=Inputs!$B$10,"RECONSTRUCTION / HOLD",IF(D28&gt;0,"WORK / REWORK","OBLIGATED / OPEN")))))</f>
        <v>VALID</v>
      </c>
      <c r="AB28" s="19" t="str">
        <f aca="false">IF(OR(Q28=1,R28=1,S28=1,T28=1,U28=0,J28=0,K28=1),"TERMINATED",IF(OR(AND(N28=1,X28=0),AND(O28=1,Y28=0),AND(P28=1,Z28=0)),"ROLLBACK","CONTROLLED"))</f>
        <v>TERMINATED</v>
      </c>
      <c r="AC28" s="19" t="str">
        <f aca="false">IF(AND(AA28=V28,AB28=W28),"PASS","FAIL")</f>
        <v>PASS</v>
      </c>
    </row>
    <row r="29" customFormat="false" ht="15" hidden="false" customHeight="false" outlineLevel="0" collapsed="false">
      <c r="A29" s="18" t="s">
        <v>1553</v>
      </c>
      <c r="B29" s="18" t="s">
        <v>1549</v>
      </c>
      <c r="C29" s="18" t="s">
        <v>1554</v>
      </c>
      <c r="D29" s="18" t="n">
        <v>12</v>
      </c>
      <c r="E29" s="18" t="n">
        <v>1</v>
      </c>
      <c r="F29" s="18" t="n">
        <v>1</v>
      </c>
      <c r="G29" s="18" t="n">
        <v>6</v>
      </c>
      <c r="H29" s="18" t="n">
        <v>1</v>
      </c>
      <c r="I29" s="18" t="n">
        <v>1</v>
      </c>
      <c r="J29" s="18" t="n">
        <v>1</v>
      </c>
      <c r="K29" s="18" t="n">
        <v>0</v>
      </c>
      <c r="L29" s="18" t="n">
        <v>1</v>
      </c>
      <c r="M29" s="18" t="n">
        <v>1</v>
      </c>
      <c r="N29" s="18" t="n">
        <v>1</v>
      </c>
      <c r="O29" s="18" t="n">
        <v>0</v>
      </c>
      <c r="P29" s="18" t="n">
        <v>0</v>
      </c>
      <c r="Q29" s="18" t="n">
        <v>0</v>
      </c>
      <c r="R29" s="18" t="n">
        <v>0</v>
      </c>
      <c r="S29" s="18" t="n">
        <v>1</v>
      </c>
      <c r="T29" s="18" t="n">
        <v>0</v>
      </c>
      <c r="U29" s="18" t="n">
        <v>1</v>
      </c>
      <c r="V29" s="18" t="s">
        <v>1518</v>
      </c>
      <c r="W29" s="18" t="s">
        <v>1312</v>
      </c>
      <c r="X29" s="19" t="n">
        <f aca="false">IF(AND(D29=Inputs!$B$10,E29=1,F29=1,G29=Inputs!$B$15,H29=1,I29=1,J29=1,K29=0),1,0)</f>
        <v>1</v>
      </c>
      <c r="Y29" s="19" t="n">
        <f aca="false">IF(AND(X29=1,L29=1,M29=1,N29=1),1,0)</f>
        <v>1</v>
      </c>
      <c r="Z29" s="19" t="n">
        <f aca="false">IF(AND(Y29=1,O29=1,P29=1),1,0)</f>
        <v>0</v>
      </c>
      <c r="AA29" s="19" t="str">
        <f aca="false">IF(OR(J29=0,K29=1),"TERMINATED",IF(AND(X29=1,N29=1),"VALID",IF(X29=1,"ELIGIBLE / UNISSUED",IF(D29=Inputs!$B$10,"RECONSTRUCTION / HOLD",IF(D29&gt;0,"WORK / REWORK","OBLIGATED / OPEN")))))</f>
        <v>VALID</v>
      </c>
      <c r="AB29" s="19" t="str">
        <f aca="false">IF(OR(Q29=1,R29=1,S29=1,T29=1,U29=0,J29=0,K29=1),"TERMINATED",IF(OR(AND(N29=1,X29=0),AND(O29=1,Y29=0),AND(P29=1,Z29=0)),"ROLLBACK","CONTROLLED"))</f>
        <v>TERMINATED</v>
      </c>
      <c r="AC29" s="19" t="str">
        <f aca="false">IF(AND(AA29=V29,AB29=W29),"PASS","FAIL")</f>
        <v>PASS</v>
      </c>
    </row>
    <row r="30" customFormat="false" ht="15" hidden="false" customHeight="false" outlineLevel="0" collapsed="false">
      <c r="A30" s="18" t="s">
        <v>1555</v>
      </c>
      <c r="B30" s="18" t="s">
        <v>1549</v>
      </c>
      <c r="C30" s="18" t="s">
        <v>1556</v>
      </c>
      <c r="D30" s="18" t="n">
        <v>12</v>
      </c>
      <c r="E30" s="18" t="n">
        <v>1</v>
      </c>
      <c r="F30" s="18" t="n">
        <v>1</v>
      </c>
      <c r="G30" s="18" t="n">
        <v>6</v>
      </c>
      <c r="H30" s="18" t="n">
        <v>1</v>
      </c>
      <c r="I30" s="18" t="n">
        <v>1</v>
      </c>
      <c r="J30" s="18" t="n">
        <v>1</v>
      </c>
      <c r="K30" s="18" t="n">
        <v>0</v>
      </c>
      <c r="L30" s="18" t="n">
        <v>1</v>
      </c>
      <c r="M30" s="18" t="n">
        <v>1</v>
      </c>
      <c r="N30" s="18" t="n">
        <v>1</v>
      </c>
      <c r="O30" s="18" t="n">
        <v>0</v>
      </c>
      <c r="P30" s="18" t="n">
        <v>0</v>
      </c>
      <c r="Q30" s="18" t="n">
        <v>0</v>
      </c>
      <c r="R30" s="18" t="n">
        <v>0</v>
      </c>
      <c r="S30" s="18" t="n">
        <v>0</v>
      </c>
      <c r="T30" s="18" t="n">
        <v>1</v>
      </c>
      <c r="U30" s="18" t="n">
        <v>1</v>
      </c>
      <c r="V30" s="18" t="s">
        <v>1518</v>
      </c>
      <c r="W30" s="18" t="s">
        <v>1312</v>
      </c>
      <c r="X30" s="19" t="n">
        <f aca="false">IF(AND(D30=Inputs!$B$10,E30=1,F30=1,G30=Inputs!$B$15,H30=1,I30=1,J30=1,K30=0),1,0)</f>
        <v>1</v>
      </c>
      <c r="Y30" s="19" t="n">
        <f aca="false">IF(AND(X30=1,L30=1,M30=1,N30=1),1,0)</f>
        <v>1</v>
      </c>
      <c r="Z30" s="19" t="n">
        <f aca="false">IF(AND(Y30=1,O30=1,P30=1),1,0)</f>
        <v>0</v>
      </c>
      <c r="AA30" s="19" t="str">
        <f aca="false">IF(OR(J30=0,K30=1),"TERMINATED",IF(AND(X30=1,N30=1),"VALID",IF(X30=1,"ELIGIBLE / UNISSUED",IF(D30=Inputs!$B$10,"RECONSTRUCTION / HOLD",IF(D30&gt;0,"WORK / REWORK","OBLIGATED / OPEN")))))</f>
        <v>VALID</v>
      </c>
      <c r="AB30" s="19" t="str">
        <f aca="false">IF(OR(Q30=1,R30=1,S30=1,T30=1,U30=0,J30=0,K30=1),"TERMINATED",IF(OR(AND(N30=1,X30=0),AND(O30=1,Y30=0),AND(P30=1,Z30=0)),"ROLLBACK","CONTROLLED"))</f>
        <v>TERMINATED</v>
      </c>
      <c r="AC30" s="19" t="str">
        <f aca="false">IF(AND(AA30=V30,AB30=W30),"PASS","FAIL")</f>
        <v>PASS</v>
      </c>
    </row>
    <row r="31" customFormat="false" ht="15" hidden="false" customHeight="false" outlineLevel="0" collapsed="false">
      <c r="A31" s="18" t="s">
        <v>1557</v>
      </c>
      <c r="B31" s="18" t="s">
        <v>1558</v>
      </c>
      <c r="C31" s="18" t="s">
        <v>1559</v>
      </c>
      <c r="D31" s="18" t="n">
        <v>12</v>
      </c>
      <c r="E31" s="18" t="n">
        <v>1</v>
      </c>
      <c r="F31" s="18" t="n">
        <v>1</v>
      </c>
      <c r="G31" s="18" t="n">
        <v>6</v>
      </c>
      <c r="H31" s="18" t="n">
        <v>1</v>
      </c>
      <c r="I31" s="18" t="n">
        <v>1</v>
      </c>
      <c r="J31" s="18" t="n">
        <v>1</v>
      </c>
      <c r="K31" s="18" t="n">
        <v>0</v>
      </c>
      <c r="L31" s="18" t="n">
        <v>1</v>
      </c>
      <c r="M31" s="18" t="n">
        <v>1</v>
      </c>
      <c r="N31" s="18" t="n">
        <v>0</v>
      </c>
      <c r="O31" s="18" t="n">
        <v>0</v>
      </c>
      <c r="P31" s="18" t="n">
        <v>0</v>
      </c>
      <c r="Q31" s="18" t="n">
        <v>0</v>
      </c>
      <c r="R31" s="18" t="n">
        <v>0</v>
      </c>
      <c r="S31" s="18" t="n">
        <v>0</v>
      </c>
      <c r="T31" s="18" t="n">
        <v>0</v>
      </c>
      <c r="U31" s="18" t="n">
        <v>0</v>
      </c>
      <c r="V31" s="18" t="s">
        <v>1515</v>
      </c>
      <c r="W31" s="18" t="s">
        <v>1312</v>
      </c>
      <c r="X31" s="19" t="n">
        <f aca="false">IF(AND(D31=Inputs!$B$10,E31=1,F31=1,G31=Inputs!$B$15,H31=1,I31=1,J31=1,K31=0),1,0)</f>
        <v>1</v>
      </c>
      <c r="Y31" s="19" t="n">
        <f aca="false">IF(AND(X31=1,L31=1,M31=1,N31=1),1,0)</f>
        <v>0</v>
      </c>
      <c r="Z31" s="19" t="n">
        <f aca="false">IF(AND(Y31=1,O31=1,P31=1),1,0)</f>
        <v>0</v>
      </c>
      <c r="AA31" s="19" t="str">
        <f aca="false">IF(OR(J31=0,K31=1),"TERMINATED",IF(AND(X31=1,N31=1),"VALID",IF(X31=1,"ELIGIBLE / UNISSUED",IF(D31=Inputs!$B$10,"RECONSTRUCTION / HOLD",IF(D31&gt;0,"WORK / REWORK","OBLIGATED / OPEN")))))</f>
        <v>ELIGIBLE / UNISSUED</v>
      </c>
      <c r="AB31" s="19" t="str">
        <f aca="false">IF(OR(Q31=1,R31=1,S31=1,T31=1,U31=0,J31=0,K31=1),"TERMINATED",IF(OR(AND(N31=1,X31=0),AND(O31=1,Y31=0),AND(P31=1,Z31=0)),"ROLLBACK","CONTROLLED"))</f>
        <v>TERMINATED</v>
      </c>
      <c r="AC31" s="19" t="str">
        <f aca="false">IF(AND(AA31=V31,AB31=W31),"PASS","FAIL")</f>
        <v>PASS</v>
      </c>
    </row>
    <row r="32" customFormat="false" ht="15" hidden="false" customHeight="false" outlineLevel="0" collapsed="false">
      <c r="A32" s="18" t="s">
        <v>1560</v>
      </c>
      <c r="B32" s="18" t="s">
        <v>1561</v>
      </c>
      <c r="C32" s="18" t="s">
        <v>1562</v>
      </c>
      <c r="D32" s="18" t="n">
        <v>12</v>
      </c>
      <c r="E32" s="18" t="n">
        <v>1</v>
      </c>
      <c r="F32" s="18" t="n">
        <v>1</v>
      </c>
      <c r="G32" s="18" t="n">
        <v>6</v>
      </c>
      <c r="H32" s="18" t="n">
        <v>0</v>
      </c>
      <c r="I32" s="18" t="n">
        <v>0</v>
      </c>
      <c r="J32" s="18" t="n">
        <v>1</v>
      </c>
      <c r="K32" s="18" t="n">
        <v>0</v>
      </c>
      <c r="L32" s="18" t="n">
        <v>1</v>
      </c>
      <c r="M32" s="18" t="n">
        <v>1</v>
      </c>
      <c r="N32" s="18" t="n">
        <v>1</v>
      </c>
      <c r="O32" s="18" t="n">
        <v>0</v>
      </c>
      <c r="P32" s="18" t="n">
        <v>0</v>
      </c>
      <c r="Q32" s="18" t="n">
        <v>0</v>
      </c>
      <c r="R32" s="18" t="n">
        <v>0</v>
      </c>
      <c r="S32" s="18" t="n">
        <v>0</v>
      </c>
      <c r="T32" s="18" t="n">
        <v>0</v>
      </c>
      <c r="U32" s="18" t="n">
        <v>1</v>
      </c>
      <c r="V32" s="18" t="s">
        <v>1508</v>
      </c>
      <c r="W32" s="18" t="s">
        <v>1524</v>
      </c>
      <c r="X32" s="19" t="n">
        <f aca="false">IF(AND(D32=Inputs!$B$10,E32=1,F32=1,G32=Inputs!$B$15,H32=1,I32=1,J32=1,K32=0),1,0)</f>
        <v>0</v>
      </c>
      <c r="Y32" s="19" t="n">
        <f aca="false">IF(AND(X32=1,L32=1,M32=1,N32=1),1,0)</f>
        <v>0</v>
      </c>
      <c r="Z32" s="19" t="n">
        <f aca="false">IF(AND(Y32=1,O32=1,P32=1),1,0)</f>
        <v>0</v>
      </c>
      <c r="AA32" s="19" t="str">
        <f aca="false">IF(OR(J32=0,K32=1),"TERMINATED",IF(AND(X32=1,N32=1),"VALID",IF(X32=1,"ELIGIBLE / UNISSUED",IF(D32=Inputs!$B$10,"RECONSTRUCTION / HOLD",IF(D32&gt;0,"WORK / REWORK","OBLIGATED / OPEN")))))</f>
        <v>RECONSTRUCTION / HOLD</v>
      </c>
      <c r="AB32" s="19" t="str">
        <f aca="false">IF(OR(Q32=1,R32=1,S32=1,T32=1,U32=0,J32=0,K32=1),"TERMINATED",IF(OR(AND(N32=1,X32=0),AND(O32=1,Y32=0),AND(P32=1,Z32=0)),"ROLLBACK","CONTROLLED"))</f>
        <v>ROLLBACK</v>
      </c>
      <c r="AC32" s="19" t="str">
        <f aca="false">IF(AND(AA32=V32,AB32=W32),"PASS","FAIL")</f>
        <v>PASS</v>
      </c>
    </row>
    <row r="33" customFormat="false" ht="15" hidden="false" customHeight="false" outlineLevel="0" collapsed="false">
      <c r="A33" s="18" t="s">
        <v>1563</v>
      </c>
      <c r="B33" s="18" t="s">
        <v>1561</v>
      </c>
      <c r="C33" s="18" t="s">
        <v>1564</v>
      </c>
      <c r="D33" s="18" t="n">
        <v>12</v>
      </c>
      <c r="E33" s="18" t="n">
        <v>1</v>
      </c>
      <c r="F33" s="18" t="n">
        <v>1</v>
      </c>
      <c r="G33" s="18" t="n">
        <v>6</v>
      </c>
      <c r="H33" s="18" t="n">
        <v>1</v>
      </c>
      <c r="I33" s="18" t="n">
        <v>1</v>
      </c>
      <c r="J33" s="18" t="n">
        <v>0</v>
      </c>
      <c r="K33" s="18" t="n">
        <v>1</v>
      </c>
      <c r="L33" s="18" t="n">
        <v>1</v>
      </c>
      <c r="M33" s="18" t="n">
        <v>1</v>
      </c>
      <c r="N33" s="18" t="n">
        <v>0</v>
      </c>
      <c r="O33" s="18" t="n">
        <v>0</v>
      </c>
      <c r="P33" s="18" t="n">
        <v>0</v>
      </c>
      <c r="Q33" s="18" t="n">
        <v>0</v>
      </c>
      <c r="R33" s="18" t="n">
        <v>0</v>
      </c>
      <c r="S33" s="18" t="n">
        <v>0</v>
      </c>
      <c r="T33" s="18" t="n">
        <v>0</v>
      </c>
      <c r="U33" s="18" t="n">
        <v>1</v>
      </c>
      <c r="V33" s="18" t="s">
        <v>1312</v>
      </c>
      <c r="W33" s="18" t="s">
        <v>1312</v>
      </c>
      <c r="X33" s="19" t="n">
        <f aca="false">IF(AND(D33=Inputs!$B$10,E33=1,F33=1,G33=Inputs!$B$15,H33=1,I33=1,J33=1,K33=0),1,0)</f>
        <v>0</v>
      </c>
      <c r="Y33" s="19" t="n">
        <f aca="false">IF(AND(X33=1,L33=1,M33=1,N33=1),1,0)</f>
        <v>0</v>
      </c>
      <c r="Z33" s="19" t="n">
        <f aca="false">IF(AND(Y33=1,O33=1,P33=1),1,0)</f>
        <v>0</v>
      </c>
      <c r="AA33" s="19" t="str">
        <f aca="false">IF(OR(J33=0,K33=1),"TERMINATED",IF(AND(X33=1,N33=1),"VALID",IF(X33=1,"ELIGIBLE / UNISSUED",IF(D33=Inputs!$B$10,"RECONSTRUCTION / HOLD",IF(D33&gt;0,"WORK / REWORK","OBLIGATED / OPEN")))))</f>
        <v>TERMINATED</v>
      </c>
      <c r="AB33" s="19" t="str">
        <f aca="false">IF(OR(Q33=1,R33=1,S33=1,T33=1,U33=0,J33=0,K33=1),"TERMINATED",IF(OR(AND(N33=1,X33=0),AND(O33=1,Y33=0),AND(P33=1,Z33=0)),"ROLLBACK","CONTROLLED"))</f>
        <v>TERMINATED</v>
      </c>
      <c r="AC33" s="19" t="str">
        <f aca="false">IF(AND(AA33=V33,AB33=W33),"PASS","FAIL")</f>
        <v>PASS</v>
      </c>
    </row>
    <row r="34" customFormat="false" ht="15" hidden="false" customHeight="false" outlineLevel="0" collapsed="false">
      <c r="A34" s="18" t="s">
        <v>1565</v>
      </c>
      <c r="B34" s="18" t="s">
        <v>1561</v>
      </c>
      <c r="C34" s="18" t="s">
        <v>1566</v>
      </c>
      <c r="D34" s="18" t="n">
        <v>10</v>
      </c>
      <c r="E34" s="18" t="n">
        <v>1</v>
      </c>
      <c r="F34" s="18" t="n">
        <v>1</v>
      </c>
      <c r="G34" s="18" t="n">
        <v>6</v>
      </c>
      <c r="H34" s="18" t="n">
        <v>1</v>
      </c>
      <c r="I34" s="18" t="n">
        <v>1</v>
      </c>
      <c r="J34" s="18" t="n">
        <v>1</v>
      </c>
      <c r="K34" s="18" t="n">
        <v>0</v>
      </c>
      <c r="L34" s="18" t="n">
        <v>1</v>
      </c>
      <c r="M34" s="18" t="n">
        <v>1</v>
      </c>
      <c r="N34" s="18" t="n">
        <v>1</v>
      </c>
      <c r="O34" s="18" t="n">
        <v>1</v>
      </c>
      <c r="P34" s="18" t="n">
        <v>1</v>
      </c>
      <c r="Q34" s="18" t="n">
        <v>0</v>
      </c>
      <c r="R34" s="18" t="n">
        <v>0</v>
      </c>
      <c r="S34" s="18" t="n">
        <v>0</v>
      </c>
      <c r="T34" s="18" t="n">
        <v>0</v>
      </c>
      <c r="U34" s="18" t="n">
        <v>1</v>
      </c>
      <c r="V34" s="18" t="s">
        <v>1284</v>
      </c>
      <c r="W34" s="18" t="s">
        <v>1524</v>
      </c>
      <c r="X34" s="19" t="n">
        <f aca="false">IF(AND(D34=Inputs!$B$10,E34=1,F34=1,G34=Inputs!$B$15,H34=1,I34=1,J34=1,K34=0),1,0)</f>
        <v>0</v>
      </c>
      <c r="Y34" s="19" t="n">
        <f aca="false">IF(AND(X34=1,L34=1,M34=1,N34=1),1,0)</f>
        <v>0</v>
      </c>
      <c r="Z34" s="19" t="n">
        <f aca="false">IF(AND(Y34=1,O34=1,P34=1),1,0)</f>
        <v>0</v>
      </c>
      <c r="AA34" s="19" t="str">
        <f aca="false">IF(OR(J34=0,K34=1),"TERMINATED",IF(AND(X34=1,N34=1),"VALID",IF(X34=1,"ELIGIBLE / UNISSUED",IF(D34=Inputs!$B$10,"RECONSTRUCTION / HOLD",IF(D34&gt;0,"WORK / REWORK","OBLIGATED / OPEN")))))</f>
        <v>WORK / REWORK</v>
      </c>
      <c r="AB34" s="19" t="str">
        <f aca="false">IF(OR(Q34=1,R34=1,S34=1,T34=1,U34=0,J34=0,K34=1),"TERMINATED",IF(OR(AND(N34=1,X34=0),AND(O34=1,Y34=0),AND(P34=1,Z34=0)),"ROLLBACK","CONTROLLED"))</f>
        <v>ROLLBACK</v>
      </c>
      <c r="AC34" s="19" t="str">
        <f aca="false">IF(AND(AA34=V34,AB34=W34),"PASS","FAIL")</f>
        <v>PASS</v>
      </c>
    </row>
    <row r="35" customFormat="false" ht="15" hidden="false" customHeight="false" outlineLevel="0" collapsed="false">
      <c r="A35" s="18" t="s">
        <v>1567</v>
      </c>
      <c r="B35" s="18" t="s">
        <v>1561</v>
      </c>
      <c r="C35" s="18" t="s">
        <v>1568</v>
      </c>
      <c r="D35" s="18" t="n">
        <v>12</v>
      </c>
      <c r="E35" s="18" t="n">
        <v>1</v>
      </c>
      <c r="F35" s="18" t="n">
        <v>1</v>
      </c>
      <c r="G35" s="18" t="n">
        <v>6</v>
      </c>
      <c r="H35" s="18" t="n">
        <v>1</v>
      </c>
      <c r="I35" s="18" t="n">
        <v>1</v>
      </c>
      <c r="J35" s="18" t="n">
        <v>1</v>
      </c>
      <c r="K35" s="18" t="n">
        <v>0</v>
      </c>
      <c r="L35" s="18" t="n">
        <v>1</v>
      </c>
      <c r="M35" s="18" t="n">
        <v>1</v>
      </c>
      <c r="N35" s="18" t="n">
        <v>1</v>
      </c>
      <c r="O35" s="18" t="n">
        <v>1</v>
      </c>
      <c r="P35" s="18" t="n">
        <v>1</v>
      </c>
      <c r="Q35" s="18" t="n">
        <v>1</v>
      </c>
      <c r="R35" s="18" t="n">
        <v>0</v>
      </c>
      <c r="S35" s="18" t="n">
        <v>0</v>
      </c>
      <c r="T35" s="18" t="n">
        <v>0</v>
      </c>
      <c r="U35" s="18" t="n">
        <v>1</v>
      </c>
      <c r="V35" s="18" t="s">
        <v>1518</v>
      </c>
      <c r="W35" s="18" t="s">
        <v>1312</v>
      </c>
      <c r="X35" s="19" t="n">
        <f aca="false">IF(AND(D35=Inputs!$B$10,E35=1,F35=1,G35=Inputs!$B$15,H35=1,I35=1,J35=1,K35=0),1,0)</f>
        <v>1</v>
      </c>
      <c r="Y35" s="19" t="n">
        <f aca="false">IF(AND(X35=1,L35=1,M35=1,N35=1),1,0)</f>
        <v>1</v>
      </c>
      <c r="Z35" s="19" t="n">
        <f aca="false">IF(AND(Y35=1,O35=1,P35=1),1,0)</f>
        <v>1</v>
      </c>
      <c r="AA35" s="19" t="str">
        <f aca="false">IF(OR(J35=0,K35=1),"TERMINATED",IF(AND(X35=1,N35=1),"VALID",IF(X35=1,"ELIGIBLE / UNISSUED",IF(D35=Inputs!$B$10,"RECONSTRUCTION / HOLD",IF(D35&gt;0,"WORK / REWORK","OBLIGATED / OPEN")))))</f>
        <v>VALID</v>
      </c>
      <c r="AB35" s="19" t="str">
        <f aca="false">IF(OR(Q35=1,R35=1,S35=1,T35=1,U35=0,J35=0,K35=1),"TERMINATED",IF(OR(AND(N35=1,X35=0),AND(O35=1,Y35=0),AND(P35=1,Z35=0)),"ROLLBACK","CONTROLLED"))</f>
        <v>TERMINATED</v>
      </c>
      <c r="AC35" s="19" t="str">
        <f aca="false">IF(AND(AA35=V35,AB35=W35),"PASS","FAIL")</f>
        <v>PASS</v>
      </c>
    </row>
    <row r="36" customFormat="false" ht="15" hidden="false" customHeight="false" outlineLevel="0" collapsed="false">
      <c r="A36" s="18" t="s">
        <v>1569</v>
      </c>
      <c r="B36" s="18" t="s">
        <v>1561</v>
      </c>
      <c r="C36" s="18" t="s">
        <v>1570</v>
      </c>
      <c r="D36" s="18" t="n">
        <v>12</v>
      </c>
      <c r="E36" s="18" t="n">
        <v>1</v>
      </c>
      <c r="F36" s="18" t="n">
        <v>1</v>
      </c>
      <c r="G36" s="18" t="n">
        <v>6</v>
      </c>
      <c r="H36" s="18" t="n">
        <v>1</v>
      </c>
      <c r="I36" s="18" t="n">
        <v>1</v>
      </c>
      <c r="J36" s="18" t="n">
        <v>1</v>
      </c>
      <c r="K36" s="18" t="n">
        <v>0</v>
      </c>
      <c r="L36" s="18" t="n">
        <v>1</v>
      </c>
      <c r="M36" s="18" t="n">
        <v>1</v>
      </c>
      <c r="N36" s="18" t="n">
        <v>1</v>
      </c>
      <c r="O36" s="18" t="n">
        <v>1</v>
      </c>
      <c r="P36" s="18" t="n">
        <v>1</v>
      </c>
      <c r="Q36" s="18" t="n">
        <v>0</v>
      </c>
      <c r="R36" s="18" t="n">
        <v>1</v>
      </c>
      <c r="S36" s="18" t="n">
        <v>0</v>
      </c>
      <c r="T36" s="18" t="n">
        <v>0</v>
      </c>
      <c r="U36" s="18" t="n">
        <v>1</v>
      </c>
      <c r="V36" s="18" t="s">
        <v>1518</v>
      </c>
      <c r="W36" s="18" t="s">
        <v>1312</v>
      </c>
      <c r="X36" s="19" t="n">
        <f aca="false">IF(AND(D36=Inputs!$B$10,E36=1,F36=1,G36=Inputs!$B$15,H36=1,I36=1,J36=1,K36=0),1,0)</f>
        <v>1</v>
      </c>
      <c r="Y36" s="19" t="n">
        <f aca="false">IF(AND(X36=1,L36=1,M36=1,N36=1),1,0)</f>
        <v>1</v>
      </c>
      <c r="Z36" s="19" t="n">
        <f aca="false">IF(AND(Y36=1,O36=1,P36=1),1,0)</f>
        <v>1</v>
      </c>
      <c r="AA36" s="19" t="str">
        <f aca="false">IF(OR(J36=0,K36=1),"TERMINATED",IF(AND(X36=1,N36=1),"VALID",IF(X36=1,"ELIGIBLE / UNISSUED",IF(D36=Inputs!$B$10,"RECONSTRUCTION / HOLD",IF(D36&gt;0,"WORK / REWORK","OBLIGATED / OPEN")))))</f>
        <v>VALID</v>
      </c>
      <c r="AB36" s="19" t="str">
        <f aca="false">IF(OR(Q36=1,R36=1,S36=1,T36=1,U36=0,J36=0,K36=1),"TERMINATED",IF(OR(AND(N36=1,X36=0),AND(O36=1,Y36=0),AND(P36=1,Z36=0)),"ROLLBACK","CONTROLLED"))</f>
        <v>TERMINATED</v>
      </c>
      <c r="AC36" s="19" t="str">
        <f aca="false">IF(AND(AA36=V36,AB36=W36),"PASS","FAIL")</f>
        <v>PASS</v>
      </c>
    </row>
    <row r="37" customFormat="false" ht="15" hidden="false" customHeight="false" outlineLevel="0" collapsed="false">
      <c r="A37" s="18" t="s">
        <v>1571</v>
      </c>
      <c r="B37" s="18" t="s">
        <v>1561</v>
      </c>
      <c r="C37" s="18" t="s">
        <v>1572</v>
      </c>
      <c r="D37" s="18" t="n">
        <v>12</v>
      </c>
      <c r="E37" s="18" t="n">
        <v>1</v>
      </c>
      <c r="F37" s="18" t="n">
        <v>1</v>
      </c>
      <c r="G37" s="18" t="n">
        <v>6</v>
      </c>
      <c r="H37" s="18" t="n">
        <v>1</v>
      </c>
      <c r="I37" s="18" t="n">
        <v>1</v>
      </c>
      <c r="J37" s="18" t="n">
        <v>1</v>
      </c>
      <c r="K37" s="18" t="n">
        <v>0</v>
      </c>
      <c r="L37" s="18" t="n">
        <v>1</v>
      </c>
      <c r="M37" s="18" t="n">
        <v>1</v>
      </c>
      <c r="N37" s="18" t="n">
        <v>1</v>
      </c>
      <c r="O37" s="18" t="n">
        <v>1</v>
      </c>
      <c r="P37" s="18" t="n">
        <v>1</v>
      </c>
      <c r="Q37" s="18" t="n">
        <v>0</v>
      </c>
      <c r="R37" s="18" t="n">
        <v>0</v>
      </c>
      <c r="S37" s="18" t="n">
        <v>1</v>
      </c>
      <c r="T37" s="18" t="n">
        <v>0</v>
      </c>
      <c r="U37" s="18" t="n">
        <v>1</v>
      </c>
      <c r="V37" s="18" t="s">
        <v>1518</v>
      </c>
      <c r="W37" s="18" t="s">
        <v>1312</v>
      </c>
      <c r="X37" s="19" t="n">
        <f aca="false">IF(AND(D37=Inputs!$B$10,E37=1,F37=1,G37=Inputs!$B$15,H37=1,I37=1,J37=1,K37=0),1,0)</f>
        <v>1</v>
      </c>
      <c r="Y37" s="19" t="n">
        <f aca="false">IF(AND(X37=1,L37=1,M37=1,N37=1),1,0)</f>
        <v>1</v>
      </c>
      <c r="Z37" s="19" t="n">
        <f aca="false">IF(AND(Y37=1,O37=1,P37=1),1,0)</f>
        <v>1</v>
      </c>
      <c r="AA37" s="19" t="str">
        <f aca="false">IF(OR(J37=0,K37=1),"TERMINATED",IF(AND(X37=1,N37=1),"VALID",IF(X37=1,"ELIGIBLE / UNISSUED",IF(D37=Inputs!$B$10,"RECONSTRUCTION / HOLD",IF(D37&gt;0,"WORK / REWORK","OBLIGATED / OPEN")))))</f>
        <v>VALID</v>
      </c>
      <c r="AB37" s="19" t="str">
        <f aca="false">IF(OR(Q37=1,R37=1,S37=1,T37=1,U37=0,J37=0,K37=1),"TERMINATED",IF(OR(AND(N37=1,X37=0),AND(O37=1,Y37=0),AND(P37=1,Z37=0)),"ROLLBACK","CONTROLLED"))</f>
        <v>TERMINATED</v>
      </c>
      <c r="AC37" s="19" t="str">
        <f aca="false">IF(AND(AA37=V37,AB37=W37),"PASS","FAIL")</f>
        <v>PASS</v>
      </c>
    </row>
    <row r="38" customFormat="false" ht="15" hidden="false" customHeight="false" outlineLevel="0" collapsed="false">
      <c r="A38" s="18" t="s">
        <v>1573</v>
      </c>
      <c r="B38" s="18" t="s">
        <v>1561</v>
      </c>
      <c r="C38" s="18" t="s">
        <v>1574</v>
      </c>
      <c r="D38" s="18" t="n">
        <v>12</v>
      </c>
      <c r="E38" s="18" t="n">
        <v>1</v>
      </c>
      <c r="F38" s="18" t="n">
        <v>1</v>
      </c>
      <c r="G38" s="18" t="n">
        <v>6</v>
      </c>
      <c r="H38" s="18" t="n">
        <v>1</v>
      </c>
      <c r="I38" s="18" t="n">
        <v>1</v>
      </c>
      <c r="J38" s="18" t="n">
        <v>1</v>
      </c>
      <c r="K38" s="18" t="n">
        <v>0</v>
      </c>
      <c r="L38" s="18" t="n">
        <v>1</v>
      </c>
      <c r="M38" s="18" t="n">
        <v>1</v>
      </c>
      <c r="N38" s="18" t="n">
        <v>1</v>
      </c>
      <c r="O38" s="18" t="n">
        <v>1</v>
      </c>
      <c r="P38" s="18" t="n">
        <v>1</v>
      </c>
      <c r="Q38" s="18" t="n">
        <v>0</v>
      </c>
      <c r="R38" s="18" t="n">
        <v>0</v>
      </c>
      <c r="S38" s="18" t="n">
        <v>0</v>
      </c>
      <c r="T38" s="18" t="n">
        <v>1</v>
      </c>
      <c r="U38" s="18" t="n">
        <v>1</v>
      </c>
      <c r="V38" s="18" t="s">
        <v>1518</v>
      </c>
      <c r="W38" s="18" t="s">
        <v>1312</v>
      </c>
      <c r="X38" s="19" t="n">
        <f aca="false">IF(AND(D38=Inputs!$B$10,E38=1,F38=1,G38=Inputs!$B$15,H38=1,I38=1,J38=1,K38=0),1,0)</f>
        <v>1</v>
      </c>
      <c r="Y38" s="19" t="n">
        <f aca="false">IF(AND(X38=1,L38=1,M38=1,N38=1),1,0)</f>
        <v>1</v>
      </c>
      <c r="Z38" s="19" t="n">
        <f aca="false">IF(AND(Y38=1,O38=1,P38=1),1,0)</f>
        <v>1</v>
      </c>
      <c r="AA38" s="19" t="str">
        <f aca="false">IF(OR(J38=0,K38=1),"TERMINATED",IF(AND(X38=1,N38=1),"VALID",IF(X38=1,"ELIGIBLE / UNISSUED",IF(D38=Inputs!$B$10,"RECONSTRUCTION / HOLD",IF(D38&gt;0,"WORK / REWORK","OBLIGATED / OPEN")))))</f>
        <v>VALID</v>
      </c>
      <c r="AB38" s="19" t="str">
        <f aca="false">IF(OR(Q38=1,R38=1,S38=1,T38=1,U38=0,J38=0,K38=1),"TERMINATED",IF(OR(AND(N38=1,X38=0),AND(O38=1,Y38=0),AND(P38=1,Z38=0)),"ROLLBACK","CONTROLLED"))</f>
        <v>TERMINATED</v>
      </c>
      <c r="AC38" s="19" t="str">
        <f aca="false">IF(AND(AA38=V38,AB38=W38),"PASS","FAIL")</f>
        <v>PASS</v>
      </c>
    </row>
    <row r="39" customFormat="false" ht="15" hidden="false" customHeight="false" outlineLevel="0" collapsed="false">
      <c r="A39" s="18" t="s">
        <v>1575</v>
      </c>
      <c r="B39" s="18" t="s">
        <v>1537</v>
      </c>
      <c r="C39" s="18" t="s">
        <v>1576</v>
      </c>
      <c r="D39" s="18" t="n">
        <v>12</v>
      </c>
      <c r="E39" s="18" t="n">
        <v>1</v>
      </c>
      <c r="F39" s="18" t="n">
        <v>1</v>
      </c>
      <c r="G39" s="18" t="n">
        <v>6</v>
      </c>
      <c r="H39" s="18" t="n">
        <v>1</v>
      </c>
      <c r="I39" s="18" t="n">
        <v>1</v>
      </c>
      <c r="J39" s="18" t="n">
        <v>1</v>
      </c>
      <c r="K39" s="18" t="n">
        <v>0</v>
      </c>
      <c r="L39" s="18" t="n">
        <v>1</v>
      </c>
      <c r="M39" s="18" t="n">
        <v>1</v>
      </c>
      <c r="N39" s="18" t="n">
        <v>0</v>
      </c>
      <c r="O39" s="18" t="n">
        <v>0</v>
      </c>
      <c r="P39" s="18" t="n">
        <v>0</v>
      </c>
      <c r="Q39" s="18" t="n">
        <v>0</v>
      </c>
      <c r="R39" s="18" t="n">
        <v>0</v>
      </c>
      <c r="S39" s="18" t="n">
        <v>0</v>
      </c>
      <c r="T39" s="18" t="n">
        <v>0</v>
      </c>
      <c r="U39" s="18" t="n">
        <v>1</v>
      </c>
      <c r="V39" s="18" t="s">
        <v>1515</v>
      </c>
      <c r="W39" s="18" t="s">
        <v>1503</v>
      </c>
      <c r="X39" s="19" t="n">
        <f aca="false">IF(AND(D39=Inputs!$B$10,E39=1,F39=1,G39=Inputs!$B$15,H39=1,I39=1,J39=1,K39=0),1,0)</f>
        <v>1</v>
      </c>
      <c r="Y39" s="19" t="n">
        <f aca="false">IF(AND(X39=1,L39=1,M39=1,N39=1),1,0)</f>
        <v>0</v>
      </c>
      <c r="Z39" s="19" t="n">
        <f aca="false">IF(AND(Y39=1,O39=1,P39=1),1,0)</f>
        <v>0</v>
      </c>
      <c r="AA39" s="19" t="str">
        <f aca="false">IF(OR(J39=0,K39=1),"TERMINATED",IF(AND(X39=1,N39=1),"VALID",IF(X39=1,"ELIGIBLE / UNISSUED",IF(D39=Inputs!$B$10,"RECONSTRUCTION / HOLD",IF(D39&gt;0,"WORK / REWORK","OBLIGATED / OPEN")))))</f>
        <v>ELIGIBLE / UNISSUED</v>
      </c>
      <c r="AB39" s="19" t="str">
        <f aca="false">IF(OR(Q39=1,R39=1,S39=1,T39=1,U39=0,J39=0,K39=1),"TERMINATED",IF(OR(AND(N39=1,X39=0),AND(O39=1,Y39=0),AND(P39=1,Z39=0)),"ROLLBACK","CONTROLLED"))</f>
        <v>CONTROLLED</v>
      </c>
      <c r="AC39" s="19" t="str">
        <f aca="false">IF(AND(AA39=V39,AB39=W39),"PASS","FAIL")</f>
        <v>PASS</v>
      </c>
    </row>
    <row r="40" customFormat="false" ht="15" hidden="false" customHeight="false" outlineLevel="0" collapsed="false">
      <c r="A40" s="18" t="s">
        <v>1577</v>
      </c>
      <c r="B40" s="18" t="s">
        <v>1532</v>
      </c>
      <c r="C40" s="18" t="s">
        <v>1578</v>
      </c>
      <c r="D40" s="18" t="n">
        <v>12</v>
      </c>
      <c r="E40" s="18" t="n">
        <v>1</v>
      </c>
      <c r="F40" s="18" t="n">
        <v>1</v>
      </c>
      <c r="G40" s="18" t="n">
        <v>6</v>
      </c>
      <c r="H40" s="18" t="n">
        <v>0</v>
      </c>
      <c r="I40" s="18" t="n">
        <v>0</v>
      </c>
      <c r="J40" s="18" t="n">
        <v>1</v>
      </c>
      <c r="K40" s="18" t="n">
        <v>0</v>
      </c>
      <c r="L40" s="18" t="n">
        <v>1</v>
      </c>
      <c r="M40" s="18" t="n">
        <v>1</v>
      </c>
      <c r="N40" s="18" t="n">
        <v>0</v>
      </c>
      <c r="O40" s="18" t="n">
        <v>0</v>
      </c>
      <c r="P40" s="18" t="n">
        <v>0</v>
      </c>
      <c r="Q40" s="18" t="n">
        <v>0</v>
      </c>
      <c r="R40" s="18" t="n">
        <v>0</v>
      </c>
      <c r="S40" s="18" t="n">
        <v>0</v>
      </c>
      <c r="T40" s="18" t="n">
        <v>0</v>
      </c>
      <c r="U40" s="18" t="n">
        <v>1</v>
      </c>
      <c r="V40" s="18" t="s">
        <v>1508</v>
      </c>
      <c r="W40" s="18" t="s">
        <v>1503</v>
      </c>
      <c r="X40" s="19" t="n">
        <f aca="false">IF(AND(D40=Inputs!$B$10,E40=1,F40=1,G40=Inputs!$B$15,H40=1,I40=1,J40=1,K40=0),1,0)</f>
        <v>0</v>
      </c>
      <c r="Y40" s="19" t="n">
        <f aca="false">IF(AND(X40=1,L40=1,M40=1,N40=1),1,0)</f>
        <v>0</v>
      </c>
      <c r="Z40" s="19" t="n">
        <f aca="false">IF(AND(Y40=1,O40=1,P40=1),1,0)</f>
        <v>0</v>
      </c>
      <c r="AA40" s="19" t="str">
        <f aca="false">IF(OR(J40=0,K40=1),"TERMINATED",IF(AND(X40=1,N40=1),"VALID",IF(X40=1,"ELIGIBLE / UNISSUED",IF(D40=Inputs!$B$10,"RECONSTRUCTION / HOLD",IF(D40&gt;0,"WORK / REWORK","OBLIGATED / OPEN")))))</f>
        <v>RECONSTRUCTION / HOLD</v>
      </c>
      <c r="AB40" s="19" t="str">
        <f aca="false">IF(OR(Q40=1,R40=1,S40=1,T40=1,U40=0,J40=0,K40=1),"TERMINATED",IF(OR(AND(N40=1,X40=0),AND(O40=1,Y40=0),AND(P40=1,Z40=0)),"ROLLBACK","CONTROLLED"))</f>
        <v>CONTROLLED</v>
      </c>
      <c r="AC40" s="19" t="str">
        <f aca="false">IF(AND(AA40=V40,AB40=W40),"PASS","FAIL")</f>
        <v>PASS</v>
      </c>
    </row>
    <row r="41" customFormat="false" ht="15" hidden="false" customHeight="false" outlineLevel="0" collapsed="false">
      <c r="A41" s="18" t="s">
        <v>1579</v>
      </c>
      <c r="B41" s="18" t="s">
        <v>1540</v>
      </c>
      <c r="C41" s="18" t="s">
        <v>1580</v>
      </c>
      <c r="D41" s="18" t="n">
        <v>12</v>
      </c>
      <c r="E41" s="18" t="n">
        <v>1</v>
      </c>
      <c r="F41" s="18" t="n">
        <v>1</v>
      </c>
      <c r="G41" s="18" t="n">
        <v>6</v>
      </c>
      <c r="H41" s="18" t="n">
        <v>1</v>
      </c>
      <c r="I41" s="18" t="n">
        <v>1</v>
      </c>
      <c r="J41" s="18" t="n">
        <v>1</v>
      </c>
      <c r="K41" s="18" t="n">
        <v>0</v>
      </c>
      <c r="L41" s="18" t="n">
        <v>0</v>
      </c>
      <c r="M41" s="18" t="n">
        <v>1</v>
      </c>
      <c r="N41" s="18" t="n">
        <v>1</v>
      </c>
      <c r="O41" s="18" t="n">
        <v>0</v>
      </c>
      <c r="P41" s="18" t="n">
        <v>0</v>
      </c>
      <c r="Q41" s="18" t="n">
        <v>0</v>
      </c>
      <c r="R41" s="18" t="n">
        <v>0</v>
      </c>
      <c r="S41" s="18" t="n">
        <v>0</v>
      </c>
      <c r="T41" s="18" t="n">
        <v>0</v>
      </c>
      <c r="U41" s="18" t="n">
        <v>1</v>
      </c>
      <c r="V41" s="18" t="s">
        <v>1518</v>
      </c>
      <c r="W41" s="18" t="s">
        <v>1503</v>
      </c>
      <c r="X41" s="19" t="n">
        <f aca="false">IF(AND(D41=Inputs!$B$10,E41=1,F41=1,G41=Inputs!$B$15,H41=1,I41=1,J41=1,K41=0),1,0)</f>
        <v>1</v>
      </c>
      <c r="Y41" s="19" t="n">
        <f aca="false">IF(AND(X41=1,L41=1,M41=1,N41=1),1,0)</f>
        <v>0</v>
      </c>
      <c r="Z41" s="19" t="n">
        <f aca="false">IF(AND(Y41=1,O41=1,P41=1),1,0)</f>
        <v>0</v>
      </c>
      <c r="AA41" s="19" t="str">
        <f aca="false">IF(OR(J41=0,K41=1),"TERMINATED",IF(AND(X41=1,N41=1),"VALID",IF(X41=1,"ELIGIBLE / UNISSUED",IF(D41=Inputs!$B$10,"RECONSTRUCTION / HOLD",IF(D41&gt;0,"WORK / REWORK","OBLIGATED / OPEN")))))</f>
        <v>VALID</v>
      </c>
      <c r="AB41" s="19" t="str">
        <f aca="false">IF(OR(Q41=1,R41=1,S41=1,T41=1,U41=0,J41=0,K41=1),"TERMINATED",IF(OR(AND(N41=1,X41=0),AND(O41=1,Y41=0),AND(P41=1,Z41=0)),"ROLLBACK","CONTROLLED"))</f>
        <v>CONTROLLED</v>
      </c>
      <c r="AC41" s="19" t="str">
        <f aca="false">IF(AND(AA41=V41,AB41=W41),"PASS","FAIL")</f>
        <v>PASS</v>
      </c>
    </row>
    <row r="42" customFormat="false" ht="15" hidden="false" customHeight="false" outlineLevel="0" collapsed="false">
      <c r="A42" s="18" t="s">
        <v>1581</v>
      </c>
      <c r="B42" s="18" t="s">
        <v>1540</v>
      </c>
      <c r="C42" s="18" t="s">
        <v>1582</v>
      </c>
      <c r="D42" s="18" t="n">
        <v>12</v>
      </c>
      <c r="E42" s="18" t="n">
        <v>1</v>
      </c>
      <c r="F42" s="18" t="n">
        <v>1</v>
      </c>
      <c r="G42" s="18" t="n">
        <v>6</v>
      </c>
      <c r="H42" s="18" t="n">
        <v>1</v>
      </c>
      <c r="I42" s="18" t="n">
        <v>1</v>
      </c>
      <c r="J42" s="18" t="n">
        <v>1</v>
      </c>
      <c r="K42" s="18" t="n">
        <v>0</v>
      </c>
      <c r="L42" s="18" t="n">
        <v>1</v>
      </c>
      <c r="M42" s="18" t="n">
        <v>1</v>
      </c>
      <c r="N42" s="18" t="n">
        <v>1</v>
      </c>
      <c r="O42" s="18" t="n">
        <v>0</v>
      </c>
      <c r="P42" s="18" t="n">
        <v>0</v>
      </c>
      <c r="Q42" s="18" t="n">
        <v>0</v>
      </c>
      <c r="R42" s="18" t="n">
        <v>0</v>
      </c>
      <c r="S42" s="18" t="n">
        <v>0</v>
      </c>
      <c r="T42" s="18" t="n">
        <v>0</v>
      </c>
      <c r="U42" s="18" t="n">
        <v>1</v>
      </c>
      <c r="V42" s="18" t="s">
        <v>1518</v>
      </c>
      <c r="W42" s="18" t="s">
        <v>1503</v>
      </c>
      <c r="X42" s="19" t="n">
        <f aca="false">IF(AND(D42=Inputs!$B$10,E42=1,F42=1,G42=Inputs!$B$15,H42=1,I42=1,J42=1,K42=0),1,0)</f>
        <v>1</v>
      </c>
      <c r="Y42" s="19" t="n">
        <f aca="false">IF(AND(X42=1,L42=1,M42=1,N42=1),1,0)</f>
        <v>1</v>
      </c>
      <c r="Z42" s="19" t="n">
        <f aca="false">IF(AND(Y42=1,O42=1,P42=1),1,0)</f>
        <v>0</v>
      </c>
      <c r="AA42" s="19" t="str">
        <f aca="false">IF(OR(J42=0,K42=1),"TERMINATED",IF(AND(X42=1,N42=1),"VALID",IF(X42=1,"ELIGIBLE / UNISSUED",IF(D42=Inputs!$B$10,"RECONSTRUCTION / HOLD",IF(D42&gt;0,"WORK / REWORK","OBLIGATED / OPEN")))))</f>
        <v>VALID</v>
      </c>
      <c r="AB42" s="19" t="str">
        <f aca="false">IF(OR(Q42=1,R42=1,S42=1,T42=1,U42=0,J42=0,K42=1),"TERMINATED",IF(OR(AND(N42=1,X42=0),AND(O42=1,Y42=0),AND(P42=1,Z42=0)),"ROLLBACK","CONTROLLED"))</f>
        <v>CONTROLLED</v>
      </c>
      <c r="AC42" s="19" t="str">
        <f aca="false">IF(AND(AA42=V42,AB42=W42),"PASS","FAIL")</f>
        <v>PASS</v>
      </c>
    </row>
    <row r="43" customFormat="false" ht="15" hidden="false" customHeight="false" outlineLevel="0" collapsed="false">
      <c r="A43" s="18" t="s">
        <v>1583</v>
      </c>
      <c r="B43" s="18" t="s">
        <v>1549</v>
      </c>
      <c r="C43" s="18" t="s">
        <v>1584</v>
      </c>
      <c r="D43" s="18" t="n">
        <v>12</v>
      </c>
      <c r="E43" s="18" t="n">
        <v>1</v>
      </c>
      <c r="F43" s="18" t="n">
        <v>1</v>
      </c>
      <c r="G43" s="18" t="n">
        <v>6</v>
      </c>
      <c r="H43" s="18" t="n">
        <v>1</v>
      </c>
      <c r="I43" s="18" t="n">
        <v>1</v>
      </c>
      <c r="J43" s="18" t="n">
        <v>1</v>
      </c>
      <c r="K43" s="18" t="n">
        <v>0</v>
      </c>
      <c r="L43" s="18" t="n">
        <v>1</v>
      </c>
      <c r="M43" s="18" t="n">
        <v>1</v>
      </c>
      <c r="N43" s="18" t="n">
        <v>1</v>
      </c>
      <c r="O43" s="18" t="n">
        <v>1</v>
      </c>
      <c r="P43" s="18" t="n">
        <v>1</v>
      </c>
      <c r="Q43" s="18" t="n">
        <v>0</v>
      </c>
      <c r="R43" s="18" t="n">
        <v>0</v>
      </c>
      <c r="S43" s="18" t="n">
        <v>0</v>
      </c>
      <c r="T43" s="18" t="n">
        <v>0</v>
      </c>
      <c r="U43" s="18" t="n">
        <v>1</v>
      </c>
      <c r="V43" s="18" t="s">
        <v>1518</v>
      </c>
      <c r="W43" s="18" t="s">
        <v>1503</v>
      </c>
      <c r="X43" s="19" t="n">
        <f aca="false">IF(AND(D43=Inputs!$B$10,E43=1,F43=1,G43=Inputs!$B$15,H43=1,I43=1,J43=1,K43=0),1,0)</f>
        <v>1</v>
      </c>
      <c r="Y43" s="19" t="n">
        <f aca="false">IF(AND(X43=1,L43=1,M43=1,N43=1),1,0)</f>
        <v>1</v>
      </c>
      <c r="Z43" s="19" t="n">
        <f aca="false">IF(AND(Y43=1,O43=1,P43=1),1,0)</f>
        <v>1</v>
      </c>
      <c r="AA43" s="19" t="str">
        <f aca="false">IF(OR(J43=0,K43=1),"TERMINATED",IF(AND(X43=1,N43=1),"VALID",IF(X43=1,"ELIGIBLE / UNISSUED",IF(D43=Inputs!$B$10,"RECONSTRUCTION / HOLD",IF(D43&gt;0,"WORK / REWORK","OBLIGATED / OPEN")))))</f>
        <v>VALID</v>
      </c>
      <c r="AB43" s="19" t="str">
        <f aca="false">IF(OR(Q43=1,R43=1,S43=1,T43=1,U43=0,J43=0,K43=1),"TERMINATED",IF(OR(AND(N43=1,X43=0),AND(O43=1,Y43=0),AND(P43=1,Z43=0)),"ROLLBACK","CONTROLLED"))</f>
        <v>CONTROLLED</v>
      </c>
      <c r="AC43" s="19" t="str">
        <f aca="false">IF(AND(AA43=V43,AB43=W43),"PASS","FAIL")</f>
        <v>PASS</v>
      </c>
    </row>
    <row r="44" customFormat="false" ht="15" hidden="false" customHeight="false" outlineLevel="0" collapsed="false">
      <c r="A44" s="18" t="s">
        <v>1585</v>
      </c>
      <c r="B44" s="18" t="s">
        <v>1558</v>
      </c>
      <c r="C44" s="18" t="s">
        <v>1586</v>
      </c>
      <c r="D44" s="18" t="n">
        <v>12</v>
      </c>
      <c r="E44" s="18" t="n">
        <v>1</v>
      </c>
      <c r="F44" s="18" t="n">
        <v>1</v>
      </c>
      <c r="G44" s="18" t="n">
        <v>6</v>
      </c>
      <c r="H44" s="18" t="n">
        <v>1</v>
      </c>
      <c r="I44" s="18" t="n">
        <v>1</v>
      </c>
      <c r="J44" s="18" t="n">
        <v>1</v>
      </c>
      <c r="K44" s="18" t="n">
        <v>0</v>
      </c>
      <c r="L44" s="18" t="n">
        <v>1</v>
      </c>
      <c r="M44" s="18" t="n">
        <v>1</v>
      </c>
      <c r="N44" s="18" t="n">
        <v>1</v>
      </c>
      <c r="O44" s="18" t="n">
        <v>1</v>
      </c>
      <c r="P44" s="18" t="n">
        <v>1</v>
      </c>
      <c r="Q44" s="18" t="n">
        <v>0</v>
      </c>
      <c r="R44" s="18" t="n">
        <v>0</v>
      </c>
      <c r="S44" s="18" t="n">
        <v>0</v>
      </c>
      <c r="T44" s="18" t="n">
        <v>0</v>
      </c>
      <c r="U44" s="18" t="n">
        <v>1</v>
      </c>
      <c r="V44" s="18" t="s">
        <v>1518</v>
      </c>
      <c r="W44" s="18" t="s">
        <v>1503</v>
      </c>
      <c r="X44" s="19" t="n">
        <f aca="false">IF(AND(D44=Inputs!$B$10,E44=1,F44=1,G44=Inputs!$B$15,H44=1,I44=1,J44=1,K44=0),1,0)</f>
        <v>1</v>
      </c>
      <c r="Y44" s="19" t="n">
        <f aca="false">IF(AND(X44=1,L44=1,M44=1,N44=1),1,0)</f>
        <v>1</v>
      </c>
      <c r="Z44" s="19" t="n">
        <f aca="false">IF(AND(Y44=1,O44=1,P44=1),1,0)</f>
        <v>1</v>
      </c>
      <c r="AA44" s="19" t="str">
        <f aca="false">IF(OR(J44=0,K44=1),"TERMINATED",IF(AND(X44=1,N44=1),"VALID",IF(X44=1,"ELIGIBLE / UNISSUED",IF(D44=Inputs!$B$10,"RECONSTRUCTION / HOLD",IF(D44&gt;0,"WORK / REWORK","OBLIGATED / OPEN")))))</f>
        <v>VALID</v>
      </c>
      <c r="AB44" s="19" t="str">
        <f aca="false">IF(OR(Q44=1,R44=1,S44=1,T44=1,U44=0,J44=0,K44=1),"TERMINATED",IF(OR(AND(N44=1,X44=0),AND(O44=1,Y44=0),AND(P44=1,Z44=0)),"ROLLBACK","CONTROLLED"))</f>
        <v>CONTROLLED</v>
      </c>
      <c r="AC44" s="19" t="str">
        <f aca="false">IF(AND(AA44=V44,AB44=W44),"PASS","FAIL")</f>
        <v>PASS</v>
      </c>
    </row>
    <row r="45" customFormat="false" ht="15" hidden="false" customHeight="false" outlineLevel="0" collapsed="false">
      <c r="A45" s="18" t="s">
        <v>1587</v>
      </c>
      <c r="B45" s="18" t="s">
        <v>1522</v>
      </c>
      <c r="C45" s="18" t="s">
        <v>1588</v>
      </c>
      <c r="D45" s="18" t="n">
        <v>12</v>
      </c>
      <c r="E45" s="18" t="n">
        <v>1</v>
      </c>
      <c r="F45" s="18" t="n">
        <v>1</v>
      </c>
      <c r="G45" s="18" t="n">
        <v>4</v>
      </c>
      <c r="H45" s="18" t="n">
        <v>1</v>
      </c>
      <c r="I45" s="18" t="n">
        <v>1</v>
      </c>
      <c r="J45" s="18" t="n">
        <v>1</v>
      </c>
      <c r="K45" s="18" t="n">
        <v>0</v>
      </c>
      <c r="L45" s="18" t="n">
        <v>1</v>
      </c>
      <c r="M45" s="18" t="n">
        <v>1</v>
      </c>
      <c r="N45" s="18" t="n">
        <v>0</v>
      </c>
      <c r="O45" s="18" t="n">
        <v>0</v>
      </c>
      <c r="P45" s="18" t="n">
        <v>0</v>
      </c>
      <c r="Q45" s="18" t="n">
        <v>0</v>
      </c>
      <c r="R45" s="18" t="n">
        <v>0</v>
      </c>
      <c r="S45" s="18" t="n">
        <v>0</v>
      </c>
      <c r="T45" s="18" t="n">
        <v>0</v>
      </c>
      <c r="U45" s="18" t="n">
        <v>1</v>
      </c>
      <c r="V45" s="18" t="s">
        <v>1508</v>
      </c>
      <c r="W45" s="18" t="s">
        <v>1503</v>
      </c>
      <c r="X45" s="19" t="n">
        <f aca="false">IF(AND(D45=Inputs!$B$10,E45=1,F45=1,G45=Inputs!$B$15,H45=1,I45=1,J45=1,K45=0),1,0)</f>
        <v>0</v>
      </c>
      <c r="Y45" s="19" t="n">
        <f aca="false">IF(AND(X45=1,L45=1,M45=1,N45=1),1,0)</f>
        <v>0</v>
      </c>
      <c r="Z45" s="19" t="n">
        <f aca="false">IF(AND(Y45=1,O45=1,P45=1),1,0)</f>
        <v>0</v>
      </c>
      <c r="AA45" s="19" t="str">
        <f aca="false">IF(OR(J45=0,K45=1),"TERMINATED",IF(AND(X45=1,N45=1),"VALID",IF(X45=1,"ELIGIBLE / UNISSUED",IF(D45=Inputs!$B$10,"RECONSTRUCTION / HOLD",IF(D45&gt;0,"WORK / REWORK","OBLIGATED / OPEN")))))</f>
        <v>RECONSTRUCTION / HOLD</v>
      </c>
      <c r="AB45" s="19" t="str">
        <f aca="false">IF(OR(Q45=1,R45=1,S45=1,T45=1,U45=0,J45=0,K45=1),"TERMINATED",IF(OR(AND(N45=1,X45=0),AND(O45=1,Y45=0),AND(P45=1,Z45=0)),"ROLLBACK","CONTROLLED"))</f>
        <v>CONTROLLED</v>
      </c>
      <c r="AC45" s="19" t="str">
        <f aca="false">IF(AND(AA45=V45,AB45=W45),"PASS","FAIL")</f>
        <v>PASS</v>
      </c>
    </row>
    <row r="46" customFormat="false" ht="15" hidden="false" customHeight="false" outlineLevel="0" collapsed="false">
      <c r="A46" s="18" t="s">
        <v>1589</v>
      </c>
      <c r="B46" s="18" t="s">
        <v>10</v>
      </c>
      <c r="C46" s="18" t="s">
        <v>1590</v>
      </c>
      <c r="D46" s="18" t="n">
        <v>12</v>
      </c>
      <c r="E46" s="18" t="n">
        <v>1</v>
      </c>
      <c r="F46" s="18" t="n">
        <v>1</v>
      </c>
      <c r="G46" s="18" t="n">
        <v>6</v>
      </c>
      <c r="H46" s="18" t="n">
        <v>1</v>
      </c>
      <c r="I46" s="18" t="n">
        <v>1</v>
      </c>
      <c r="J46" s="18" t="n">
        <v>1</v>
      </c>
      <c r="K46" s="18" t="n">
        <v>0</v>
      </c>
      <c r="L46" s="18" t="n">
        <v>1</v>
      </c>
      <c r="M46" s="18" t="n">
        <v>1</v>
      </c>
      <c r="N46" s="18" t="n">
        <v>0</v>
      </c>
      <c r="O46" s="18" t="n">
        <v>0</v>
      </c>
      <c r="P46" s="18" t="n">
        <v>0</v>
      </c>
      <c r="Q46" s="18" t="n">
        <v>0</v>
      </c>
      <c r="R46" s="18" t="n">
        <v>0</v>
      </c>
      <c r="S46" s="18" t="n">
        <v>0</v>
      </c>
      <c r="T46" s="18" t="n">
        <v>0</v>
      </c>
      <c r="U46" s="18" t="n">
        <v>1</v>
      </c>
      <c r="V46" s="18" t="s">
        <v>1515</v>
      </c>
      <c r="W46" s="18" t="s">
        <v>1503</v>
      </c>
      <c r="X46" s="19" t="n">
        <f aca="false">IF(AND(D46=Inputs!$B$10,E46=1,F46=1,G46=Inputs!$B$15,H46=1,I46=1,J46=1,K46=0),1,0)</f>
        <v>1</v>
      </c>
      <c r="Y46" s="19" t="n">
        <f aca="false">IF(AND(X46=1,L46=1,M46=1,N46=1),1,0)</f>
        <v>0</v>
      </c>
      <c r="Z46" s="19" t="n">
        <f aca="false">IF(AND(Y46=1,O46=1,P46=1),1,0)</f>
        <v>0</v>
      </c>
      <c r="AA46" s="19" t="str">
        <f aca="false">IF(OR(J46=0,K46=1),"TERMINATED",IF(AND(X46=1,N46=1),"VALID",IF(X46=1,"ELIGIBLE / UNISSUED",IF(D46=Inputs!$B$10,"RECONSTRUCTION / HOLD",IF(D46&gt;0,"WORK / REWORK","OBLIGATED / OPEN")))))</f>
        <v>ELIGIBLE / UNISSUED</v>
      </c>
      <c r="AB46" s="19" t="str">
        <f aca="false">IF(OR(Q46=1,R46=1,S46=1,T46=1,U46=0,J46=0,K46=1),"TERMINATED",IF(OR(AND(N46=1,X46=0),AND(O46=1,Y46=0),AND(P46=1,Z46=0)),"ROLLBACK","CONTROLLED"))</f>
        <v>CONTROLLED</v>
      </c>
      <c r="AC46" s="19" t="str">
        <f aca="false">IF(AND(AA46=V46,AB46=W46),"PASS","FAIL")</f>
        <v>PASS</v>
      </c>
    </row>
  </sheetData>
  <mergeCells count="2">
    <mergeCell ref="A2:N2"/>
    <mergeCell ref="A4:N4"/>
  </mergeCells>
  <conditionalFormatting sqref="AC7:AC46">
    <cfRule type="containsText" priority="2" operator="containsText" aboveAverage="0" equalAverage="0" bottom="0" percent="0" rank="0" text="FAIL" dxfId="21">
      <formula>NOT(ISERROR(SEARCH("FAIL",AC7)))</formula>
    </cfRule>
    <cfRule type="containsText" priority="3" operator="containsText" aboveAverage="0" equalAverage="0" bottom="0" percent="0" rank="0" text="TERMINATED" dxfId="22">
      <formula>NOT(ISERROR(SEARCH("TERMINATED",AC7)))</formula>
    </cfRule>
    <cfRule type="containsText" priority="4" operator="containsText" aboveAverage="0" equalAverage="0" bottom="0" percent="0" rank="0" text="OPEN" dxfId="23">
      <formula>NOT(ISERROR(SEARCH("OPEN",AC7)))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"/>
      <c r="B1" s="1"/>
      <c r="C1" s="1"/>
      <c r="D1" s="1"/>
      <c r="E1" s="1"/>
    </row>
    <row r="2" customFormat="false" ht="24" hidden="false" customHeight="true" outlineLevel="0" collapsed="false">
      <c r="A2" s="2" t="s">
        <v>1591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</row>
    <row r="4" customFormat="false" ht="20" hidden="false" customHeight="true" outlineLevel="0" collapsed="false">
      <c r="A4" s="4" t="s">
        <v>1592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3"/>
      <c r="B5" s="3"/>
      <c r="C5" s="3"/>
      <c r="D5" s="3"/>
      <c r="E5" s="3"/>
    </row>
    <row r="6" customFormat="false" ht="20" hidden="false" customHeight="true" outlineLevel="0" collapsed="false">
      <c r="A6" s="5" t="s">
        <v>1593</v>
      </c>
      <c r="B6" s="5"/>
      <c r="C6" s="5"/>
      <c r="D6" s="5"/>
      <c r="E6" s="5"/>
    </row>
    <row r="7" customFormat="false" ht="15" hidden="false" customHeight="false" outlineLevel="0" collapsed="false">
      <c r="A7" s="3"/>
      <c r="B7" s="3"/>
      <c r="C7" s="3"/>
      <c r="D7" s="3"/>
      <c r="E7" s="3"/>
    </row>
    <row r="8" customFormat="false" ht="24" hidden="false" customHeight="true" outlineLevel="0" collapsed="false">
      <c r="A8" s="9" t="s">
        <v>1594</v>
      </c>
      <c r="B8" s="10" t="s">
        <v>719</v>
      </c>
      <c r="C8" s="10" t="s">
        <v>1595</v>
      </c>
      <c r="D8" s="10" t="s">
        <v>1596</v>
      </c>
      <c r="E8" s="11" t="s">
        <v>92</v>
      </c>
    </row>
    <row r="9" customFormat="false" ht="15" hidden="false" customHeight="false" outlineLevel="0" collapsed="false">
      <c r="A9" s="6" t="s">
        <v>1597</v>
      </c>
      <c r="B9" s="20" t="n">
        <v>0.72</v>
      </c>
      <c r="C9" s="21" t="n">
        <f aca="false">B9*Inputs!$B$28</f>
        <v>129.12886149554</v>
      </c>
      <c r="D9" s="21" t="n">
        <v>0</v>
      </c>
      <c r="E9" s="8" t="str">
        <f aca="false">IF(D9=0,"ZERO","UNAUTHORIZED")</f>
        <v>ZERO</v>
      </c>
    </row>
    <row r="10" customFormat="false" ht="15" hidden="false" customHeight="false" outlineLevel="0" collapsed="false">
      <c r="A10" s="6" t="s">
        <v>1598</v>
      </c>
      <c r="B10" s="20" t="n">
        <v>0.15</v>
      </c>
      <c r="C10" s="21" t="n">
        <f aca="false">B10*Inputs!$B$28</f>
        <v>26.9018461449042</v>
      </c>
      <c r="D10" s="21" t="n">
        <v>0</v>
      </c>
      <c r="E10" s="8" t="str">
        <f aca="false">IF(D10=0,"ZERO","UNAUTHORIZED")</f>
        <v>ZERO</v>
      </c>
    </row>
    <row r="11" customFormat="false" ht="15" hidden="false" customHeight="false" outlineLevel="0" collapsed="false">
      <c r="A11" s="6" t="s">
        <v>1599</v>
      </c>
      <c r="B11" s="20" t="n">
        <v>0.08</v>
      </c>
      <c r="C11" s="21" t="n">
        <f aca="false">B11*Inputs!$B$28</f>
        <v>14.3476512772823</v>
      </c>
      <c r="D11" s="21" t="n">
        <v>0</v>
      </c>
      <c r="E11" s="8" t="str">
        <f aca="false">IF(D11=0,"ZERO","UNAUTHORIZED")</f>
        <v>ZERO</v>
      </c>
    </row>
    <row r="12" customFormat="false" ht="15" hidden="false" customHeight="false" outlineLevel="0" collapsed="false">
      <c r="A12" s="6" t="s">
        <v>1600</v>
      </c>
      <c r="B12" s="20" t="n">
        <v>0.05</v>
      </c>
      <c r="C12" s="21" t="n">
        <f aca="false">B12*Inputs!$B$28</f>
        <v>8.96728204830142</v>
      </c>
      <c r="D12" s="21" t="n">
        <v>0</v>
      </c>
      <c r="E12" s="8" t="str">
        <f aca="false">IF(D12=0,"ZERO","UNAUTHORIZED")</f>
        <v>ZERO</v>
      </c>
    </row>
    <row r="13" customFormat="false" ht="15" hidden="false" customHeight="false" outlineLevel="0" collapsed="false">
      <c r="A13" s="6" t="str">
        <f aca="false">"Total"</f>
        <v>Total</v>
      </c>
      <c r="B13" s="20" t="n">
        <f aca="false">SUM(B9:B12)</f>
        <v>1</v>
      </c>
      <c r="C13" s="21" t="n">
        <f aca="false">SUM(C9:C12)</f>
        <v>179.345640966028</v>
      </c>
      <c r="D13" s="21" t="n">
        <f aca="false">SUM(D9:D12)</f>
        <v>0</v>
      </c>
      <c r="E13" s="8" t="str">
        <f aca="false">"ZERO"</f>
        <v>ZERO</v>
      </c>
    </row>
    <row r="14" customFormat="false" ht="15" hidden="false" customHeight="false" outlineLevel="0" collapsed="false">
      <c r="A14" s="3"/>
      <c r="B14" s="3"/>
      <c r="C14" s="3"/>
      <c r="D14" s="3"/>
      <c r="E14" s="3"/>
    </row>
    <row r="15" customFormat="false" ht="15" hidden="false" customHeight="false" outlineLevel="0" collapsed="false">
      <c r="A15" s="3"/>
      <c r="B15" s="3"/>
      <c r="C15" s="3"/>
      <c r="D15" s="3"/>
      <c r="E15" s="3"/>
    </row>
    <row r="16" customFormat="false" ht="20" hidden="false" customHeight="true" outlineLevel="0" collapsed="false">
      <c r="A16" s="5" t="s">
        <v>1601</v>
      </c>
      <c r="B16" s="5"/>
      <c r="C16" s="5"/>
      <c r="D16" s="5"/>
      <c r="E16" s="5"/>
    </row>
    <row r="17" customFormat="false" ht="15" hidden="false" customHeight="false" outlineLevel="0" collapsed="false">
      <c r="A17" s="3"/>
      <c r="B17" s="3"/>
      <c r="C17" s="3"/>
      <c r="D17" s="3"/>
      <c r="E17" s="3"/>
    </row>
    <row r="18" customFormat="false" ht="24" hidden="false" customHeight="true" outlineLevel="0" collapsed="false">
      <c r="A18" s="9" t="s">
        <v>1602</v>
      </c>
      <c r="B18" s="10" t="s">
        <v>1603</v>
      </c>
      <c r="C18" s="11" t="s">
        <v>1604</v>
      </c>
      <c r="D18" s="3"/>
      <c r="E18" s="3"/>
    </row>
    <row r="19" customFormat="false" ht="15" hidden="false" customHeight="false" outlineLevel="0" collapsed="false">
      <c r="A19" s="6" t="s">
        <v>1605</v>
      </c>
      <c r="B19" s="21" t="n">
        <f aca="false">Inputs!B28</f>
        <v>179.345640966028</v>
      </c>
      <c r="C19" s="6" t="s">
        <v>1606</v>
      </c>
      <c r="D19" s="3"/>
      <c r="E19" s="3"/>
    </row>
    <row r="20" customFormat="false" ht="15" hidden="false" customHeight="false" outlineLevel="0" collapsed="false">
      <c r="A20" s="6" t="s">
        <v>1607</v>
      </c>
      <c r="B20" s="21" t="n">
        <f aca="false">Inputs!B29</f>
        <v>358.691281932057</v>
      </c>
      <c r="C20" s="6" t="s">
        <v>1608</v>
      </c>
      <c r="D20" s="3"/>
      <c r="E20" s="3"/>
    </row>
    <row r="21" customFormat="false" ht="15" hidden="false" customHeight="false" outlineLevel="0" collapsed="false">
      <c r="A21" s="6" t="s">
        <v>1609</v>
      </c>
      <c r="B21" s="21" t="n">
        <f aca="false">Inputs!B30</f>
        <v>538.036922898085</v>
      </c>
      <c r="C21" s="6" t="s">
        <v>1610</v>
      </c>
      <c r="D21" s="3"/>
      <c r="E21" s="3"/>
    </row>
    <row r="22" customFormat="false" ht="15" hidden="false" customHeight="false" outlineLevel="0" collapsed="false">
      <c r="A22" s="6" t="s">
        <v>1611</v>
      </c>
      <c r="B22" s="21" t="n">
        <f aca="false">Inputs!B26</f>
        <v>540</v>
      </c>
      <c r="C22" s="6" t="s">
        <v>1612</v>
      </c>
      <c r="D22" s="3"/>
      <c r="E22" s="3"/>
    </row>
    <row r="23" customFormat="false" ht="15" hidden="false" customHeight="false" outlineLevel="0" collapsed="false">
      <c r="A23" s="6" t="s">
        <v>1613</v>
      </c>
      <c r="B23" s="21" t="n">
        <f aca="false">Inputs!B27</f>
        <v>41.254333</v>
      </c>
      <c r="C23" s="6" t="s">
        <v>1614</v>
      </c>
      <c r="D23" s="3"/>
      <c r="E23" s="3"/>
    </row>
    <row r="24" customFormat="false" ht="15" hidden="false" customHeight="false" outlineLevel="0" collapsed="false">
      <c r="A24" s="6" t="s">
        <v>24</v>
      </c>
      <c r="B24" s="22" t="n">
        <v>0</v>
      </c>
      <c r="C24" s="6" t="s">
        <v>1615</v>
      </c>
      <c r="D24" s="3"/>
      <c r="E24" s="3"/>
    </row>
    <row r="25" customFormat="false" ht="15" hidden="false" customHeight="false" outlineLevel="0" collapsed="false">
      <c r="A25" s="3"/>
      <c r="B25" s="3"/>
      <c r="C25" s="3"/>
      <c r="D25" s="3"/>
      <c r="E25" s="3"/>
    </row>
    <row r="26" customFormat="false" ht="15" hidden="false" customHeight="false" outlineLevel="0" collapsed="false">
      <c r="A26" s="3"/>
      <c r="B26" s="3"/>
      <c r="C26" s="3"/>
      <c r="D26" s="3"/>
      <c r="E26" s="3"/>
    </row>
    <row r="27" customFormat="false" ht="20" hidden="false" customHeight="true" outlineLevel="0" collapsed="false">
      <c r="A27" s="5" t="s">
        <v>1616</v>
      </c>
      <c r="B27" s="5"/>
      <c r="C27" s="5"/>
      <c r="D27" s="5"/>
      <c r="E27" s="5"/>
    </row>
    <row r="28" customFormat="false" ht="15" hidden="false" customHeight="false" outlineLevel="0" collapsed="false">
      <c r="A28" s="3"/>
      <c r="B28" s="3"/>
      <c r="C28" s="3"/>
      <c r="D28" s="3"/>
      <c r="E28" s="3"/>
    </row>
    <row r="29" customFormat="false" ht="15" hidden="false" customHeight="false" outlineLevel="0" collapsed="false">
      <c r="A29" s="6" t="s">
        <v>1617</v>
      </c>
      <c r="B29" s="8" t="n">
        <v>180</v>
      </c>
      <c r="C29" s="3"/>
      <c r="D29" s="3"/>
      <c r="E29" s="3"/>
    </row>
    <row r="30" customFormat="false" ht="15" hidden="false" customHeight="false" outlineLevel="0" collapsed="false">
      <c r="A30" s="6" t="s">
        <v>1618</v>
      </c>
      <c r="B30" s="21" t="n">
        <f aca="false">SUM('Claim Register'!G7:G186)</f>
        <v>179.345640966028</v>
      </c>
      <c r="C30" s="3"/>
      <c r="D30" s="3"/>
      <c r="E30" s="3"/>
    </row>
    <row r="31" customFormat="false" ht="15" hidden="false" customHeight="false" outlineLevel="0" collapsed="false">
      <c r="A31" s="6" t="s">
        <v>1619</v>
      </c>
      <c r="B31" s="8" t="n">
        <f aca="false">COUNTIFS('Claim Register'!M7:M186,"PAYABLE")</f>
        <v>0</v>
      </c>
      <c r="C31" s="3"/>
      <c r="D31" s="3"/>
      <c r="E31" s="3"/>
    </row>
    <row r="32" customFormat="false" ht="15" hidden="false" customHeight="false" outlineLevel="0" collapsed="false">
      <c r="A32" s="6" t="s">
        <v>1620</v>
      </c>
      <c r="B32" s="8" t="n">
        <f aca="false">SUM('Claim Register'!L7:L186)</f>
        <v>0</v>
      </c>
      <c r="C32" s="3"/>
      <c r="D32" s="3"/>
      <c r="E32" s="3"/>
    </row>
    <row r="33" customFormat="false" ht="15" hidden="false" customHeight="false" outlineLevel="0" collapsed="false">
      <c r="A33" s="6" t="s">
        <v>1621</v>
      </c>
      <c r="B33" s="8" t="n">
        <v>0</v>
      </c>
      <c r="C33" s="3"/>
      <c r="D33" s="3"/>
      <c r="E33" s="3"/>
    </row>
  </sheetData>
  <mergeCells count="5">
    <mergeCell ref="A2:N2"/>
    <mergeCell ref="A4:N4"/>
    <mergeCell ref="A6:E6"/>
    <mergeCell ref="A16:E16"/>
    <mergeCell ref="A27:E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5" min="3" style="0" width="28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</row>
    <row r="2" customFormat="false" ht="24" hidden="false" customHeight="true" outlineLevel="0" collapsed="false">
      <c r="A2" s="2" t="s">
        <v>1622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</row>
    <row r="4" customFormat="false" ht="20" hidden="false" customHeight="true" outlineLevel="0" collapsed="false">
      <c r="A4" s="4" t="s">
        <v>1623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20" hidden="false" customHeight="true" outlineLevel="0" collapsed="false">
      <c r="A6" s="5" t="s">
        <v>1624</v>
      </c>
      <c r="B6" s="5"/>
      <c r="C6" s="5"/>
      <c r="D6" s="5"/>
      <c r="E6" s="5"/>
      <c r="F6" s="5"/>
    </row>
    <row r="7" customFormat="false" ht="15" hidden="false" customHeight="false" outlineLevel="0" collapsed="false">
      <c r="A7" s="3"/>
      <c r="B7" s="3"/>
      <c r="C7" s="3"/>
      <c r="D7" s="3"/>
      <c r="E7" s="3"/>
      <c r="F7" s="3"/>
    </row>
    <row r="8" customFormat="false" ht="24" hidden="false" customHeight="true" outlineLevel="0" collapsed="false">
      <c r="A8" s="9" t="s">
        <v>1625</v>
      </c>
      <c r="B8" s="10" t="s">
        <v>1626</v>
      </c>
      <c r="C8" s="10" t="s">
        <v>1627</v>
      </c>
      <c r="D8" s="10" t="s">
        <v>1628</v>
      </c>
      <c r="E8" s="10" t="s">
        <v>1629</v>
      </c>
      <c r="F8" s="11" t="s">
        <v>1630</v>
      </c>
    </row>
    <row r="9" customFormat="false" ht="15" hidden="false" customHeight="false" outlineLevel="0" collapsed="false">
      <c r="A9" s="6" t="s">
        <v>140</v>
      </c>
      <c r="B9" s="6" t="n">
        <v>231</v>
      </c>
      <c r="C9" s="6" t="s">
        <v>1631</v>
      </c>
      <c r="D9" s="6" t="s">
        <v>1632</v>
      </c>
      <c r="E9" s="6" t="s">
        <v>137</v>
      </c>
      <c r="F9" s="6" t="s">
        <v>1633</v>
      </c>
    </row>
    <row r="10" customFormat="false" ht="15" hidden="false" customHeight="false" outlineLevel="0" collapsed="false">
      <c r="A10" s="6" t="s">
        <v>146</v>
      </c>
      <c r="B10" s="6" t="n">
        <v>232</v>
      </c>
      <c r="C10" s="6" t="s">
        <v>1634</v>
      </c>
      <c r="D10" s="6" t="s">
        <v>1635</v>
      </c>
      <c r="E10" s="6" t="s">
        <v>1636</v>
      </c>
      <c r="F10" s="6" t="s">
        <v>1633</v>
      </c>
    </row>
    <row r="11" customFormat="false" ht="15" hidden="false" customHeight="false" outlineLevel="0" collapsed="false">
      <c r="A11" s="6" t="s">
        <v>152</v>
      </c>
      <c r="B11" s="6" t="n">
        <v>233</v>
      </c>
      <c r="C11" s="6" t="s">
        <v>1637</v>
      </c>
      <c r="D11" s="6" t="s">
        <v>1638</v>
      </c>
      <c r="E11" s="6" t="s">
        <v>156</v>
      </c>
      <c r="F11" s="6" t="s">
        <v>1633</v>
      </c>
    </row>
    <row r="12" customFormat="false" ht="15" hidden="false" customHeight="false" outlineLevel="0" collapsed="false">
      <c r="A12" s="6" t="s">
        <v>158</v>
      </c>
      <c r="B12" s="6" t="n">
        <v>234</v>
      </c>
      <c r="C12" s="6" t="s">
        <v>1639</v>
      </c>
      <c r="D12" s="6" t="s">
        <v>1640</v>
      </c>
      <c r="E12" s="6" t="s">
        <v>190</v>
      </c>
      <c r="F12" s="6" t="s">
        <v>1633</v>
      </c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</row>
    <row r="15" customFormat="false" ht="20" hidden="false" customHeight="true" outlineLevel="0" collapsed="false">
      <c r="A15" s="5" t="s">
        <v>1641</v>
      </c>
      <c r="B15" s="5"/>
      <c r="C15" s="5"/>
      <c r="D15" s="5"/>
      <c r="E15" s="5"/>
      <c r="F15" s="5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</row>
    <row r="17" customFormat="false" ht="15" hidden="false" customHeight="false" outlineLevel="0" collapsed="false">
      <c r="A17" s="6" t="s">
        <v>1642</v>
      </c>
      <c r="B17" s="8" t="n">
        <v>0</v>
      </c>
      <c r="C17" s="3"/>
      <c r="D17" s="3"/>
      <c r="E17" s="3"/>
      <c r="F17" s="3"/>
    </row>
    <row r="18" customFormat="false" ht="15" hidden="false" customHeight="false" outlineLevel="0" collapsed="false">
      <c r="A18" s="6" t="s">
        <v>1643</v>
      </c>
      <c r="B18" s="8" t="n">
        <v>1</v>
      </c>
      <c r="C18" s="3"/>
      <c r="D18" s="3"/>
      <c r="E18" s="3"/>
      <c r="F18" s="3"/>
    </row>
    <row r="19" customFormat="false" ht="15" hidden="false" customHeight="false" outlineLevel="0" collapsed="false">
      <c r="A19" s="6" t="s">
        <v>1644</v>
      </c>
      <c r="B19" s="8" t="n">
        <v>-1</v>
      </c>
      <c r="C19" s="3"/>
      <c r="D19" s="3"/>
      <c r="E19" s="3"/>
      <c r="F19" s="3"/>
    </row>
    <row r="20" customFormat="false" ht="15" hidden="false" customHeight="false" outlineLevel="0" collapsed="false">
      <c r="A20" s="6" t="s">
        <v>1645</v>
      </c>
      <c r="B20" s="8" t="n">
        <v>0</v>
      </c>
      <c r="C20" s="3"/>
      <c r="D20" s="3"/>
      <c r="E20" s="3"/>
      <c r="F20" s="3"/>
    </row>
    <row r="21" customFormat="false" ht="15" hidden="false" customHeight="false" outlineLevel="0" collapsed="false">
      <c r="A21" s="6" t="s">
        <v>1646</v>
      </c>
      <c r="B21" s="8" t="n">
        <v>5</v>
      </c>
      <c r="C21" s="3"/>
      <c r="D21" s="3"/>
      <c r="E21" s="3"/>
      <c r="F21" s="3"/>
    </row>
    <row r="22" customFormat="false" ht="15" hidden="false" customHeight="false" outlineLevel="0" collapsed="false">
      <c r="A22" s="6" t="s">
        <v>1647</v>
      </c>
      <c r="B22" s="8" t="n">
        <v>5</v>
      </c>
      <c r="C22" s="3"/>
      <c r="D22" s="3"/>
      <c r="E22" s="3"/>
      <c r="F22" s="3"/>
    </row>
    <row r="23" customFormat="false" ht="15" hidden="false" customHeight="false" outlineLevel="0" collapsed="false">
      <c r="A23" s="6" t="s">
        <v>1648</v>
      </c>
      <c r="B23" s="8" t="n">
        <v>5</v>
      </c>
      <c r="C23" s="3"/>
      <c r="D23" s="3"/>
      <c r="E23" s="3"/>
      <c r="F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</row>
    <row r="26" customFormat="false" ht="20" hidden="false" customHeight="true" outlineLevel="0" collapsed="false">
      <c r="A26" s="5" t="s">
        <v>1649</v>
      </c>
      <c r="B26" s="5"/>
      <c r="C26" s="5"/>
      <c r="D26" s="5"/>
      <c r="E26" s="5"/>
      <c r="F26" s="5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</row>
    <row r="28" customFormat="false" ht="15" hidden="false" customHeight="false" outlineLevel="0" collapsed="false">
      <c r="A28" s="6" t="s">
        <v>9</v>
      </c>
      <c r="B28" s="6" t="s">
        <v>10</v>
      </c>
      <c r="C28" s="6"/>
      <c r="D28" s="6"/>
      <c r="E28" s="6"/>
      <c r="F28" s="6"/>
    </row>
    <row r="29" customFormat="false" ht="15" hidden="false" customHeight="false" outlineLevel="0" collapsed="false">
      <c r="A29" s="6" t="s">
        <v>1650</v>
      </c>
      <c r="B29" s="6" t="s">
        <v>1651</v>
      </c>
      <c r="C29" s="6"/>
      <c r="D29" s="6"/>
      <c r="E29" s="6"/>
      <c r="F29" s="6"/>
    </row>
    <row r="30" customFormat="false" ht="48" hidden="false" customHeight="true" outlineLevel="0" collapsed="false">
      <c r="A30" s="23" t="s">
        <v>1652</v>
      </c>
      <c r="B30" s="23" t="s">
        <v>1653</v>
      </c>
      <c r="C30" s="23"/>
      <c r="D30" s="23"/>
      <c r="E30" s="23"/>
      <c r="F30" s="23"/>
    </row>
    <row r="31" customFormat="false" ht="48" hidden="false" customHeight="true" outlineLevel="0" collapsed="false">
      <c r="A31" s="23" t="s">
        <v>1654</v>
      </c>
      <c r="B31" s="23" t="s">
        <v>1655</v>
      </c>
      <c r="C31" s="23"/>
      <c r="D31" s="23"/>
      <c r="E31" s="23"/>
      <c r="F31" s="23"/>
    </row>
  </sheetData>
  <mergeCells count="5">
    <mergeCell ref="A2:N2"/>
    <mergeCell ref="A4:N4"/>
    <mergeCell ref="A6:F6"/>
    <mergeCell ref="A15:F15"/>
    <mergeCell ref="A26:F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EADBA"/>
    <pageSetUpPr fitToPage="false"/>
  </sheetPr>
  <dimension ref="A1:N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  <col collapsed="false" customWidth="true" hidden="false" outlineLevel="0" max="4" min="4" style="0" width="10"/>
    <col collapsed="false" customWidth="true" hidden="false" outlineLevel="0" max="5" min="5" style="0" width="34"/>
    <col collapsed="false" customWidth="true" hidden="false" outlineLevel="0" max="7" min="6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" t="s">
        <v>1656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20" hidden="false" customHeight="true" outlineLevel="0" collapsed="false">
      <c r="A4" s="4" t="s">
        <v>1657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20" hidden="false" customHeight="true" outlineLevel="0" collapsed="false">
      <c r="A6" s="5" t="s">
        <v>1658</v>
      </c>
      <c r="B6" s="5"/>
      <c r="C6" s="3"/>
      <c r="D6" s="5" t="s">
        <v>1659</v>
      </c>
      <c r="E6" s="5"/>
      <c r="F6" s="5"/>
      <c r="G6" s="5"/>
      <c r="H6" s="5"/>
    </row>
    <row r="7" customFormat="false" ht="15" hidden="false" customHeight="false" outlineLevel="0" collapsed="false">
      <c r="A7" s="6" t="s">
        <v>1660</v>
      </c>
      <c r="B7" s="24" t="n">
        <v>6</v>
      </c>
      <c r="C7" s="3"/>
      <c r="D7" s="24" t="s">
        <v>65</v>
      </c>
      <c r="E7" s="24" t="s">
        <v>66</v>
      </c>
      <c r="F7" s="24" t="n">
        <v>6</v>
      </c>
      <c r="G7" s="24" t="n">
        <v>4</v>
      </c>
      <c r="H7" s="24" t="s">
        <v>1661</v>
      </c>
    </row>
    <row r="8" customFormat="false" ht="15" hidden="false" customHeight="false" outlineLevel="0" collapsed="false">
      <c r="A8" s="6" t="s">
        <v>8</v>
      </c>
      <c r="B8" s="24" t="n">
        <v>6</v>
      </c>
      <c r="C8" s="3"/>
      <c r="D8" s="24" t="s">
        <v>67</v>
      </c>
      <c r="E8" s="24" t="s">
        <v>68</v>
      </c>
      <c r="F8" s="24" t="n">
        <v>4</v>
      </c>
      <c r="G8" s="24" t="n">
        <v>6</v>
      </c>
      <c r="H8" s="24" t="s">
        <v>1661</v>
      </c>
    </row>
    <row r="9" customFormat="false" ht="15" hidden="false" customHeight="false" outlineLevel="0" collapsed="false">
      <c r="A9" s="6" t="s">
        <v>11</v>
      </c>
      <c r="B9" s="24" t="n">
        <v>30</v>
      </c>
      <c r="C9" s="3"/>
      <c r="D9" s="24" t="s">
        <v>69</v>
      </c>
      <c r="E9" s="24" t="s">
        <v>70</v>
      </c>
      <c r="F9" s="24" t="n">
        <v>7</v>
      </c>
      <c r="G9" s="24" t="n">
        <v>3</v>
      </c>
      <c r="H9" s="24" t="s">
        <v>1661</v>
      </c>
    </row>
    <row r="10" customFormat="false" ht="15" hidden="false" customHeight="false" outlineLevel="0" collapsed="false">
      <c r="A10" s="6" t="s">
        <v>1662</v>
      </c>
      <c r="B10" s="24" t="n">
        <v>12</v>
      </c>
      <c r="C10" s="3"/>
      <c r="D10" s="24" t="s">
        <v>71</v>
      </c>
      <c r="E10" s="24" t="s">
        <v>72</v>
      </c>
      <c r="F10" s="24" t="n">
        <v>9</v>
      </c>
      <c r="G10" s="24" t="n">
        <v>1</v>
      </c>
      <c r="H10" s="24" t="s">
        <v>1661</v>
      </c>
    </row>
    <row r="11" customFormat="false" ht="15" hidden="false" customHeight="false" outlineLevel="0" collapsed="false">
      <c r="A11" s="6" t="s">
        <v>1663</v>
      </c>
      <c r="B11" s="24" t="n">
        <v>6</v>
      </c>
      <c r="C11" s="3"/>
      <c r="D11" s="24" t="s">
        <v>73</v>
      </c>
      <c r="E11" s="24" t="s">
        <v>74</v>
      </c>
      <c r="F11" s="24" t="n">
        <v>10</v>
      </c>
      <c r="G11" s="24" t="n">
        <v>0</v>
      </c>
      <c r="H11" s="24" t="s">
        <v>1664</v>
      </c>
    </row>
    <row r="12" customFormat="false" ht="15" hidden="false" customHeight="false" outlineLevel="0" collapsed="false">
      <c r="A12" s="6" t="s">
        <v>1665</v>
      </c>
      <c r="B12" s="24" t="n">
        <v>18</v>
      </c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6" t="s">
        <v>1666</v>
      </c>
      <c r="B13" s="24" t="n">
        <v>8</v>
      </c>
      <c r="C13" s="3"/>
      <c r="D13" s="3"/>
      <c r="E13" s="3"/>
      <c r="F13" s="3"/>
      <c r="G13" s="3"/>
      <c r="H13" s="3"/>
    </row>
    <row r="14" customFormat="false" ht="15" hidden="false" customHeight="false" outlineLevel="0" collapsed="false">
      <c r="A14" s="6" t="s">
        <v>1667</v>
      </c>
      <c r="B14" s="24" t="n">
        <v>10</v>
      </c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6" t="s">
        <v>1668</v>
      </c>
      <c r="B15" s="24" t="n">
        <v>6</v>
      </c>
      <c r="C15" s="3"/>
      <c r="D15" s="3"/>
      <c r="E15" s="3"/>
      <c r="F15" s="3"/>
      <c r="G15" s="3"/>
      <c r="H15" s="3"/>
    </row>
    <row r="16" customFormat="false" ht="15" hidden="false" customHeight="false" outlineLevel="0" collapsed="false">
      <c r="A16" s="6" t="s">
        <v>1669</v>
      </c>
      <c r="B16" s="24" t="n">
        <v>18</v>
      </c>
      <c r="C16" s="3"/>
      <c r="D16" s="3"/>
      <c r="E16" s="3"/>
      <c r="F16" s="3"/>
      <c r="G16" s="3"/>
      <c r="H16" s="3"/>
    </row>
    <row r="17" customFormat="false" ht="15" hidden="false" customHeight="false" outlineLevel="0" collapsed="false">
      <c r="A17" s="6" t="s">
        <v>1670</v>
      </c>
      <c r="B17" s="24" t="n">
        <v>96</v>
      </c>
      <c r="C17" s="3"/>
      <c r="D17" s="3"/>
      <c r="E17" s="3"/>
      <c r="F17" s="3"/>
      <c r="G17" s="3"/>
      <c r="H17" s="3"/>
    </row>
    <row r="18" customFormat="false" ht="15" hidden="false" customHeight="false" outlineLevel="0" collapsed="false">
      <c r="A18" s="6" t="s">
        <v>1671</v>
      </c>
      <c r="B18" s="24" t="n">
        <v>78</v>
      </c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6" t="s">
        <v>1672</v>
      </c>
      <c r="B19" s="24" t="n">
        <v>72</v>
      </c>
      <c r="C19" s="3"/>
      <c r="D19" s="3"/>
      <c r="E19" s="3"/>
      <c r="F19" s="3"/>
      <c r="G19" s="3"/>
      <c r="H19" s="3"/>
    </row>
    <row r="20" customFormat="false" ht="15" hidden="false" customHeight="false" outlineLevel="0" collapsed="false">
      <c r="A20" s="6" t="s">
        <v>1673</v>
      </c>
      <c r="B20" s="24" t="n">
        <v>30</v>
      </c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6" t="s">
        <v>1674</v>
      </c>
      <c r="B21" s="24" t="n">
        <v>6</v>
      </c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6" t="s">
        <v>1675</v>
      </c>
      <c r="B22" s="24" t="n">
        <v>100</v>
      </c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6" t="s">
        <v>1676</v>
      </c>
      <c r="B23" s="24" t="n">
        <v>75</v>
      </c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6" t="s">
        <v>1677</v>
      </c>
      <c r="B24" s="24" t="n">
        <v>20</v>
      </c>
      <c r="C24" s="3"/>
      <c r="D24" s="3"/>
      <c r="E24" s="3"/>
      <c r="F24" s="3"/>
      <c r="G24" s="3"/>
      <c r="H24" s="3"/>
    </row>
    <row r="25" customFormat="false" ht="15" hidden="false" customHeight="false" outlineLevel="0" collapsed="false">
      <c r="A25" s="6" t="s">
        <v>1678</v>
      </c>
      <c r="B25" s="24" t="n">
        <v>5</v>
      </c>
      <c r="C25" s="3"/>
      <c r="D25" s="3"/>
      <c r="E25" s="3"/>
      <c r="F25" s="3"/>
      <c r="G25" s="3"/>
      <c r="H25" s="3"/>
    </row>
    <row r="26" customFormat="false" ht="15" hidden="false" customHeight="false" outlineLevel="0" collapsed="false">
      <c r="A26" s="6" t="s">
        <v>1679</v>
      </c>
      <c r="B26" s="25" t="n">
        <v>540</v>
      </c>
      <c r="C26" s="3"/>
      <c r="D26" s="3"/>
      <c r="E26" s="3"/>
      <c r="F26" s="3"/>
      <c r="G26" s="3"/>
      <c r="H26" s="3"/>
    </row>
    <row r="27" customFormat="false" ht="15" hidden="false" customHeight="false" outlineLevel="0" collapsed="false">
      <c r="A27" s="6" t="s">
        <v>1680</v>
      </c>
      <c r="B27" s="25" t="n">
        <v>41.254333</v>
      </c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A28" s="6" t="s">
        <v>1681</v>
      </c>
      <c r="B28" s="25" t="n">
        <v>179.345640966028</v>
      </c>
      <c r="C28" s="3"/>
      <c r="D28" s="3"/>
      <c r="E28" s="3"/>
      <c r="F28" s="3"/>
      <c r="G28" s="3"/>
      <c r="H28" s="3"/>
    </row>
    <row r="29" customFormat="false" ht="15" hidden="false" customHeight="false" outlineLevel="0" collapsed="false">
      <c r="A29" s="6" t="s">
        <v>1682</v>
      </c>
      <c r="B29" s="25" t="n">
        <v>358.691281932057</v>
      </c>
      <c r="C29" s="3"/>
      <c r="D29" s="3"/>
      <c r="E29" s="3"/>
      <c r="F29" s="3"/>
      <c r="G29" s="3"/>
      <c r="H29" s="3"/>
    </row>
    <row r="30" customFormat="false" ht="15" hidden="false" customHeight="false" outlineLevel="0" collapsed="false">
      <c r="A30" s="6" t="s">
        <v>1683</v>
      </c>
      <c r="B30" s="25" t="n">
        <v>538.036922898085</v>
      </c>
      <c r="C30" s="3"/>
      <c r="D30" s="3"/>
      <c r="E30" s="3"/>
      <c r="F30" s="3"/>
      <c r="G30" s="3"/>
      <c r="H30" s="3"/>
    </row>
    <row r="31" customFormat="false" ht="15" hidden="false" customHeight="false" outlineLevel="0" collapsed="false">
      <c r="A31" s="6" t="s">
        <v>1684</v>
      </c>
      <c r="B31" s="26" t="n">
        <v>1E-006</v>
      </c>
      <c r="C31" s="3"/>
      <c r="D31" s="3"/>
      <c r="E31" s="3"/>
      <c r="F31" s="3"/>
      <c r="G31" s="3"/>
      <c r="H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</row>
    <row r="34" customFormat="false" ht="20" hidden="false" customHeight="true" outlineLevel="0" collapsed="false">
      <c r="A34" s="5" t="s">
        <v>1685</v>
      </c>
      <c r="B34" s="5"/>
      <c r="C34" s="3"/>
      <c r="D34" s="3"/>
      <c r="E34" s="3"/>
      <c r="F34" s="3"/>
      <c r="G34" s="3"/>
      <c r="H34" s="3"/>
    </row>
    <row r="35" customFormat="false" ht="15" hidden="false" customHeight="false" outlineLevel="0" collapsed="false">
      <c r="A35" s="6" t="s">
        <v>5</v>
      </c>
      <c r="B35" s="24" t="n">
        <v>18</v>
      </c>
      <c r="C35" s="3"/>
      <c r="D35" s="3"/>
      <c r="E35" s="3"/>
      <c r="F35" s="3"/>
      <c r="G35" s="3"/>
      <c r="H35" s="3"/>
    </row>
    <row r="36" customFormat="false" ht="15" hidden="false" customHeight="false" outlineLevel="0" collapsed="false">
      <c r="A36" s="6" t="s">
        <v>8</v>
      </c>
      <c r="B36" s="24" t="n">
        <v>6</v>
      </c>
      <c r="C36" s="3"/>
      <c r="D36" s="3"/>
      <c r="E36" s="3"/>
      <c r="F36" s="3"/>
      <c r="G36" s="3"/>
      <c r="H36" s="3"/>
    </row>
    <row r="37" customFormat="false" ht="15" hidden="false" customHeight="false" outlineLevel="0" collapsed="false">
      <c r="A37" s="6" t="s">
        <v>11</v>
      </c>
      <c r="B37" s="24" t="n">
        <v>30</v>
      </c>
      <c r="C37" s="3"/>
      <c r="D37" s="3"/>
      <c r="E37" s="3"/>
      <c r="F37" s="3"/>
      <c r="G37" s="3"/>
      <c r="H37" s="3"/>
    </row>
    <row r="38" customFormat="false" ht="15" hidden="false" customHeight="false" outlineLevel="0" collapsed="false">
      <c r="A38" s="6" t="s">
        <v>1686</v>
      </c>
      <c r="B38" s="24" t="n">
        <v>0</v>
      </c>
      <c r="C38" s="3"/>
      <c r="D38" s="3"/>
      <c r="E38" s="3"/>
      <c r="F38" s="3"/>
      <c r="G38" s="3"/>
      <c r="H38" s="3"/>
    </row>
    <row r="39" customFormat="false" ht="15" hidden="false" customHeight="false" outlineLevel="0" collapsed="false">
      <c r="A39" s="6" t="s">
        <v>1670</v>
      </c>
      <c r="B39" s="24" t="n">
        <v>0</v>
      </c>
      <c r="C39" s="3"/>
      <c r="D39" s="3"/>
      <c r="E39" s="3"/>
      <c r="F39" s="3"/>
      <c r="G39" s="3"/>
      <c r="H39" s="3"/>
    </row>
    <row r="40" customFormat="false" ht="15" hidden="false" customHeight="false" outlineLevel="0" collapsed="false">
      <c r="A40" s="6" t="s">
        <v>1687</v>
      </c>
      <c r="B40" s="24" t="n">
        <v>0</v>
      </c>
      <c r="C40" s="3"/>
      <c r="D40" s="3"/>
      <c r="E40" s="3"/>
      <c r="F40" s="3"/>
      <c r="G40" s="3"/>
      <c r="H40" s="3"/>
    </row>
    <row r="41" customFormat="false" ht="15" hidden="false" customHeight="false" outlineLevel="0" collapsed="false">
      <c r="A41" s="6" t="s">
        <v>1688</v>
      </c>
      <c r="B41" s="24" t="n">
        <v>0</v>
      </c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A42" s="6" t="s">
        <v>1689</v>
      </c>
      <c r="B42" s="24" t="n">
        <v>0</v>
      </c>
      <c r="C42" s="3"/>
      <c r="D42" s="3"/>
      <c r="E42" s="3"/>
      <c r="F42" s="3"/>
      <c r="G42" s="3"/>
      <c r="H42" s="3"/>
    </row>
    <row r="43" customFormat="false" ht="15" hidden="false" customHeight="false" outlineLevel="0" collapsed="false">
      <c r="A43" s="6" t="s">
        <v>1690</v>
      </c>
      <c r="B43" s="24" t="n">
        <v>0</v>
      </c>
      <c r="C43" s="3"/>
      <c r="D43" s="3"/>
      <c r="E43" s="3"/>
      <c r="F43" s="3"/>
      <c r="G43" s="3"/>
      <c r="H43" s="3"/>
    </row>
    <row r="44" customFormat="false" ht="15" hidden="false" customHeight="false" outlineLevel="0" collapsed="false">
      <c r="A44" s="6" t="s">
        <v>1691</v>
      </c>
      <c r="B44" s="24" t="n">
        <v>0</v>
      </c>
      <c r="C44" s="3"/>
      <c r="D44" s="3"/>
      <c r="E44" s="3"/>
      <c r="F44" s="3"/>
      <c r="G44" s="3"/>
      <c r="H44" s="3"/>
    </row>
    <row r="45" customFormat="false" ht="15" hidden="false" customHeight="false" outlineLevel="0" collapsed="false">
      <c r="A45" s="6" t="s">
        <v>1692</v>
      </c>
      <c r="B45" s="24" t="n">
        <v>0</v>
      </c>
      <c r="C45" s="3"/>
      <c r="D45" s="3"/>
      <c r="E45" s="3"/>
      <c r="F45" s="3"/>
      <c r="G45" s="3"/>
      <c r="H45" s="3"/>
    </row>
    <row r="46" customFormat="false" ht="15" hidden="false" customHeight="false" outlineLevel="0" collapsed="false">
      <c r="A46" s="6" t="s">
        <v>1693</v>
      </c>
      <c r="B46" s="24" t="n">
        <v>0</v>
      </c>
      <c r="C46" s="3"/>
      <c r="D46" s="3"/>
      <c r="E46" s="3"/>
      <c r="F46" s="3"/>
      <c r="G46" s="3"/>
      <c r="H46" s="3"/>
    </row>
    <row r="47" customFormat="false" ht="15" hidden="false" customHeight="false" outlineLevel="0" collapsed="false">
      <c r="A47" s="6" t="s">
        <v>1694</v>
      </c>
      <c r="B47" s="24" t="n">
        <v>0</v>
      </c>
      <c r="C47" s="3"/>
      <c r="D47" s="3"/>
      <c r="E47" s="3"/>
      <c r="F47" s="3"/>
      <c r="G47" s="3"/>
      <c r="H47" s="3"/>
    </row>
    <row r="48" customFormat="false" ht="15" hidden="false" customHeight="false" outlineLevel="0" collapsed="false">
      <c r="A48" s="6" t="s">
        <v>1695</v>
      </c>
      <c r="B48" s="24" t="n">
        <v>0</v>
      </c>
      <c r="C48" s="3"/>
      <c r="D48" s="3"/>
      <c r="E48" s="3"/>
      <c r="F48" s="3"/>
      <c r="G48" s="3"/>
      <c r="H48" s="3"/>
    </row>
    <row r="49" customFormat="false" ht="15" hidden="false" customHeight="false" outlineLevel="0" collapsed="false">
      <c r="A49" s="6" t="s">
        <v>1696</v>
      </c>
      <c r="B49" s="24" t="n">
        <v>0</v>
      </c>
      <c r="C49" s="3"/>
      <c r="D49" s="3"/>
      <c r="E49" s="3"/>
      <c r="F49" s="3"/>
      <c r="G49" s="3"/>
      <c r="H49" s="3"/>
    </row>
    <row r="50" customFormat="false" ht="15" hidden="false" customHeight="false" outlineLevel="0" collapsed="false">
      <c r="A50" s="6" t="s">
        <v>14</v>
      </c>
      <c r="B50" s="24" t="n">
        <v>0</v>
      </c>
      <c r="C50" s="3"/>
      <c r="D50" s="3"/>
      <c r="E50" s="3"/>
      <c r="F50" s="3"/>
      <c r="G50" s="3"/>
      <c r="H50" s="3"/>
    </row>
    <row r="51" customFormat="false" ht="15" hidden="false" customHeight="false" outlineLevel="0" collapsed="false">
      <c r="A51" s="6" t="s">
        <v>1697</v>
      </c>
      <c r="B51" s="24" t="n">
        <v>0</v>
      </c>
      <c r="C51" s="3"/>
      <c r="D51" s="3"/>
      <c r="E51" s="3"/>
      <c r="F51" s="3"/>
      <c r="G51" s="3"/>
      <c r="H51" s="3"/>
    </row>
    <row r="52" customFormat="false" ht="15" hidden="false" customHeight="false" outlineLevel="0" collapsed="false">
      <c r="A52" s="6" t="s">
        <v>15</v>
      </c>
      <c r="B52" s="24" t="n">
        <v>0</v>
      </c>
      <c r="C52" s="3"/>
      <c r="D52" s="3"/>
      <c r="E52" s="3"/>
      <c r="F52" s="3"/>
      <c r="G52" s="3"/>
      <c r="H52" s="3"/>
    </row>
    <row r="53" customFormat="false" ht="15" hidden="false" customHeight="false" outlineLevel="0" collapsed="false">
      <c r="A53" s="6" t="s">
        <v>1620</v>
      </c>
      <c r="B53" s="24" t="n">
        <v>0</v>
      </c>
      <c r="C53" s="3"/>
      <c r="D53" s="3"/>
      <c r="E53" s="3"/>
      <c r="F53" s="3"/>
      <c r="G53" s="3"/>
      <c r="H53" s="3"/>
    </row>
    <row r="54" customFormat="false" ht="15" hidden="false" customHeight="false" outlineLevel="0" collapsed="false">
      <c r="A54" s="6" t="s">
        <v>17</v>
      </c>
      <c r="B54" s="24" t="n">
        <v>0</v>
      </c>
      <c r="C54" s="3"/>
      <c r="D54" s="3"/>
      <c r="E54" s="3"/>
      <c r="F54" s="3"/>
      <c r="G54" s="3"/>
      <c r="H54" s="3"/>
    </row>
    <row r="55" customFormat="false" ht="15" hidden="false" customHeight="false" outlineLevel="0" collapsed="false">
      <c r="A55" s="6" t="s">
        <v>19</v>
      </c>
      <c r="B55" s="24" t="n">
        <v>0</v>
      </c>
      <c r="C55" s="3"/>
      <c r="D55" s="3"/>
      <c r="E55" s="3"/>
      <c r="F55" s="3"/>
      <c r="G55" s="3"/>
      <c r="H55" s="3"/>
    </row>
    <row r="56" customFormat="false" ht="15" hidden="false" customHeight="false" outlineLevel="0" collapsed="false">
      <c r="A56" s="6" t="s">
        <v>21</v>
      </c>
      <c r="B56" s="24" t="n">
        <v>0</v>
      </c>
      <c r="C56" s="3"/>
      <c r="D56" s="3"/>
      <c r="E56" s="3"/>
      <c r="F56" s="3"/>
      <c r="G56" s="3"/>
      <c r="H56" s="3"/>
    </row>
    <row r="57" customFormat="false" ht="15" hidden="false" customHeight="false" outlineLevel="0" collapsed="false">
      <c r="A57" s="6" t="s">
        <v>23</v>
      </c>
      <c r="B57" s="24" t="n">
        <v>0</v>
      </c>
      <c r="C57" s="3"/>
      <c r="D57" s="3"/>
      <c r="E57" s="3"/>
      <c r="F57" s="3"/>
      <c r="G57" s="3"/>
      <c r="H57" s="3"/>
    </row>
    <row r="58" customFormat="false" ht="15" hidden="false" customHeight="false" outlineLevel="0" collapsed="false">
      <c r="A58" s="6" t="s">
        <v>1698</v>
      </c>
      <c r="B58" s="24" t="n">
        <v>0</v>
      </c>
      <c r="C58" s="3"/>
      <c r="D58" s="3"/>
      <c r="E58" s="3"/>
      <c r="F58" s="3"/>
      <c r="G58" s="3"/>
      <c r="H58" s="3"/>
    </row>
    <row r="59" customFormat="false" ht="15" hidden="false" customHeight="false" outlineLevel="0" collapsed="false">
      <c r="A59" s="6" t="s">
        <v>1699</v>
      </c>
      <c r="B59" s="24" t="n">
        <v>0</v>
      </c>
      <c r="C59" s="3"/>
      <c r="D59" s="3"/>
      <c r="E59" s="3"/>
      <c r="F59" s="3"/>
      <c r="G59" s="3"/>
      <c r="H59" s="3"/>
    </row>
  </sheetData>
  <mergeCells count="5">
    <mergeCell ref="A2:N2"/>
    <mergeCell ref="A4:N4"/>
    <mergeCell ref="A6:B6"/>
    <mergeCell ref="D6:H6"/>
    <mergeCell ref="A34:B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4" min="3" style="0" width="15"/>
    <col collapsed="false" customWidth="true" hidden="false" outlineLevel="0" max="5" min="5" style="0" width="14"/>
    <col collapsed="false" customWidth="true" hidden="false" outlineLevel="0" max="7" min="6" style="0" width="11"/>
  </cols>
  <sheetData>
    <row r="1" customFormat="false" ht="15" hidden="false" customHeight="false" outlineLevel="0" collapsed="false">
      <c r="A1" s="27"/>
      <c r="B1" s="27"/>
      <c r="C1" s="27"/>
      <c r="D1" s="27"/>
      <c r="E1" s="27"/>
      <c r="F1" s="27"/>
      <c r="G1" s="27"/>
    </row>
    <row r="2" customFormat="false" ht="24" hidden="false" customHeight="true" outlineLevel="0" collapsed="false">
      <c r="A2" s="2" t="s">
        <v>1700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</row>
    <row r="4" customFormat="false" ht="20" hidden="false" customHeight="true" outlineLevel="0" collapsed="false">
      <c r="A4" s="4" t="s">
        <v>1701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</row>
    <row r="6" customFormat="false" ht="24" hidden="false" customHeight="true" outlineLevel="0" collapsed="false">
      <c r="A6" s="9" t="s">
        <v>1702</v>
      </c>
      <c r="B6" s="10" t="s">
        <v>1703</v>
      </c>
      <c r="C6" s="10" t="s">
        <v>1704</v>
      </c>
      <c r="D6" s="10" t="s">
        <v>1705</v>
      </c>
      <c r="E6" s="10" t="s">
        <v>1706</v>
      </c>
      <c r="F6" s="10" t="s">
        <v>1707</v>
      </c>
      <c r="G6" s="11" t="s">
        <v>1708</v>
      </c>
    </row>
    <row r="7" customFormat="false" ht="15" hidden="false" customHeight="false" outlineLevel="0" collapsed="false">
      <c r="A7" s="12" t="s">
        <v>1709</v>
      </c>
      <c r="B7" s="12" t="s">
        <v>1710</v>
      </c>
      <c r="C7" s="12" t="n">
        <v>6</v>
      </c>
      <c r="D7" s="12" t="n">
        <v>5</v>
      </c>
      <c r="E7" s="12" t="s">
        <v>1711</v>
      </c>
      <c r="F7" s="13" t="s">
        <v>1712</v>
      </c>
      <c r="G7" s="13" t="s">
        <v>1712</v>
      </c>
    </row>
    <row r="8" customFormat="false" ht="15" hidden="false" customHeight="false" outlineLevel="0" collapsed="false">
      <c r="A8" s="12" t="s">
        <v>1713</v>
      </c>
      <c r="B8" s="12" t="s">
        <v>1714</v>
      </c>
      <c r="C8" s="12" t="n">
        <v>30</v>
      </c>
      <c r="D8" s="12" t="n">
        <v>29</v>
      </c>
      <c r="E8" s="12" t="s">
        <v>1715</v>
      </c>
      <c r="F8" s="13" t="s">
        <v>1712</v>
      </c>
      <c r="G8" s="13" t="s">
        <v>1712</v>
      </c>
    </row>
    <row r="9" customFormat="false" ht="15" hidden="false" customHeight="false" outlineLevel="0" collapsed="false">
      <c r="A9" s="12" t="s">
        <v>1716</v>
      </c>
      <c r="B9" s="12" t="s">
        <v>1717</v>
      </c>
      <c r="C9" s="12" t="n">
        <v>12</v>
      </c>
      <c r="D9" s="12" t="n">
        <v>11</v>
      </c>
      <c r="E9" s="12" t="s">
        <v>1718</v>
      </c>
      <c r="F9" s="13" t="s">
        <v>1712</v>
      </c>
      <c r="G9" s="13" t="s">
        <v>1712</v>
      </c>
    </row>
    <row r="10" customFormat="false" ht="15" hidden="false" customHeight="false" outlineLevel="0" collapsed="false">
      <c r="A10" s="12" t="s">
        <v>1719</v>
      </c>
      <c r="B10" s="12" t="s">
        <v>1720</v>
      </c>
      <c r="C10" s="12" t="n">
        <v>6</v>
      </c>
      <c r="D10" s="12" t="n">
        <v>5</v>
      </c>
      <c r="E10" s="12" t="s">
        <v>1721</v>
      </c>
      <c r="F10" s="13" t="s">
        <v>1712</v>
      </c>
      <c r="G10" s="13" t="s">
        <v>1712</v>
      </c>
    </row>
    <row r="11" customFormat="false" ht="15" hidden="false" customHeight="false" outlineLevel="0" collapsed="false">
      <c r="A11" s="12" t="s">
        <v>1722</v>
      </c>
      <c r="B11" s="12" t="s">
        <v>1723</v>
      </c>
      <c r="C11" s="12" t="n">
        <v>18</v>
      </c>
      <c r="D11" s="12" t="n">
        <v>17</v>
      </c>
      <c r="E11" s="12" t="s">
        <v>1724</v>
      </c>
      <c r="F11" s="13" t="s">
        <v>1712</v>
      </c>
      <c r="G11" s="13" t="s">
        <v>1712</v>
      </c>
    </row>
    <row r="12" customFormat="false" ht="15" hidden="false" customHeight="false" outlineLevel="0" collapsed="false">
      <c r="A12" s="12" t="s">
        <v>1725</v>
      </c>
      <c r="B12" s="12" t="s">
        <v>1726</v>
      </c>
      <c r="C12" s="12" t="n">
        <v>8</v>
      </c>
      <c r="D12" s="12" t="n">
        <v>7</v>
      </c>
      <c r="E12" s="12" t="s">
        <v>1727</v>
      </c>
      <c r="F12" s="13" t="s">
        <v>1712</v>
      </c>
      <c r="G12" s="13" t="s">
        <v>1712</v>
      </c>
    </row>
    <row r="13" customFormat="false" ht="15" hidden="false" customHeight="false" outlineLevel="0" collapsed="false">
      <c r="A13" s="12" t="s">
        <v>1728</v>
      </c>
      <c r="B13" s="12" t="s">
        <v>1729</v>
      </c>
      <c r="C13" s="12" t="n">
        <v>10</v>
      </c>
      <c r="D13" s="12" t="n">
        <v>9</v>
      </c>
      <c r="E13" s="12" t="s">
        <v>1730</v>
      </c>
      <c r="F13" s="13" t="s">
        <v>1712</v>
      </c>
      <c r="G13" s="13" t="s">
        <v>1712</v>
      </c>
    </row>
    <row r="14" customFormat="false" ht="15" hidden="false" customHeight="false" outlineLevel="0" collapsed="false">
      <c r="A14" s="12" t="s">
        <v>1731</v>
      </c>
      <c r="B14" s="12" t="s">
        <v>1732</v>
      </c>
      <c r="C14" s="12" t="n">
        <v>6</v>
      </c>
      <c r="D14" s="12" t="n">
        <v>5</v>
      </c>
      <c r="E14" s="12" t="s">
        <v>1733</v>
      </c>
      <c r="F14" s="13" t="s">
        <v>1712</v>
      </c>
      <c r="G14" s="13" t="s">
        <v>1712</v>
      </c>
    </row>
    <row r="15" customFormat="false" ht="15" hidden="false" customHeight="false" outlineLevel="0" collapsed="false">
      <c r="A15" s="12" t="s">
        <v>1734</v>
      </c>
      <c r="B15" s="12" t="s">
        <v>1735</v>
      </c>
      <c r="C15" s="12" t="n">
        <v>18</v>
      </c>
      <c r="D15" s="12" t="n">
        <v>17</v>
      </c>
      <c r="E15" s="12" t="s">
        <v>1736</v>
      </c>
      <c r="F15" s="13" t="s">
        <v>1712</v>
      </c>
      <c r="G15" s="13" t="s">
        <v>1712</v>
      </c>
    </row>
    <row r="16" customFormat="false" ht="15" hidden="false" customHeight="false" outlineLevel="0" collapsed="false">
      <c r="A16" s="12" t="s">
        <v>1737</v>
      </c>
      <c r="B16" s="12" t="s">
        <v>1738</v>
      </c>
      <c r="C16" s="12" t="n">
        <v>30</v>
      </c>
      <c r="D16" s="12" t="n">
        <v>29</v>
      </c>
      <c r="E16" s="12" t="s">
        <v>1739</v>
      </c>
      <c r="F16" s="13" t="s">
        <v>1712</v>
      </c>
      <c r="G16" s="13" t="s">
        <v>1712</v>
      </c>
    </row>
    <row r="17" customFormat="false" ht="15" hidden="false" customHeight="false" outlineLevel="0" collapsed="false">
      <c r="A17" s="12" t="s">
        <v>1740</v>
      </c>
      <c r="B17" s="12" t="s">
        <v>1741</v>
      </c>
      <c r="C17" s="12" t="n">
        <v>75</v>
      </c>
      <c r="D17" s="12" t="n">
        <v>80</v>
      </c>
      <c r="E17" s="12" t="s">
        <v>1742</v>
      </c>
      <c r="F17" s="13" t="s">
        <v>1712</v>
      </c>
      <c r="G17" s="13" t="s">
        <v>1712</v>
      </c>
    </row>
    <row r="18" customFormat="false" ht="15" hidden="false" customHeight="false" outlineLevel="0" collapsed="false">
      <c r="A18" s="12" t="s">
        <v>1743</v>
      </c>
      <c r="B18" s="12" t="s">
        <v>1744</v>
      </c>
      <c r="C18" s="12" t="n">
        <v>20</v>
      </c>
      <c r="D18" s="12" t="n">
        <v>25</v>
      </c>
      <c r="E18" s="12" t="s">
        <v>1742</v>
      </c>
      <c r="F18" s="13" t="s">
        <v>1712</v>
      </c>
      <c r="G18" s="13" t="s">
        <v>1712</v>
      </c>
    </row>
    <row r="19" customFormat="false" ht="15" hidden="false" customHeight="false" outlineLevel="0" collapsed="false">
      <c r="A19" s="12" t="s">
        <v>1745</v>
      </c>
      <c r="B19" s="12" t="s">
        <v>1746</v>
      </c>
      <c r="C19" s="12" t="n">
        <v>5</v>
      </c>
      <c r="D19" s="12" t="n">
        <v>6</v>
      </c>
      <c r="E19" s="12" t="s">
        <v>1742</v>
      </c>
      <c r="F19" s="13" t="s">
        <v>1712</v>
      </c>
      <c r="G19" s="13" t="s">
        <v>1712</v>
      </c>
    </row>
    <row r="20" customFormat="false" ht="15" hidden="false" customHeight="false" outlineLevel="0" collapsed="false">
      <c r="A20" s="12" t="s">
        <v>1747</v>
      </c>
      <c r="B20" s="12" t="s">
        <v>1748</v>
      </c>
      <c r="C20" s="12" t="n">
        <v>540</v>
      </c>
      <c r="D20" s="12" t="n">
        <v>500</v>
      </c>
      <c r="E20" s="12" t="s">
        <v>1749</v>
      </c>
      <c r="F20" s="13" t="s">
        <v>1712</v>
      </c>
      <c r="G20" s="13" t="s">
        <v>1712</v>
      </c>
    </row>
    <row r="21" customFormat="false" ht="15" hidden="false" customHeight="false" outlineLevel="0" collapsed="false">
      <c r="A21" s="12" t="s">
        <v>1750</v>
      </c>
      <c r="B21" s="12" t="s">
        <v>1751</v>
      </c>
      <c r="C21" s="12" t="n">
        <v>41.254333</v>
      </c>
      <c r="D21" s="12" t="n">
        <v>40</v>
      </c>
      <c r="E21" s="12" t="s">
        <v>1752</v>
      </c>
      <c r="F21" s="13" t="s">
        <v>1712</v>
      </c>
      <c r="G21" s="13" t="s">
        <v>1712</v>
      </c>
    </row>
    <row r="22" customFormat="false" ht="15" hidden="false" customHeight="false" outlineLevel="0" collapsed="false">
      <c r="A22" s="12" t="s">
        <v>1753</v>
      </c>
      <c r="B22" s="12" t="s">
        <v>1754</v>
      </c>
      <c r="C22" s="12" t="n">
        <v>179.345640966028</v>
      </c>
      <c r="D22" s="12" t="n">
        <v>170</v>
      </c>
      <c r="E22" s="12" t="s">
        <v>1755</v>
      </c>
      <c r="F22" s="13" t="s">
        <v>1712</v>
      </c>
      <c r="G22" s="13" t="s">
        <v>1712</v>
      </c>
    </row>
    <row r="23" customFormat="false" ht="15" hidden="false" customHeight="false" outlineLevel="0" collapsed="false">
      <c r="A23" s="12" t="s">
        <v>1756</v>
      </c>
      <c r="B23" s="12" t="s">
        <v>1757</v>
      </c>
      <c r="C23" s="12" t="n">
        <v>358.691281932057</v>
      </c>
      <c r="D23" s="12" t="n">
        <v>350</v>
      </c>
      <c r="E23" s="12" t="s">
        <v>1758</v>
      </c>
      <c r="F23" s="13" t="s">
        <v>1712</v>
      </c>
      <c r="G23" s="13" t="s">
        <v>1712</v>
      </c>
    </row>
    <row r="24" customFormat="false" ht="15" hidden="false" customHeight="false" outlineLevel="0" collapsed="false">
      <c r="A24" s="12" t="s">
        <v>1759</v>
      </c>
      <c r="B24" s="12" t="s">
        <v>1760</v>
      </c>
      <c r="C24" s="12" t="n">
        <v>0</v>
      </c>
      <c r="D24" s="12" t="n">
        <v>1</v>
      </c>
      <c r="E24" s="12" t="s">
        <v>1761</v>
      </c>
      <c r="F24" s="13" t="s">
        <v>1712</v>
      </c>
      <c r="G24" s="13" t="s">
        <v>1712</v>
      </c>
    </row>
    <row r="25" customFormat="false" ht="15" hidden="false" customHeight="false" outlineLevel="0" collapsed="false">
      <c r="A25" s="12" t="s">
        <v>1762</v>
      </c>
      <c r="B25" s="12" t="s">
        <v>1763</v>
      </c>
      <c r="C25" s="12" t="n">
        <v>0</v>
      </c>
      <c r="D25" s="12" t="n">
        <v>1</v>
      </c>
      <c r="E25" s="12" t="s">
        <v>1764</v>
      </c>
      <c r="F25" s="13" t="s">
        <v>1712</v>
      </c>
      <c r="G25" s="13" t="s">
        <v>1712</v>
      </c>
    </row>
    <row r="26" customFormat="false" ht="15" hidden="false" customHeight="false" outlineLevel="0" collapsed="false">
      <c r="A26" s="12" t="s">
        <v>1765</v>
      </c>
      <c r="B26" s="12" t="s">
        <v>1766</v>
      </c>
      <c r="C26" s="12" t="n">
        <v>0</v>
      </c>
      <c r="D26" s="12" t="n">
        <v>1</v>
      </c>
      <c r="E26" s="12" t="s">
        <v>1767</v>
      </c>
      <c r="F26" s="13" t="s">
        <v>1712</v>
      </c>
      <c r="G26" s="13" t="s">
        <v>1712</v>
      </c>
    </row>
    <row r="27" customFormat="false" ht="15" hidden="false" customHeight="false" outlineLevel="0" collapsed="false">
      <c r="A27" s="12" t="s">
        <v>1768</v>
      </c>
      <c r="B27" s="12" t="s">
        <v>1769</v>
      </c>
      <c r="C27" s="12" t="n">
        <v>0</v>
      </c>
      <c r="D27" s="12" t="n">
        <v>1</v>
      </c>
      <c r="E27" s="12" t="s">
        <v>1770</v>
      </c>
      <c r="F27" s="13" t="s">
        <v>1712</v>
      </c>
      <c r="G27" s="13" t="s">
        <v>1712</v>
      </c>
    </row>
    <row r="28" customFormat="false" ht="15" hidden="false" customHeight="false" outlineLevel="0" collapsed="false">
      <c r="A28" s="12" t="s">
        <v>1771</v>
      </c>
      <c r="B28" s="12" t="s">
        <v>1772</v>
      </c>
      <c r="C28" s="12" t="n">
        <v>0</v>
      </c>
      <c r="D28" s="12" t="n">
        <v>1</v>
      </c>
      <c r="E28" s="12" t="s">
        <v>1773</v>
      </c>
      <c r="F28" s="13" t="s">
        <v>1712</v>
      </c>
      <c r="G28" s="13" t="s">
        <v>1712</v>
      </c>
    </row>
    <row r="29" customFormat="false" ht="15" hidden="false" customHeight="false" outlineLevel="0" collapsed="false">
      <c r="A29" s="12" t="s">
        <v>1774</v>
      </c>
      <c r="B29" s="12" t="s">
        <v>1775</v>
      </c>
      <c r="C29" s="12" t="n">
        <v>0</v>
      </c>
      <c r="D29" s="12" t="n">
        <v>1</v>
      </c>
      <c r="E29" s="12" t="s">
        <v>1776</v>
      </c>
      <c r="F29" s="13" t="s">
        <v>1712</v>
      </c>
      <c r="G29" s="13" t="s">
        <v>1712</v>
      </c>
    </row>
    <row r="30" customFormat="false" ht="15" hidden="false" customHeight="false" outlineLevel="0" collapsed="false">
      <c r="A30" s="12" t="s">
        <v>1777</v>
      </c>
      <c r="B30" s="12" t="s">
        <v>1778</v>
      </c>
      <c r="C30" s="12" t="n">
        <v>0</v>
      </c>
      <c r="D30" s="12" t="n">
        <v>1</v>
      </c>
      <c r="E30" s="12" t="s">
        <v>1779</v>
      </c>
      <c r="F30" s="13" t="s">
        <v>1712</v>
      </c>
      <c r="G30" s="13" t="s">
        <v>1712</v>
      </c>
    </row>
  </sheetData>
  <mergeCells count="2">
    <mergeCell ref="A2:N2"/>
    <mergeCell ref="A4:N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4" min="3" style="0" width="16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/>
      <c r="B1" s="1"/>
      <c r="C1" s="1"/>
      <c r="D1" s="1"/>
      <c r="E1" s="1"/>
    </row>
    <row r="2" customFormat="false" ht="24" hidden="false" customHeight="true" outlineLevel="0" collapsed="false">
      <c r="A2" s="2" t="s">
        <v>1780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</row>
    <row r="4" customFormat="false" ht="20" hidden="false" customHeight="true" outlineLevel="0" collapsed="false">
      <c r="A4" s="4" t="s">
        <v>1781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3"/>
      <c r="B5" s="3"/>
      <c r="C5" s="3"/>
      <c r="D5" s="3"/>
      <c r="E5" s="3"/>
    </row>
    <row r="6" customFormat="false" ht="24" hidden="false" customHeight="true" outlineLevel="0" collapsed="false">
      <c r="A6" s="9" t="s">
        <v>1782</v>
      </c>
      <c r="B6" s="10" t="s">
        <v>1783</v>
      </c>
      <c r="C6" s="10" t="s">
        <v>1784</v>
      </c>
      <c r="D6" s="10" t="s">
        <v>1785</v>
      </c>
      <c r="E6" s="11" t="s">
        <v>327</v>
      </c>
    </row>
    <row r="7" customFormat="false" ht="15" hidden="false" customHeight="false" outlineLevel="0" collapsed="false">
      <c r="A7" s="12" t="s">
        <v>1711</v>
      </c>
      <c r="B7" s="12" t="s">
        <v>1660</v>
      </c>
      <c r="C7" s="13" t="n">
        <f aca="false">Inputs!B7</f>
        <v>6</v>
      </c>
      <c r="D7" s="13" t="n">
        <v>6</v>
      </c>
      <c r="E7" s="13" t="str">
        <f aca="false">IF(ABS(C7-D7)&lt;=Inputs!$B$31,"PASS","FAIL")</f>
        <v>PASS</v>
      </c>
    </row>
    <row r="8" customFormat="false" ht="15" hidden="false" customHeight="false" outlineLevel="0" collapsed="false">
      <c r="A8" s="12" t="s">
        <v>1786</v>
      </c>
      <c r="B8" s="12" t="s">
        <v>1787</v>
      </c>
      <c r="C8" s="13" t="n">
        <f aca="false">Inputs!B8</f>
        <v>6</v>
      </c>
      <c r="D8" s="13" t="n">
        <v>6</v>
      </c>
      <c r="E8" s="13" t="str">
        <f aca="false">IF(ABS(C8-D8)&lt;=Inputs!$B$31,"PASS","FAIL")</f>
        <v>PASS</v>
      </c>
    </row>
    <row r="9" customFormat="false" ht="15" hidden="false" customHeight="false" outlineLevel="0" collapsed="false">
      <c r="A9" s="12" t="s">
        <v>1715</v>
      </c>
      <c r="B9" s="12" t="s">
        <v>1788</v>
      </c>
      <c r="C9" s="13" t="n">
        <f aca="false">Inputs!B9</f>
        <v>30</v>
      </c>
      <c r="D9" s="13" t="n">
        <v>30</v>
      </c>
      <c r="E9" s="13" t="str">
        <f aca="false">IF(ABS(C9-D9)&lt;=Inputs!$B$31,"PASS","FAIL")</f>
        <v>PASS</v>
      </c>
    </row>
    <row r="10" customFormat="false" ht="15" hidden="false" customHeight="false" outlineLevel="0" collapsed="false">
      <c r="A10" s="12" t="s">
        <v>1718</v>
      </c>
      <c r="B10" s="12" t="s">
        <v>1789</v>
      </c>
      <c r="C10" s="13" t="n">
        <f aca="false">Inputs!B10</f>
        <v>12</v>
      </c>
      <c r="D10" s="13" t="n">
        <v>12</v>
      </c>
      <c r="E10" s="13" t="str">
        <f aca="false">IF(ABS(C10-D10)&lt;=Inputs!$B$31,"PASS","FAIL")</f>
        <v>PASS</v>
      </c>
    </row>
    <row r="11" customFormat="false" ht="15" hidden="false" customHeight="false" outlineLevel="0" collapsed="false">
      <c r="A11" s="12" t="s">
        <v>1721</v>
      </c>
      <c r="B11" s="12" t="s">
        <v>1790</v>
      </c>
      <c r="C11" s="13" t="n">
        <f aca="false">Inputs!B11</f>
        <v>6</v>
      </c>
      <c r="D11" s="13" t="n">
        <v>6</v>
      </c>
      <c r="E11" s="13" t="str">
        <f aca="false">IF(ABS(C11-D11)&lt;=Inputs!$B$31,"PASS","FAIL")</f>
        <v>PASS</v>
      </c>
    </row>
    <row r="12" customFormat="false" ht="15" hidden="false" customHeight="false" outlineLevel="0" collapsed="false">
      <c r="A12" s="12" t="s">
        <v>1724</v>
      </c>
      <c r="B12" s="12" t="s">
        <v>1791</v>
      </c>
      <c r="C12" s="13" t="n">
        <f aca="false">Inputs!B12</f>
        <v>18</v>
      </c>
      <c r="D12" s="13" t="n">
        <v>18</v>
      </c>
      <c r="E12" s="13" t="str">
        <f aca="false">IF(ABS(C12-D12)&lt;=Inputs!$B$31,"PASS","FAIL")</f>
        <v>PASS</v>
      </c>
    </row>
    <row r="13" customFormat="false" ht="15" hidden="false" customHeight="false" outlineLevel="0" collapsed="false">
      <c r="A13" s="12" t="s">
        <v>1727</v>
      </c>
      <c r="B13" s="12" t="s">
        <v>1792</v>
      </c>
      <c r="C13" s="13" t="n">
        <f aca="false">Inputs!B13</f>
        <v>8</v>
      </c>
      <c r="D13" s="13" t="n">
        <v>8</v>
      </c>
      <c r="E13" s="13" t="str">
        <f aca="false">IF(ABS(C13-D13)&lt;=Inputs!$B$31,"PASS","FAIL")</f>
        <v>PASS</v>
      </c>
    </row>
    <row r="14" customFormat="false" ht="15" hidden="false" customHeight="false" outlineLevel="0" collapsed="false">
      <c r="A14" s="12" t="s">
        <v>1730</v>
      </c>
      <c r="B14" s="12" t="s">
        <v>1793</v>
      </c>
      <c r="C14" s="13" t="n">
        <f aca="false">Inputs!B14</f>
        <v>10</v>
      </c>
      <c r="D14" s="13" t="n">
        <v>10</v>
      </c>
      <c r="E14" s="13" t="str">
        <f aca="false">IF(ABS(C14-D14)&lt;=Inputs!$B$31,"PASS","FAIL")</f>
        <v>PASS</v>
      </c>
    </row>
    <row r="15" customFormat="false" ht="15" hidden="false" customHeight="false" outlineLevel="0" collapsed="false">
      <c r="A15" s="12" t="s">
        <v>1733</v>
      </c>
      <c r="B15" s="12" t="s">
        <v>1794</v>
      </c>
      <c r="C15" s="13" t="n">
        <f aca="false">Inputs!B15</f>
        <v>6</v>
      </c>
      <c r="D15" s="13" t="n">
        <v>6</v>
      </c>
      <c r="E15" s="13" t="str">
        <f aca="false">IF(ABS(C15-D15)&lt;=Inputs!$B$31,"PASS","FAIL")</f>
        <v>PASS</v>
      </c>
    </row>
    <row r="16" customFormat="false" ht="15" hidden="false" customHeight="false" outlineLevel="0" collapsed="false">
      <c r="A16" s="12" t="s">
        <v>1736</v>
      </c>
      <c r="B16" s="12" t="s">
        <v>1795</v>
      </c>
      <c r="C16" s="13" t="n">
        <f aca="false">Inputs!B16</f>
        <v>18</v>
      </c>
      <c r="D16" s="13" t="n">
        <v>18</v>
      </c>
      <c r="E16" s="13" t="str">
        <f aca="false">IF(ABS(C16-D16)&lt;=Inputs!$B$31,"PASS","FAIL")</f>
        <v>PASS</v>
      </c>
    </row>
    <row r="17" customFormat="false" ht="15" hidden="false" customHeight="false" outlineLevel="0" collapsed="false">
      <c r="A17" s="12" t="s">
        <v>1796</v>
      </c>
      <c r="B17" s="12" t="s">
        <v>1797</v>
      </c>
      <c r="C17" s="13" t="n">
        <f aca="false">Inputs!B17</f>
        <v>96</v>
      </c>
      <c r="D17" s="13" t="n">
        <v>96</v>
      </c>
      <c r="E17" s="13" t="str">
        <f aca="false">IF(ABS(C17-D17)&lt;=Inputs!$B$31,"PASS","FAIL")</f>
        <v>PASS</v>
      </c>
    </row>
    <row r="18" customFormat="false" ht="15" hidden="false" customHeight="false" outlineLevel="0" collapsed="false">
      <c r="A18" s="12" t="s">
        <v>1798</v>
      </c>
      <c r="B18" s="12" t="s">
        <v>1799</v>
      </c>
      <c r="C18" s="13" t="n">
        <f aca="false">Inputs!B18</f>
        <v>78</v>
      </c>
      <c r="D18" s="13" t="n">
        <v>78</v>
      </c>
      <c r="E18" s="13" t="str">
        <f aca="false">IF(ABS(C18-D18)&lt;=Inputs!$B$31,"PASS","FAIL")</f>
        <v>PASS</v>
      </c>
    </row>
    <row r="19" customFormat="false" ht="15" hidden="false" customHeight="false" outlineLevel="0" collapsed="false">
      <c r="A19" s="12" t="s">
        <v>1800</v>
      </c>
      <c r="B19" s="12" t="s">
        <v>1801</v>
      </c>
      <c r="C19" s="13" t="n">
        <f aca="false">Inputs!B19</f>
        <v>72</v>
      </c>
      <c r="D19" s="13" t="n">
        <v>72</v>
      </c>
      <c r="E19" s="13" t="str">
        <f aca="false">IF(ABS(C19-D19)&lt;=Inputs!$B$31,"PASS","FAIL")</f>
        <v>PASS</v>
      </c>
    </row>
    <row r="20" customFormat="false" ht="15" hidden="false" customHeight="false" outlineLevel="0" collapsed="false">
      <c r="A20" s="12" t="s">
        <v>1739</v>
      </c>
      <c r="B20" s="12" t="s">
        <v>1802</v>
      </c>
      <c r="C20" s="13" t="n">
        <f aca="false">Inputs!B20</f>
        <v>30</v>
      </c>
      <c r="D20" s="13" t="n">
        <v>30</v>
      </c>
      <c r="E20" s="13" t="str">
        <f aca="false">IF(ABS(C20-D20)&lt;=Inputs!$B$31,"PASS","FAIL")</f>
        <v>PASS</v>
      </c>
    </row>
    <row r="21" customFormat="false" ht="15" hidden="false" customHeight="false" outlineLevel="0" collapsed="false">
      <c r="A21" s="12" t="s">
        <v>1803</v>
      </c>
      <c r="B21" s="12" t="s">
        <v>1804</v>
      </c>
      <c r="C21" s="13" t="n">
        <f aca="false">Inputs!B21</f>
        <v>6</v>
      </c>
      <c r="D21" s="13" t="n">
        <v>6</v>
      </c>
      <c r="E21" s="13" t="str">
        <f aca="false">IF(ABS(C21-D21)&lt;=Inputs!$B$31,"PASS","FAIL")</f>
        <v>PASS</v>
      </c>
    </row>
    <row r="22" customFormat="false" ht="15" hidden="false" customHeight="false" outlineLevel="0" collapsed="false">
      <c r="A22" s="12" t="s">
        <v>1742</v>
      </c>
      <c r="B22" s="12" t="s">
        <v>1805</v>
      </c>
      <c r="C22" s="13" t="n">
        <f aca="false">Inputs!B23+Inputs!B24+Inputs!B25</f>
        <v>100</v>
      </c>
      <c r="D22" s="13" t="n">
        <v>100</v>
      </c>
      <c r="E22" s="13" t="str">
        <f aca="false">IF(ABS(C22-D22)&lt;=Inputs!$B$31,"PASS","FAIL")</f>
        <v>PASS</v>
      </c>
    </row>
    <row r="23" customFormat="false" ht="15" hidden="false" customHeight="false" outlineLevel="0" collapsed="false">
      <c r="A23" s="12" t="s">
        <v>1749</v>
      </c>
      <c r="B23" s="12" t="s">
        <v>1806</v>
      </c>
      <c r="C23" s="13" t="n">
        <f aca="false">Inputs!B26</f>
        <v>540</v>
      </c>
      <c r="D23" s="13" t="n">
        <v>540</v>
      </c>
      <c r="E23" s="13" t="str">
        <f aca="false">IF(ABS(C23-D23)&lt;=Inputs!$B$31,"PASS","FAIL")</f>
        <v>PASS</v>
      </c>
    </row>
    <row r="24" customFormat="false" ht="15" hidden="false" customHeight="false" outlineLevel="0" collapsed="false">
      <c r="A24" s="12" t="s">
        <v>1752</v>
      </c>
      <c r="B24" s="12" t="s">
        <v>1807</v>
      </c>
      <c r="C24" s="13" t="n">
        <f aca="false">Inputs!B27</f>
        <v>41.254333</v>
      </c>
      <c r="D24" s="13" t="n">
        <v>41.254333</v>
      </c>
      <c r="E24" s="13" t="str">
        <f aca="false">IF(ABS(C24-D24)&lt;=Inputs!$B$31,"PASS","FAIL")</f>
        <v>PASS</v>
      </c>
    </row>
    <row r="25" customFormat="false" ht="15" hidden="false" customHeight="false" outlineLevel="0" collapsed="false">
      <c r="A25" s="12" t="s">
        <v>1755</v>
      </c>
      <c r="B25" s="12" t="s">
        <v>1808</v>
      </c>
      <c r="C25" s="13" t="n">
        <f aca="false">Inputs!B28</f>
        <v>179.345640966028</v>
      </c>
      <c r="D25" s="13" t="n">
        <v>179.345640966028</v>
      </c>
      <c r="E25" s="13" t="str">
        <f aca="false">IF(ABS(C25-D25)&lt;=Inputs!$B$31,"PASS","FAIL")</f>
        <v>PASS</v>
      </c>
    </row>
    <row r="26" customFormat="false" ht="15" hidden="false" customHeight="false" outlineLevel="0" collapsed="false">
      <c r="A26" s="12" t="s">
        <v>1758</v>
      </c>
      <c r="B26" s="12" t="s">
        <v>1809</v>
      </c>
      <c r="C26" s="13" t="n">
        <f aca="false">Inputs!B29</f>
        <v>358.691281932057</v>
      </c>
      <c r="D26" s="13" t="n">
        <v>358.691281932057</v>
      </c>
      <c r="E26" s="13" t="str">
        <f aca="false">IF(ABS(C26-D26)&lt;=Inputs!$B$31,"PASS","FAIL")</f>
        <v>PASS</v>
      </c>
    </row>
    <row r="27" customFormat="false" ht="15" hidden="false" customHeight="false" outlineLevel="0" collapsed="false">
      <c r="A27" s="12" t="s">
        <v>1810</v>
      </c>
      <c r="B27" s="12" t="s">
        <v>1811</v>
      </c>
      <c r="C27" s="13" t="n">
        <f aca="false">Inputs!B28+Inputs!B29</f>
        <v>538.036922898085</v>
      </c>
      <c r="D27" s="13" t="n">
        <v>538.036922898085</v>
      </c>
      <c r="E27" s="13" t="str">
        <f aca="false">IF(ABS(C27-D27)&lt;=Inputs!$B$31,"PASS","FAIL")</f>
        <v>PASS</v>
      </c>
    </row>
    <row r="28" customFormat="false" ht="15" hidden="false" customHeight="false" outlineLevel="0" collapsed="false">
      <c r="A28" s="12" t="s">
        <v>1812</v>
      </c>
      <c r="B28" s="12" t="s">
        <v>1813</v>
      </c>
      <c r="C28" s="13" t="n">
        <f aca="false">COUNTA('Decision Tests'!A7:A11)</f>
        <v>5</v>
      </c>
      <c r="D28" s="13" t="n">
        <v>5</v>
      </c>
      <c r="E28" s="13" t="str">
        <f aca="false">IF(ABS(C28-D28)&lt;=Inputs!$B$31,"PASS","FAIL")</f>
        <v>PASS</v>
      </c>
    </row>
    <row r="29" customFormat="false" ht="15" hidden="false" customHeight="false" outlineLevel="0" collapsed="false">
      <c r="A29" s="12" t="s">
        <v>1814</v>
      </c>
      <c r="B29" s="12" t="s">
        <v>1815</v>
      </c>
      <c r="C29" s="13" t="n">
        <f aca="false">COUNTIFS('Decision Tests'!N7:N11,"SELECT")</f>
        <v>1</v>
      </c>
      <c r="D29" s="13" t="n">
        <v>1</v>
      </c>
      <c r="E29" s="13" t="str">
        <f aca="false">IF(ABS(C29-D29)&lt;=Inputs!$B$31,"PASS","FAIL")</f>
        <v>PASS</v>
      </c>
    </row>
    <row r="30" customFormat="false" ht="15" hidden="false" customHeight="false" outlineLevel="0" collapsed="false">
      <c r="A30" s="12" t="s">
        <v>1816</v>
      </c>
      <c r="B30" s="12" t="s">
        <v>1817</v>
      </c>
      <c r="C30" s="13" t="n">
        <f aca="false">SUMIFS('Decision Tests'!M7:M11,'Decision Tests'!N7:N11,"SELECT")</f>
        <v>10</v>
      </c>
      <c r="D30" s="13" t="n">
        <v>10</v>
      </c>
      <c r="E30" s="13" t="str">
        <f aca="false">IF(ABS(C30-D30)&lt;=Inputs!$B$31,"PASS","FAIL")</f>
        <v>PASS</v>
      </c>
    </row>
    <row r="31" customFormat="false" ht="15" hidden="false" customHeight="false" outlineLevel="0" collapsed="false">
      <c r="A31" s="12" t="s">
        <v>1818</v>
      </c>
      <c r="B31" s="12" t="s">
        <v>1819</v>
      </c>
      <c r="C31" s="13" t="n">
        <f aca="false">COUNTA(Precedence!A7:A33)</f>
        <v>27</v>
      </c>
      <c r="D31" s="13" t="n">
        <v>27</v>
      </c>
      <c r="E31" s="13" t="str">
        <f aca="false">IF(ABS(C31-D31)&lt;=Inputs!$B$31,"PASS","FAIL")</f>
        <v>PASS</v>
      </c>
    </row>
    <row r="32" customFormat="false" ht="15" hidden="false" customHeight="false" outlineLevel="0" collapsed="false">
      <c r="A32" s="12" t="s">
        <v>1820</v>
      </c>
      <c r="B32" s="12" t="s">
        <v>1821</v>
      </c>
      <c r="C32" s="13" t="n">
        <f aca="false">COUNTA('Package Register'!A7:A36)</f>
        <v>30</v>
      </c>
      <c r="D32" s="13" t="n">
        <v>30</v>
      </c>
      <c r="E32" s="13" t="str">
        <f aca="false">IF(ABS(C32-D32)&lt;=Inputs!$B$31,"PASS","FAIL")</f>
        <v>PASS</v>
      </c>
    </row>
    <row r="33" customFormat="false" ht="15" hidden="false" customHeight="false" outlineLevel="0" collapsed="false">
      <c r="A33" s="12" t="s">
        <v>1822</v>
      </c>
      <c r="B33" s="12" t="s">
        <v>1823</v>
      </c>
      <c r="C33" s="13" t="n">
        <f aca="false">SUM('Package Register'!F7:F36)</f>
        <v>179.345640966028</v>
      </c>
      <c r="D33" s="13" t="n">
        <v>179.345640966028</v>
      </c>
      <c r="E33" s="13" t="str">
        <f aca="false">IF(ABS(C33-D33)&lt;=Inputs!$B$31,"PASS","FAIL")</f>
        <v>PASS</v>
      </c>
    </row>
    <row r="34" customFormat="false" ht="15" hidden="false" customHeight="false" outlineLevel="0" collapsed="false">
      <c r="A34" s="12" t="s">
        <v>1824</v>
      </c>
      <c r="B34" s="12" t="s">
        <v>1825</v>
      </c>
      <c r="C34" s="13" t="n">
        <f aca="false">SUM('Package Register'!G7:G36)</f>
        <v>30</v>
      </c>
      <c r="D34" s="13" t="n">
        <v>30</v>
      </c>
      <c r="E34" s="13" t="str">
        <f aca="false">IF(ABS(C34-D34)&lt;=Inputs!$B$31,"PASS","FAIL")</f>
        <v>PASS</v>
      </c>
    </row>
    <row r="35" customFormat="false" ht="15" hidden="false" customHeight="false" outlineLevel="0" collapsed="false">
      <c r="A35" s="12" t="s">
        <v>1826</v>
      </c>
      <c r="B35" s="12" t="s">
        <v>1827</v>
      </c>
      <c r="C35" s="13" t="n">
        <f aca="false">COUNTA('Validity Gates'!A7:A366)</f>
        <v>360</v>
      </c>
      <c r="D35" s="13" t="n">
        <v>360</v>
      </c>
      <c r="E35" s="13" t="str">
        <f aca="false">IF(ABS(C35-D35)&lt;=Inputs!$B$31,"PASS","FAIL")</f>
        <v>PASS</v>
      </c>
    </row>
    <row r="36" customFormat="false" ht="15" hidden="false" customHeight="false" outlineLevel="0" collapsed="false">
      <c r="A36" s="12" t="s">
        <v>1828</v>
      </c>
      <c r="B36" s="12" t="s">
        <v>1829</v>
      </c>
      <c r="C36" s="13" t="n">
        <f aca="false">COUNTIFS('Validity Gates'!H7:H366,"PASS")</f>
        <v>60</v>
      </c>
      <c r="D36" s="13" t="n">
        <v>60</v>
      </c>
      <c r="E36" s="13" t="str">
        <f aca="false">IF(ABS(C36-D36)&lt;=Inputs!$B$31,"PASS","FAIL")</f>
        <v>PASS</v>
      </c>
    </row>
    <row r="37" customFormat="false" ht="15" hidden="false" customHeight="false" outlineLevel="0" collapsed="false">
      <c r="A37" s="12" t="s">
        <v>1830</v>
      </c>
      <c r="B37" s="12" t="s">
        <v>1831</v>
      </c>
      <c r="C37" s="13" t="n">
        <f aca="false">COUNTIFS('Validity Gates'!H7:H366,"OPEN")</f>
        <v>300</v>
      </c>
      <c r="D37" s="13" t="n">
        <v>300</v>
      </c>
      <c r="E37" s="13" t="str">
        <f aca="false">IF(ABS(C37-D37)&lt;=Inputs!$B$31,"PASS","FAIL")</f>
        <v>PASS</v>
      </c>
    </row>
    <row r="38" customFormat="false" ht="15" hidden="false" customHeight="false" outlineLevel="0" collapsed="false">
      <c r="A38" s="12" t="s">
        <v>1832</v>
      </c>
      <c r="B38" s="12" t="s">
        <v>1833</v>
      </c>
      <c r="C38" s="13" t="n">
        <f aca="false">COUNTA('Claim Register'!A7:A186)</f>
        <v>180</v>
      </c>
      <c r="D38" s="13" t="n">
        <v>180</v>
      </c>
      <c r="E38" s="13" t="str">
        <f aca="false">IF(ABS(C38-D38)&lt;=Inputs!$B$31,"PASS","FAIL")</f>
        <v>PASS</v>
      </c>
    </row>
    <row r="39" customFormat="false" ht="15" hidden="false" customHeight="false" outlineLevel="0" collapsed="false">
      <c r="A39" s="12" t="s">
        <v>1834</v>
      </c>
      <c r="B39" s="12" t="s">
        <v>1835</v>
      </c>
      <c r="C39" s="13" t="n">
        <f aca="false">SUMIFS('Claim Register'!E7:E186,'Claim Register'!B7:B186,"P01")</f>
        <v>1</v>
      </c>
      <c r="D39" s="13" t="n">
        <v>1</v>
      </c>
      <c r="E39" s="13" t="str">
        <f aca="false">IF(ABS(C39-D39)&lt;=Inputs!$B$31,"PASS","FAIL")</f>
        <v>PASS</v>
      </c>
    </row>
    <row r="40" customFormat="false" ht="15" hidden="false" customHeight="false" outlineLevel="0" collapsed="false">
      <c r="A40" s="12" t="s">
        <v>1836</v>
      </c>
      <c r="B40" s="12" t="s">
        <v>1837</v>
      </c>
      <c r="C40" s="13" t="n">
        <f aca="false">SUM('Claim Register'!G7:G186)</f>
        <v>179.345640966028</v>
      </c>
      <c r="D40" s="13" t="n">
        <v>179.345640966028</v>
      </c>
      <c r="E40" s="13" t="str">
        <f aca="false">IF(ABS(C40-D40)&lt;=Inputs!$B$31,"PASS","FAIL")</f>
        <v>PASS</v>
      </c>
    </row>
    <row r="41" customFormat="false" ht="15" hidden="false" customHeight="false" outlineLevel="0" collapsed="false">
      <c r="A41" s="12" t="s">
        <v>1838</v>
      </c>
      <c r="B41" s="12" t="s">
        <v>1839</v>
      </c>
      <c r="C41" s="13" t="n">
        <f aca="false">COUNTIFS('Claim Register'!M7:M186,"PAYABLE")</f>
        <v>0</v>
      </c>
      <c r="D41" s="13" t="n">
        <v>0</v>
      </c>
      <c r="E41" s="13" t="str">
        <f aca="false">IF(ABS(C41-D41)&lt;=Inputs!$B$31,"PASS","FAIL")</f>
        <v>PASS</v>
      </c>
    </row>
    <row r="42" customFormat="false" ht="15" hidden="false" customHeight="false" outlineLevel="0" collapsed="false">
      <c r="A42" s="12" t="s">
        <v>1840</v>
      </c>
      <c r="B42" s="12" t="s">
        <v>1841</v>
      </c>
      <c r="C42" s="13" t="n">
        <f aca="false">SUM('Claim Register'!L7:L186)</f>
        <v>0</v>
      </c>
      <c r="D42" s="13" t="n">
        <v>0</v>
      </c>
      <c r="E42" s="13" t="str">
        <f aca="false">IF(ABS(C42-D42)&lt;=Inputs!$B$31,"PASS","FAIL")</f>
        <v>PASS</v>
      </c>
    </row>
    <row r="43" customFormat="false" ht="15" hidden="false" customHeight="false" outlineLevel="0" collapsed="false">
      <c r="A43" s="12" t="s">
        <v>1842</v>
      </c>
      <c r="B43" s="12" t="s">
        <v>1843</v>
      </c>
      <c r="C43" s="13" t="n">
        <f aca="false">COUNTA('Authority Separation'!A7:A42)</f>
        <v>36</v>
      </c>
      <c r="D43" s="13" t="n">
        <v>36</v>
      </c>
      <c r="E43" s="13" t="str">
        <f aca="false">IF(ABS(C43-D43)&lt;=Inputs!$B$31,"PASS","FAIL")</f>
        <v>PASS</v>
      </c>
    </row>
    <row r="44" customFormat="false" ht="15" hidden="false" customHeight="false" outlineLevel="0" collapsed="false">
      <c r="A44" s="12" t="s">
        <v>1844</v>
      </c>
      <c r="B44" s="12" t="s">
        <v>1845</v>
      </c>
      <c r="C44" s="13" t="n">
        <f aca="false">COUNTIFS('Authority Separation'!G7:G42,"PASS")</f>
        <v>36</v>
      </c>
      <c r="D44" s="13" t="n">
        <v>36</v>
      </c>
      <c r="E44" s="13" t="str">
        <f aca="false">IF(ABS(C44-D44)&lt;=Inputs!$B$31,"PASS","FAIL")</f>
        <v>PASS</v>
      </c>
    </row>
    <row r="45" customFormat="false" ht="15" hidden="false" customHeight="false" outlineLevel="0" collapsed="false">
      <c r="A45" s="12" t="s">
        <v>1846</v>
      </c>
      <c r="B45" s="12" t="s">
        <v>1847</v>
      </c>
      <c r="C45" s="13" t="n">
        <f aca="false">COUNTA(Nonconversions!A7:A38)</f>
        <v>32</v>
      </c>
      <c r="D45" s="13" t="n">
        <v>32</v>
      </c>
      <c r="E45" s="13" t="str">
        <f aca="false">IF(ABS(C45-D45)&lt;=Inputs!$B$31,"PASS","FAIL")</f>
        <v>PASS</v>
      </c>
    </row>
    <row r="46" customFormat="false" ht="15" hidden="false" customHeight="false" outlineLevel="0" collapsed="false">
      <c r="A46" s="12" t="s">
        <v>1848</v>
      </c>
      <c r="B46" s="12" t="s">
        <v>1849</v>
      </c>
      <c r="C46" s="13" t="n">
        <f aca="false">COUNTA('Expiry Routes'!A7:A24)</f>
        <v>18</v>
      </c>
      <c r="D46" s="13" t="n">
        <v>18</v>
      </c>
      <c r="E46" s="13" t="str">
        <f aca="false">IF(ABS(C46-D46)&lt;=Inputs!$B$31,"PASS","FAIL")</f>
        <v>PASS</v>
      </c>
    </row>
    <row r="47" customFormat="false" ht="15" hidden="false" customHeight="false" outlineLevel="0" collapsed="false">
      <c r="A47" s="12" t="s">
        <v>1850</v>
      </c>
      <c r="B47" s="12" t="s">
        <v>1851</v>
      </c>
      <c r="C47" s="13" t="n">
        <f aca="false">COUNTA('Rollback Routes'!A7:A24)</f>
        <v>18</v>
      </c>
      <c r="D47" s="13" t="n">
        <v>18</v>
      </c>
      <c r="E47" s="13" t="str">
        <f aca="false">IF(ABS(C47-D47)&lt;=Inputs!$B$31,"PASS","FAIL")</f>
        <v>PASS</v>
      </c>
    </row>
    <row r="48" customFormat="false" ht="15" hidden="false" customHeight="false" outlineLevel="0" collapsed="false">
      <c r="A48" s="12" t="s">
        <v>1852</v>
      </c>
      <c r="B48" s="12" t="s">
        <v>1853</v>
      </c>
      <c r="C48" s="13" t="n">
        <f aca="false">COUNTA('Termination Routes'!A7:A22)</f>
        <v>16</v>
      </c>
      <c r="D48" s="13" t="n">
        <v>16</v>
      </c>
      <c r="E48" s="13" t="str">
        <f aca="false">IF(ABS(C48-D48)&lt;=Inputs!$B$31,"PASS","FAIL")</f>
        <v>PASS</v>
      </c>
    </row>
    <row r="49" customFormat="false" ht="15" hidden="false" customHeight="false" outlineLevel="0" collapsed="false">
      <c r="A49" s="12" t="s">
        <v>1854</v>
      </c>
      <c r="B49" s="12" t="s">
        <v>1855</v>
      </c>
      <c r="C49" s="13" t="n">
        <f aca="false">COUNTA('Stress Worlds'!A7:A46)</f>
        <v>40</v>
      </c>
      <c r="D49" s="13" t="n">
        <v>40</v>
      </c>
      <c r="E49" s="13" t="str">
        <f aca="false">IF(ABS(C49-D49)&lt;=Inputs!$B$31,"PASS","FAIL")</f>
        <v>PASS</v>
      </c>
    </row>
    <row r="50" customFormat="false" ht="15" hidden="false" customHeight="false" outlineLevel="0" collapsed="false">
      <c r="A50" s="12" t="s">
        <v>1856</v>
      </c>
      <c r="B50" s="12" t="s">
        <v>1857</v>
      </c>
      <c r="C50" s="13" t="n">
        <f aca="false">COUNTIFS('Stress Worlds'!AC7:AC46,"PASS")</f>
        <v>40</v>
      </c>
      <c r="D50" s="13" t="n">
        <v>40</v>
      </c>
      <c r="E50" s="13" t="str">
        <f aca="false">IF(ABS(C50-D50)&lt;=Inputs!$B$31,"PASS","FAIL")</f>
        <v>PASS</v>
      </c>
    </row>
    <row r="51" customFormat="false" ht="15" hidden="false" customHeight="false" outlineLevel="0" collapsed="false">
      <c r="A51" s="12" t="s">
        <v>1858</v>
      </c>
      <c r="B51" s="12" t="s">
        <v>1859</v>
      </c>
      <c r="C51" s="13" t="n">
        <f aca="false">COUNTIFS('Stress Worlds'!B7:B46,"LAWFUL")</f>
        <v>8</v>
      </c>
      <c r="D51" s="13" t="n">
        <v>8</v>
      </c>
      <c r="E51" s="13" t="str">
        <f aca="false">IF(ABS(C51-D51)&lt;=Inputs!$B$31,"PASS","FAIL")</f>
        <v>PASS</v>
      </c>
    </row>
    <row r="52" customFormat="false" ht="15" hidden="false" customHeight="false" outlineLevel="0" collapsed="false">
      <c r="A52" s="12" t="s">
        <v>1860</v>
      </c>
      <c r="B52" s="12" t="s">
        <v>1861</v>
      </c>
      <c r="C52" s="13" t="n">
        <f aca="false">COUNTIFS('Stress Worlds'!B7:B46,"CONVERSION")</f>
        <v>5</v>
      </c>
      <c r="D52" s="13" t="n">
        <v>5</v>
      </c>
      <c r="E52" s="13" t="str">
        <f aca="false">IF(ABS(C52-D52)&lt;=Inputs!$B$31,"PASS","FAIL")</f>
        <v>PASS</v>
      </c>
    </row>
    <row r="53" customFormat="false" ht="15" hidden="false" customHeight="false" outlineLevel="0" collapsed="false">
      <c r="A53" s="12" t="s">
        <v>1862</v>
      </c>
      <c r="B53" s="12" t="s">
        <v>1863</v>
      </c>
      <c r="C53" s="13" t="n">
        <f aca="false">COUNTIFS('Stress Worlds'!B7:B46,"COMPOUND")</f>
        <v>7</v>
      </c>
      <c r="D53" s="13" t="n">
        <v>7</v>
      </c>
      <c r="E53" s="13" t="str">
        <f aca="false">IF(ABS(C53-D53)&lt;=Inputs!$B$31,"PASS","FAIL")</f>
        <v>PASS</v>
      </c>
    </row>
    <row r="54" customFormat="false" ht="15" hidden="false" customHeight="false" outlineLevel="0" collapsed="false">
      <c r="A54" s="12" t="s">
        <v>1761</v>
      </c>
      <c r="B54" s="12" t="s">
        <v>1864</v>
      </c>
      <c r="C54" s="13" t="n">
        <f aca="false">Inputs!B50</f>
        <v>0</v>
      </c>
      <c r="D54" s="13" t="n">
        <v>0</v>
      </c>
      <c r="E54" s="13" t="str">
        <f aca="false">IF(ABS(C54-D54)&lt;=Inputs!$B$31,"PASS","FAIL")</f>
        <v>PASS</v>
      </c>
    </row>
    <row r="55" customFormat="false" ht="15" hidden="false" customHeight="false" outlineLevel="0" collapsed="false">
      <c r="A55" s="12" t="s">
        <v>1764</v>
      </c>
      <c r="B55" s="12" t="s">
        <v>1865</v>
      </c>
      <c r="C55" s="13" t="n">
        <f aca="false">Inputs!B52</f>
        <v>0</v>
      </c>
      <c r="D55" s="13" t="n">
        <v>0</v>
      </c>
      <c r="E55" s="13" t="str">
        <f aca="false">IF(ABS(C55-D55)&lt;=Inputs!$B$31,"PASS","FAIL")</f>
        <v>PASS</v>
      </c>
    </row>
    <row r="56" customFormat="false" ht="15" hidden="false" customHeight="false" outlineLevel="0" collapsed="false">
      <c r="A56" s="12" t="s">
        <v>1767</v>
      </c>
      <c r="B56" s="12" t="s">
        <v>1866</v>
      </c>
      <c r="C56" s="13" t="n">
        <f aca="false">Inputs!B53</f>
        <v>0</v>
      </c>
      <c r="D56" s="13" t="n">
        <v>0</v>
      </c>
      <c r="E56" s="13" t="str">
        <f aca="false">IF(ABS(C56-D56)&lt;=Inputs!$B$31,"PASS","FAIL")</f>
        <v>PASS</v>
      </c>
    </row>
    <row r="57" customFormat="false" ht="15" hidden="false" customHeight="false" outlineLevel="0" collapsed="false">
      <c r="A57" s="12" t="s">
        <v>1770</v>
      </c>
      <c r="B57" s="12" t="s">
        <v>1867</v>
      </c>
      <c r="C57" s="13" t="n">
        <f aca="false">Inputs!B54</f>
        <v>0</v>
      </c>
      <c r="D57" s="13" t="n">
        <v>0</v>
      </c>
      <c r="E57" s="13" t="str">
        <f aca="false">IF(ABS(C57-D57)&lt;=Inputs!$B$31,"PASS","FAIL")</f>
        <v>PASS</v>
      </c>
    </row>
    <row r="58" customFormat="false" ht="15" hidden="false" customHeight="false" outlineLevel="0" collapsed="false">
      <c r="A58" s="12" t="s">
        <v>1868</v>
      </c>
      <c r="B58" s="12" t="s">
        <v>1869</v>
      </c>
      <c r="C58" s="13" t="n">
        <f aca="false">Inputs!B55</f>
        <v>0</v>
      </c>
      <c r="D58" s="13" t="n">
        <v>0</v>
      </c>
      <c r="E58" s="13" t="str">
        <f aca="false">IF(ABS(C58-D58)&lt;=Inputs!$B$31,"PASS","FAIL")</f>
        <v>PASS</v>
      </c>
    </row>
    <row r="59" customFormat="false" ht="15" hidden="false" customHeight="false" outlineLevel="0" collapsed="false">
      <c r="A59" s="12" t="s">
        <v>1773</v>
      </c>
      <c r="B59" s="12" t="s">
        <v>1870</v>
      </c>
      <c r="C59" s="13" t="n">
        <f aca="false">Inputs!B56</f>
        <v>0</v>
      </c>
      <c r="D59" s="13" t="n">
        <v>0</v>
      </c>
      <c r="E59" s="13" t="str">
        <f aca="false">IF(ABS(C59-D59)&lt;=Inputs!$B$31,"PASS","FAIL")</f>
        <v>PASS</v>
      </c>
    </row>
    <row r="60" customFormat="false" ht="15" hidden="false" customHeight="false" outlineLevel="0" collapsed="false">
      <c r="A60" s="12" t="s">
        <v>1776</v>
      </c>
      <c r="B60" s="12" t="s">
        <v>1871</v>
      </c>
      <c r="C60" s="13" t="n">
        <f aca="false">Inputs!B57</f>
        <v>0</v>
      </c>
      <c r="D60" s="13" t="n">
        <v>0</v>
      </c>
      <c r="E60" s="13" t="str">
        <f aca="false">IF(ABS(C60-D60)&lt;=Inputs!$B$31,"PASS","FAIL")</f>
        <v>PASS</v>
      </c>
    </row>
    <row r="61" customFormat="false" ht="15" hidden="false" customHeight="false" outlineLevel="0" collapsed="false">
      <c r="A61" s="12" t="s">
        <v>1872</v>
      </c>
      <c r="B61" s="12" t="s">
        <v>1873</v>
      </c>
      <c r="C61" s="13" t="n">
        <f aca="false">Inputs!B38</f>
        <v>0</v>
      </c>
      <c r="D61" s="13" t="n">
        <v>0</v>
      </c>
      <c r="E61" s="13" t="str">
        <f aca="false">IF(ABS(C61-D61)&lt;=Inputs!$B$31,"PASS","FAIL")</f>
        <v>PASS</v>
      </c>
    </row>
    <row r="62" customFormat="false" ht="15" hidden="false" customHeight="false" outlineLevel="0" collapsed="false">
      <c r="A62" s="12" t="s">
        <v>1874</v>
      </c>
      <c r="B62" s="12" t="s">
        <v>1875</v>
      </c>
      <c r="C62" s="13" t="n">
        <f aca="false">Inputs!B39</f>
        <v>0</v>
      </c>
      <c r="D62" s="13" t="n">
        <v>0</v>
      </c>
      <c r="E62" s="13" t="str">
        <f aca="false">IF(ABS(C62-D62)&lt;=Inputs!$B$31,"PASS","FAIL")</f>
        <v>PASS</v>
      </c>
    </row>
    <row r="63" customFormat="false" ht="15" hidden="false" customHeight="false" outlineLevel="0" collapsed="false">
      <c r="A63" s="12" t="s">
        <v>1876</v>
      </c>
      <c r="B63" s="12" t="s">
        <v>1877</v>
      </c>
      <c r="C63" s="13" t="n">
        <f aca="false">Inputs!B40</f>
        <v>0</v>
      </c>
      <c r="D63" s="13" t="n">
        <v>0</v>
      </c>
      <c r="E63" s="13" t="str">
        <f aca="false">IF(ABS(C63-D63)&lt;=Inputs!$B$31,"PASS","FAIL")</f>
        <v>PASS</v>
      </c>
    </row>
    <row r="64" customFormat="false" ht="15" hidden="false" customHeight="false" outlineLevel="0" collapsed="false">
      <c r="A64" s="12" t="s">
        <v>1878</v>
      </c>
      <c r="B64" s="12" t="s">
        <v>1879</v>
      </c>
      <c r="C64" s="13" t="n">
        <f aca="false">Inputs!B41</f>
        <v>0</v>
      </c>
      <c r="D64" s="13" t="n">
        <v>0</v>
      </c>
      <c r="E64" s="13" t="str">
        <f aca="false">IF(ABS(C64-D64)&lt;=Inputs!$B$31,"PASS","FAIL")</f>
        <v>PASS</v>
      </c>
    </row>
    <row r="65" customFormat="false" ht="15" hidden="false" customHeight="false" outlineLevel="0" collapsed="false">
      <c r="A65" s="12" t="s">
        <v>1880</v>
      </c>
      <c r="B65" s="12" t="s">
        <v>1881</v>
      </c>
      <c r="C65" s="13" t="n">
        <f aca="false">Inputs!B42</f>
        <v>0</v>
      </c>
      <c r="D65" s="13" t="n">
        <v>0</v>
      </c>
      <c r="E65" s="13" t="str">
        <f aca="false">IF(ABS(C65-D65)&lt;=Inputs!$B$31,"PASS","FAIL")</f>
        <v>PASS</v>
      </c>
    </row>
    <row r="66" customFormat="false" ht="15" hidden="false" customHeight="false" outlineLevel="0" collapsed="false">
      <c r="A66" s="12" t="s">
        <v>1882</v>
      </c>
      <c r="B66" s="12" t="s">
        <v>1883</v>
      </c>
      <c r="C66" s="13" t="n">
        <f aca="false">Inputs!B43</f>
        <v>0</v>
      </c>
      <c r="D66" s="13" t="n">
        <v>0</v>
      </c>
      <c r="E66" s="13" t="str">
        <f aca="false">IF(ABS(C66-D66)&lt;=Inputs!$B$31,"PASS","FAIL")</f>
        <v>PASS</v>
      </c>
    </row>
    <row r="67" customFormat="false" ht="15" hidden="false" customHeight="false" outlineLevel="0" collapsed="false">
      <c r="A67" s="12" t="s">
        <v>1884</v>
      </c>
      <c r="B67" s="12" t="s">
        <v>1885</v>
      </c>
      <c r="C67" s="13" t="n">
        <f aca="false">Inputs!B44</f>
        <v>0</v>
      </c>
      <c r="D67" s="13" t="n">
        <v>0</v>
      </c>
      <c r="E67" s="13" t="str">
        <f aca="false">IF(ABS(C67-D67)&lt;=Inputs!$B$31,"PASS","FAIL")</f>
        <v>PASS</v>
      </c>
    </row>
    <row r="68" customFormat="false" ht="15" hidden="false" customHeight="false" outlineLevel="0" collapsed="false">
      <c r="A68" s="12" t="s">
        <v>1886</v>
      </c>
      <c r="B68" s="12" t="s">
        <v>1887</v>
      </c>
      <c r="C68" s="13" t="n">
        <f aca="false">Inputs!B45</f>
        <v>0</v>
      </c>
      <c r="D68" s="13" t="n">
        <v>0</v>
      </c>
      <c r="E68" s="13" t="str">
        <f aca="false">IF(ABS(C68-D68)&lt;=Inputs!$B$31,"PASS","FAIL")</f>
        <v>PASS</v>
      </c>
    </row>
    <row r="69" customFormat="false" ht="15" hidden="false" customHeight="false" outlineLevel="0" collapsed="false">
      <c r="A69" s="12" t="s">
        <v>1888</v>
      </c>
      <c r="B69" s="12" t="s">
        <v>1889</v>
      </c>
      <c r="C69" s="13" t="n">
        <f aca="false">Inputs!B46</f>
        <v>0</v>
      </c>
      <c r="D69" s="13" t="n">
        <v>0</v>
      </c>
      <c r="E69" s="13" t="str">
        <f aca="false">IF(ABS(C69-D69)&lt;=Inputs!$B$31,"PASS","FAIL")</f>
        <v>PASS</v>
      </c>
    </row>
    <row r="70" customFormat="false" ht="15" hidden="false" customHeight="false" outlineLevel="0" collapsed="false">
      <c r="A70" s="12" t="s">
        <v>1890</v>
      </c>
      <c r="B70" s="12" t="s">
        <v>1891</v>
      </c>
      <c r="C70" s="13" t="n">
        <f aca="false">Inputs!B47</f>
        <v>0</v>
      </c>
      <c r="D70" s="13" t="n">
        <v>0</v>
      </c>
      <c r="E70" s="13" t="str">
        <f aca="false">IF(ABS(C70-D70)&lt;=Inputs!$B$31,"PASS","FAIL")</f>
        <v>PASS</v>
      </c>
    </row>
    <row r="71" customFormat="false" ht="15" hidden="false" customHeight="false" outlineLevel="0" collapsed="false">
      <c r="A71" s="12" t="s">
        <v>1892</v>
      </c>
      <c r="B71" s="12" t="s">
        <v>1893</v>
      </c>
      <c r="C71" s="13" t="n">
        <f aca="false">Inputs!B48</f>
        <v>0</v>
      </c>
      <c r="D71" s="13" t="n">
        <v>0</v>
      </c>
      <c r="E71" s="13" t="str">
        <f aca="false">IF(ABS(C71-D71)&lt;=Inputs!$B$31,"PASS","FAIL")</f>
        <v>PASS</v>
      </c>
    </row>
    <row r="72" customFormat="false" ht="15" hidden="false" customHeight="false" outlineLevel="0" collapsed="false">
      <c r="A72" s="12" t="s">
        <v>1894</v>
      </c>
      <c r="B72" s="12" t="s">
        <v>1895</v>
      </c>
      <c r="C72" s="13" t="n">
        <f aca="false">Inputs!B49</f>
        <v>0</v>
      </c>
      <c r="D72" s="13" t="n">
        <v>0</v>
      </c>
      <c r="E72" s="13" t="str">
        <f aca="false">IF(ABS(C72-D72)&lt;=Inputs!$B$31,"PASS","FAIL")</f>
        <v>PASS</v>
      </c>
    </row>
    <row r="73" customFormat="false" ht="15" hidden="false" customHeight="false" outlineLevel="0" collapsed="false">
      <c r="A73" s="12" t="s">
        <v>1779</v>
      </c>
      <c r="B73" s="12" t="s">
        <v>1896</v>
      </c>
      <c r="C73" s="13" t="n">
        <f aca="false">Inputs!B58</f>
        <v>0</v>
      </c>
      <c r="D73" s="13" t="n">
        <v>0</v>
      </c>
      <c r="E73" s="13" t="str">
        <f aca="false">IF(ABS(C73-D73)&lt;=Inputs!$B$31,"PASS","FAIL")</f>
        <v>PASS</v>
      </c>
    </row>
    <row r="74" customFormat="false" ht="15" hidden="false" customHeight="false" outlineLevel="0" collapsed="false">
      <c r="A74" s="12" t="s">
        <v>1897</v>
      </c>
      <c r="B74" s="12" t="s">
        <v>1898</v>
      </c>
      <c r="C74" s="13" t="n">
        <f aca="false">Inputs!B59</f>
        <v>0</v>
      </c>
      <c r="D74" s="13" t="n">
        <v>0</v>
      </c>
      <c r="E74" s="13" t="str">
        <f aca="false">IF(ABS(C74-D74)&lt;=Inputs!$B$31,"PASS","FAIL")</f>
        <v>PASS</v>
      </c>
    </row>
    <row r="75" customFormat="false" ht="15" hidden="false" customHeight="false" outlineLevel="0" collapsed="false">
      <c r="A75" s="12" t="s">
        <v>1899</v>
      </c>
      <c r="B75" s="12" t="s">
        <v>1900</v>
      </c>
      <c r="C75" s="13" t="n">
        <f aca="false">SUM(Finance!B9:B12)</f>
        <v>1</v>
      </c>
      <c r="D75" s="13" t="n">
        <v>1</v>
      </c>
      <c r="E75" s="13" t="str">
        <f aca="false">IF(ABS(C75-D75)&lt;=Inputs!$B$31,"PASS","FAIL")</f>
        <v>PASS</v>
      </c>
    </row>
    <row r="76" customFormat="false" ht="15" hidden="false" customHeight="false" outlineLevel="0" collapsed="false">
      <c r="A76" s="12" t="s">
        <v>1901</v>
      </c>
      <c r="B76" s="12" t="s">
        <v>1902</v>
      </c>
      <c r="C76" s="13" t="n">
        <f aca="false">SUM(Finance!C9:C12)</f>
        <v>179.345640966028</v>
      </c>
      <c r="D76" s="13" t="n">
        <v>179.345640966028</v>
      </c>
      <c r="E76" s="13" t="str">
        <f aca="false">IF(ABS(C76-D76)&lt;=Inputs!$B$31,"PASS","FAIL")</f>
        <v>PASS</v>
      </c>
    </row>
    <row r="77" customFormat="false" ht="15" hidden="false" customHeight="false" outlineLevel="0" collapsed="false">
      <c r="A77" s="12" t="s">
        <v>1903</v>
      </c>
      <c r="B77" s="12" t="s">
        <v>1904</v>
      </c>
      <c r="C77" s="13" t="n">
        <f aca="false">Finance!B33</f>
        <v>0</v>
      </c>
      <c r="D77" s="13" t="n">
        <v>0</v>
      </c>
      <c r="E77" s="13" t="str">
        <f aca="false">IF(ABS(C77-D77)&lt;=Inputs!$B$31,"PASS","FAIL")</f>
        <v>PASS</v>
      </c>
    </row>
    <row r="78" customFormat="false" ht="15" hidden="false" customHeight="false" outlineLevel="0" collapsed="false">
      <c r="A78" s="12" t="s">
        <v>1905</v>
      </c>
      <c r="B78" s="12" t="s">
        <v>1906</v>
      </c>
      <c r="C78" s="13" t="n">
        <f aca="false">'Return Ledger'!B17</f>
        <v>0</v>
      </c>
      <c r="D78" s="13" t="n">
        <v>0</v>
      </c>
      <c r="E78" s="13" t="str">
        <f aca="false">IF(ABS(C78-D78)&lt;=Inputs!$B$31,"PASS","FAIL")</f>
        <v>PASS</v>
      </c>
    </row>
    <row r="79" customFormat="false" ht="15" hidden="false" customHeight="false" outlineLevel="0" collapsed="false">
      <c r="A79" s="12" t="s">
        <v>1907</v>
      </c>
      <c r="B79" s="12" t="s">
        <v>1908</v>
      </c>
      <c r="C79" s="13" t="n">
        <f aca="false">'Return Ledger'!B18</f>
        <v>1</v>
      </c>
      <c r="D79" s="13" t="n">
        <v>1</v>
      </c>
      <c r="E79" s="13" t="str">
        <f aca="false">IF(ABS(C79-D79)&lt;=Inputs!$B$31,"PASS","FAIL")</f>
        <v>PASS</v>
      </c>
    </row>
    <row r="80" customFormat="false" ht="15" hidden="false" customHeight="false" outlineLevel="0" collapsed="false">
      <c r="A80" s="12" t="s">
        <v>1909</v>
      </c>
      <c r="B80" s="12" t="s">
        <v>1910</v>
      </c>
      <c r="C80" s="13" t="n">
        <f aca="false">'Return Ledger'!B19</f>
        <v>-1</v>
      </c>
      <c r="D80" s="13" t="n">
        <v>-1</v>
      </c>
      <c r="E80" s="13" t="str">
        <f aca="false">IF(ABS(C80-D80)&lt;=Inputs!$B$31,"PASS","FAIL")</f>
        <v>PASS</v>
      </c>
    </row>
    <row r="81" customFormat="false" ht="15" hidden="false" customHeight="false" outlineLevel="0" collapsed="false">
      <c r="A81" s="12" t="s">
        <v>1911</v>
      </c>
      <c r="B81" s="12" t="s">
        <v>1912</v>
      </c>
      <c r="C81" s="13" t="n">
        <f aca="false">'Return Ledger'!B20</f>
        <v>0</v>
      </c>
      <c r="D81" s="13" t="n">
        <v>0</v>
      </c>
      <c r="E81" s="13" t="str">
        <f aca="false">IF(ABS(C81-D81)&lt;=Inputs!$B$31,"PASS","FAIL")</f>
        <v>PASS</v>
      </c>
    </row>
    <row r="82" customFormat="false" ht="15" hidden="false" customHeight="false" outlineLevel="0" collapsed="false">
      <c r="A82" s="12" t="s">
        <v>1913</v>
      </c>
      <c r="B82" s="12" t="s">
        <v>1914</v>
      </c>
      <c r="C82" s="13" t="n">
        <f aca="false">'Return Ledger'!B21</f>
        <v>5</v>
      </c>
      <c r="D82" s="13" t="n">
        <v>5</v>
      </c>
      <c r="E82" s="13" t="str">
        <f aca="false">IF(ABS(C82-D82)&lt;=Inputs!$B$31,"PASS","FAIL")</f>
        <v>PASS</v>
      </c>
    </row>
    <row r="83" customFormat="false" ht="15" hidden="false" customHeight="false" outlineLevel="0" collapsed="false">
      <c r="A83" s="12" t="s">
        <v>1915</v>
      </c>
      <c r="B83" s="12" t="s">
        <v>1916</v>
      </c>
      <c r="C83" s="13" t="n">
        <f aca="false">'Return Ledger'!B22</f>
        <v>5</v>
      </c>
      <c r="D83" s="13" t="n">
        <v>5</v>
      </c>
      <c r="E83" s="13" t="str">
        <f aca="false">IF(ABS(C83-D83)&lt;=Inputs!$B$31,"PASS","FAIL")</f>
        <v>PASS</v>
      </c>
    </row>
  </sheetData>
  <mergeCells count="2">
    <mergeCell ref="A2:N2"/>
    <mergeCell ref="A4:N4"/>
  </mergeCells>
  <conditionalFormatting sqref="E7:E83">
    <cfRule type="containsText" priority="2" operator="containsText" aboveAverage="0" equalAverage="0" bottom="0" percent="0" rank="0" text="FAIL" dxfId="24">
      <formula>NOT(ISERROR(SEARCH("FAIL",E7)))</formula>
    </cfRule>
    <cfRule type="containsText" priority="3" operator="containsText" aboveAverage="0" equalAverage="0" bottom="0" percent="0" rank="0" text="TERMINATED" dxfId="25">
      <formula>NOT(ISERROR(SEARCH("TERMINATED",E7)))</formula>
    </cfRule>
    <cfRule type="containsText" priority="4" operator="containsText" aboveAverage="0" equalAverage="0" bottom="0" percent="0" rank="0" text="OPEN" dxfId="26">
      <formula>NOT(ISERROR(SEARCH("OPEN",E7)))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false"/>
  </sheetPr>
  <dimension ref="A1:N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  <col collapsed="false" customWidth="true" hidden="false" outlineLevel="0" max="14" min="2" style="0" width="1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" hidden="false" customHeight="true" outlineLevel="0" collapsed="false">
      <c r="A2" s="2" t="s">
        <v>1917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0" hidden="false" customHeight="true" outlineLevel="0" collapsed="false">
      <c r="A4" s="4" t="s">
        <v>1918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20" hidden="false" customHeight="true" outlineLevel="0" collapsed="false">
      <c r="A6" s="5" t="s">
        <v>1919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customFormat="false" ht="15" hidden="false" customHeight="false" outlineLevel="0" collapsed="false">
      <c r="A8" s="6" t="s">
        <v>1920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customFormat="false" ht="15" hidden="false" customHeight="false" outlineLevel="0" collapsed="false">
      <c r="A9" s="6" t="s">
        <v>1921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customFormat="false" ht="15" hidden="false" customHeight="false" outlineLevel="0" collapsed="false">
      <c r="A10" s="6" t="s">
        <v>1922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customFormat="false" ht="15" hidden="false" customHeight="false" outlineLevel="0" collapsed="false">
      <c r="A11" s="6" t="s">
        <v>1923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customFormat="false" ht="15" hidden="false" customHeight="false" outlineLevel="0" collapsed="false">
      <c r="A12" s="6" t="s">
        <v>1924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customFormat="false" ht="15" hidden="false" customHeight="false" outlineLevel="0" collapsed="false">
      <c r="A13" s="6" t="s">
        <v>1925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customFormat="false" ht="20" hidden="false" customHeight="true" outlineLevel="0" collapsed="false">
      <c r="A16" s="5" t="s">
        <v>1926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customFormat="false" ht="15" hidden="false" customHeight="false" outlineLevel="0" collapsed="false">
      <c r="A18" s="6" t="s">
        <v>1927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customFormat="false" ht="15" hidden="false" customHeight="false" outlineLevel="0" collapsed="false">
      <c r="A19" s="6" t="s">
        <v>1928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customFormat="false" ht="15" hidden="false" customHeight="false" outlineLevel="0" collapsed="false">
      <c r="A20" s="6" t="s">
        <v>1929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customFormat="false" ht="15" hidden="false" customHeight="false" outlineLevel="0" collapsed="false">
      <c r="A21" s="6" t="s">
        <v>1930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customFormat="false" ht="15" hidden="false" customHeight="false" outlineLevel="0" collapsed="false">
      <c r="A22" s="6" t="s">
        <v>1931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customFormat="false" ht="15" hidden="false" customHeight="false" outlineLevel="0" collapsed="false">
      <c r="A23" s="6" t="s">
        <v>1932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customFormat="false" ht="20" hidden="false" customHeight="true" outlineLevel="0" collapsed="false">
      <c r="A26" s="5" t="s">
        <v>1933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customFormat="false" ht="15" hidden="false" customHeight="false" outlineLevel="0" collapsed="false">
      <c r="A28" s="6" t="s">
        <v>1934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customFormat="false" ht="15" hidden="false" customHeight="false" outlineLevel="0" collapsed="false">
      <c r="A29" s="6" t="s">
        <v>1935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customFormat="false" ht="15" hidden="false" customHeight="false" outlineLevel="0" collapsed="false">
      <c r="A30" s="6" t="s">
        <v>1936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customFormat="false" ht="15" hidden="false" customHeight="false" outlineLevel="0" collapsed="false">
      <c r="A31" s="6" t="s">
        <v>1937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customFormat="false" ht="15" hidden="false" customHeight="false" outlineLevel="0" collapsed="false">
      <c r="A32" s="6" t="s">
        <v>1938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</sheetData>
  <mergeCells count="5">
    <mergeCell ref="A2:N2"/>
    <mergeCell ref="A4:N4"/>
    <mergeCell ref="A6:N6"/>
    <mergeCell ref="A16:N16"/>
    <mergeCell ref="A26:N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