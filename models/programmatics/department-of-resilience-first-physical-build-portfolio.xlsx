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ision" sheetId="1" state="visible" r:id="rId3"/>
    <sheet name="Portfolio Test" sheetId="2" state="visible" r:id="rId4"/>
    <sheet name="Mission Systems" sheetId="3" state="visible" r:id="rId5"/>
    <sheet name="Problem Fields" sheetId="4" state="visible" r:id="rId6"/>
    <sheet name="First Tranche" sheetId="5" state="visible" r:id="rId7"/>
    <sheet name="Article Ladder" sheetId="6" state="visible" r:id="rId8"/>
    <sheet name="Root Triage" sheetId="7" state="visible" r:id="rId9"/>
    <sheet name="Evidence Gates" sheetId="8" state="visible" r:id="rId10"/>
    <sheet name="Production Release" sheetId="9" state="visible" r:id="rId11"/>
    <sheet name="Authority" sheetId="10" state="visible" r:id="rId12"/>
    <sheet name="Industry" sheetId="11" state="visible" r:id="rId13"/>
    <sheet name="25-Year Path" sheetId="12" state="visible" r:id="rId14"/>
    <sheet name="Stress Tests" sheetId="13" state="visible" r:id="rId15"/>
    <sheet name="Mutations" sheetId="14" state="visible" r:id="rId16"/>
    <sheet name="Audit" sheetId="15" state="visible" r:id="rId17"/>
    <sheet name="Sources &amp; Limits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<sst xmlns="http://schemas.openxmlformats.org/spreadsheetml/2006/main" count="1001" uniqueCount="821">
  <si>
    <t xml:space="preserve">First physical build portfolio</t>
  </si>
  <si>
    <t xml:space="preserve">Pass 206 | PFP-1 | build-to-learn authority for all six complete service systems | Verdict: CLOSE</t>
  </si>
  <si>
    <t xml:space="preserve">Selected portfolio</t>
  </si>
  <si>
    <t xml:space="preserve">Authorize a USD 200B National First Article Portfolio across all six mission systems. The first tranche builds public truth infrastructure, 96 unlike mechanism opportunities, root-native kill and resize experiments, route-complete service frames and cold-reconstruction capacity. It releases no production quantity. Production begins only after at least one root from every system survives a rotating all-six G4 mission.</t>
  </si>
  <si>
    <t xml:space="preserve">First-tranche control</t>
  </si>
  <si>
    <t xml:space="preserve">Value</t>
  </si>
  <si>
    <t xml:space="preserve">Unit</t>
  </si>
  <si>
    <t xml:space="preserve">Mature control</t>
  </si>
  <si>
    <t xml:space="preserve">Total authority</t>
  </si>
  <si>
    <t xml:space="preserve">USD billions</t>
  </si>
  <si>
    <t xml:space="preserve">Technology program</t>
  </si>
  <si>
    <t xml:space="preserve">Mission-system authority</t>
  </si>
  <si>
    <t xml:space="preserve">First fifteen years before field acceptance</t>
  </si>
  <si>
    <t xml:space="preserve">Systems funded</t>
  </si>
  <si>
    <t xml:space="preserve">systems</t>
  </si>
  <si>
    <t xml:space="preserve">Mission-system technology</t>
  </si>
  <si>
    <t xml:space="preserve">Problem fields</t>
  </si>
  <si>
    <t xml:space="preserve">fields</t>
  </si>
  <si>
    <t xml:space="preserve">Capital estate</t>
  </si>
  <si>
    <t xml:space="preserve">Unlike mechanism opportunities</t>
  </si>
  <si>
    <t xml:space="preserve">minimum</t>
  </si>
  <si>
    <t xml:space="preserve">Owned formations</t>
  </si>
  <si>
    <t xml:space="preserve">formations</t>
  </si>
  <si>
    <t xml:space="preserve">Complete roots retained for G3</t>
  </si>
  <si>
    <t xml:space="preserve">roots</t>
  </si>
  <si>
    <t xml:space="preserve">Ready formations</t>
  </si>
  <si>
    <t xml:space="preserve">All-six stacks required</t>
  </si>
  <si>
    <t xml:space="preserve">stacks</t>
  </si>
  <si>
    <t xml:space="preserve">Committed formations</t>
  </si>
  <si>
    <t xml:space="preserve">Production authority</t>
  </si>
  <si>
    <t xml:space="preserve">Implementation credit</t>
  </si>
  <si>
    <t xml:space="preserve">Why this form</t>
  </si>
  <si>
    <t xml:space="preserve">Candidate</t>
  </si>
  <si>
    <t xml:space="preserve">All six survive</t>
  </si>
  <si>
    <t xml:space="preserve">Complete-service context</t>
  </si>
  <si>
    <t xml:space="preserve">Unlike roots</t>
  </si>
  <si>
    <t xml:space="preserve">Independent proof</t>
  </si>
  <si>
    <t xml:space="preserve">G4 barrier</t>
  </si>
  <si>
    <t xml:space="preserve">Failure reserve</t>
  </si>
  <si>
    <t xml:space="preserve">No platform credit</t>
  </si>
  <si>
    <t xml:space="preserve">Within USD 200B</t>
  </si>
  <si>
    <t xml:space="preserve">Executable now</t>
  </si>
  <si>
    <t xml:space="preserve">Result</t>
  </si>
  <si>
    <t xml:space="preserve">Governing reason</t>
  </si>
  <si>
    <t xml:space="preserve">Portfolio architecture test</t>
  </si>
  <si>
    <t xml:space="preserve">A candidate is selected only if every hard gate passes. A higher partial score cannot compensate for one failed constitutional condition.</t>
  </si>
  <si>
    <t xml:space="preserve">Complete service</t>
  </si>
  <si>
    <t xml:space="preserve">Passed gates</t>
  </si>
  <si>
    <t xml:space="preserve">Balanced first article portfolio</t>
  </si>
  <si>
    <t xml:space="preserve">All systems receive asymmetric learning authority; production remains gated.</t>
  </si>
  <si>
    <t xml:space="preserve">Human-continuity first</t>
  </si>
  <si>
    <t xml:space="preserve">Highest demand becomes a serial queue and starves enabling systems.</t>
  </si>
  <si>
    <t xml:space="preserve">Lifeline and hazard first</t>
  </si>
  <si>
    <t xml:space="preserve">Visible physics outruns civil reach, care, entry and regeneration.</t>
  </si>
  <si>
    <t xml:space="preserve">Mobility first</t>
  </si>
  <si>
    <t xml:space="preserve">Delivery hardware arrives before service production, reception and exit.</t>
  </si>
  <si>
    <t xml:space="preserve">Proving estate first</t>
  </si>
  <si>
    <t xml:space="preserve">Truth infrastructure without root-native service articles has nothing valid to test.</t>
  </si>
  <si>
    <t xml:space="preserve">Mission-system first-tranche allocation</t>
  </si>
  <si>
    <t xml:space="preserve">All six systems receive 20 percent of their USD 550B mission-system authority in the first wave. Unequal dollars reflect unequal obligations.</t>
  </si>
  <si>
    <t xml:space="preserve">ID</t>
  </si>
  <si>
    <t xml:space="preserve">Mission system</t>
  </si>
  <si>
    <t xml:space="preserve">Families</t>
  </si>
  <si>
    <t xml:space="preserve">Concurrent demand</t>
  </si>
  <si>
    <t xml:space="preserve">N−1 inventory</t>
  </si>
  <si>
    <t xml:space="preserve">Full allocation (USD B)</t>
  </si>
  <si>
    <t xml:space="preserve">First-wave share</t>
  </si>
  <si>
    <t xml:space="preserve">First tranche (USD B)</t>
  </si>
  <si>
    <t xml:space="preserve">Physical learning object</t>
  </si>
  <si>
    <t xml:space="preserve">Production credit</t>
  </si>
  <si>
    <t xml:space="preserve">System</t>
  </si>
  <si>
    <t xml:space="preserve">MS-ET</t>
  </si>
  <si>
    <t xml:space="preserve">Enter a broken theater</t>
  </si>
  <si>
    <t xml:space="preserve">Theater-entry corridor and four field competitions</t>
  </si>
  <si>
    <t xml:space="preserve">MS-CT</t>
  </si>
  <si>
    <t xml:space="preserve">Reach occupied civil terrain</t>
  </si>
  <si>
    <t xml:space="preserve">Occupied-terrain district and four field competitions</t>
  </si>
  <si>
    <t xml:space="preserve">MS-HC</t>
  </si>
  <si>
    <t xml:space="preserve">Control an active hazard</t>
  </si>
  <si>
    <t xml:space="preserve">Hazard-control cell and four field competitions</t>
  </si>
  <si>
    <t xml:space="preserve">MS-LF</t>
  </si>
  <si>
    <t xml:space="preserve">Produce and distribute lifelines</t>
  </si>
  <si>
    <t xml:space="preserve">Utility-sector proof campaign and four field competitions</t>
  </si>
  <si>
    <t xml:space="preserve">MS-HU</t>
  </si>
  <si>
    <t xml:space="preserve">Preserve care and human continuity</t>
  </si>
  <si>
    <t xml:space="preserve">Relationship-bearing continuity district and four competitions</t>
  </si>
  <si>
    <t xml:space="preserve">MS-RT</t>
  </si>
  <si>
    <t xml:space="preserve">Sustain, transfer and regenerate</t>
  </si>
  <si>
    <t xml:space="preserve">Closed regeneration loop and four field competitions</t>
  </si>
  <si>
    <t xml:space="preserve">Total</t>
  </si>
  <si>
    <t xml:space="preserve">All six remain live</t>
  </si>
  <si>
    <t xml:space="preserve">Twenty-four problem-field competitions</t>
  </si>
  <si>
    <t xml:space="preserve">Each field keeps four unlike mechanism opportunities in the first wave. The field allocation is one quarter of its mission system and 20 percent enters the first tranche.</t>
  </si>
  <si>
    <t xml:space="preserve">Program</t>
  </si>
  <si>
    <t xml:space="preserve">Problem field</t>
  </si>
  <si>
    <t xml:space="preserve">Binding coefficient</t>
  </si>
  <si>
    <t xml:space="preserve">Rival mechanisms</t>
  </si>
  <si>
    <t xml:space="preserve">Kill condition</t>
  </si>
  <si>
    <t xml:space="preserve">Minimum mechanisms</t>
  </si>
  <si>
    <t xml:space="preserve">ET-01</t>
  </si>
  <si>
    <t xml:space="preserve">No-pier heavy transfer</t>
  </si>
  <si>
    <t xml:space="preserve">Accepted tonnes/hour after port denial</t>
  </si>
  <si>
    <t xml:space="preserve">Ground-effect transfer; semisubmersible exchange; modular causeway; autonomous lighterage</t>
  </si>
  <si>
    <t xml:space="preserve">No rival closes sea state, receiver denial, safety and throughput.</t>
  </si>
  <si>
    <t xml:space="preserve">ET-02</t>
  </si>
  <si>
    <t xml:space="preserve">Austere strategic lift</t>
  </si>
  <si>
    <t xml:space="preserve">Complete-formation tonnes without prepared runway</t>
  </si>
  <si>
    <t xml:space="preserve">Ground-coupled buoyant lift; distributed electric heavy lift; short-field lifting body</t>
  </si>
  <si>
    <t xml:space="preserve">Payload arrives without service cell or cannot reset.</t>
  </si>
  <si>
    <t xml:space="preserve">ET-03</t>
  </si>
  <si>
    <t xml:space="preserve">Autonomous node opening</t>
  </si>
  <si>
    <t xml:space="preserve">Hours to certified 1,000-tonne/day reception</t>
  </si>
  <si>
    <t xml:space="preserve">Robotic survey; self-leveling surfaces; modular quay; autonomous cross-dock</t>
  </si>
  <si>
    <t xml:space="preserve">Opening depends on unavailable host plant, labor or utilities.</t>
  </si>
  <si>
    <t xml:space="preserve">ET-04</t>
  </si>
  <si>
    <t xml:space="preserve">Distributed operating bases</t>
  </si>
  <si>
    <t xml:space="preserve">Host-utility burden per formation-day</t>
  </si>
  <si>
    <t xml:space="preserve">Closed-loop mobile, offshore, rail and cellular terrain bases</t>
  </si>
  <si>
    <t xml:space="preserve">Base competes with population for water, power, access or waste.</t>
  </si>
  <si>
    <t xml:space="preserve">CT-01</t>
  </si>
  <si>
    <t xml:space="preserve">Disconnected civil state</t>
  </si>
  <si>
    <t xml:space="preserve">Households served without grid or cloud</t>
  </si>
  <si>
    <t xml:space="preserve">Local-first identity; delay-tolerant mesh; privacy-preserving edge records</t>
  </si>
  <si>
    <t xml:space="preserve">Coverage or rights fail for a protected cohort.</t>
  </si>
  <si>
    <t xml:space="preserve">CT-02</t>
  </si>
  <si>
    <t xml:space="preserve">Building and vertical access</t>
  </si>
  <si>
    <t xml:space="preserve">Occupied floors reached per team-hour</t>
  </si>
  <si>
    <t xml:space="preserve">Robotic entry; temporary vertical systems; exterior access; stair support</t>
  </si>
  <si>
    <t xml:space="preserve">Risk or labor is transferred to residents and caregivers.</t>
  </si>
  <si>
    <t xml:space="preserve">CT-03</t>
  </si>
  <si>
    <t xml:space="preserve">Accessible collection</t>
  </si>
  <si>
    <t xml:space="preserve">Complete person transfers per crew-hour</t>
  </si>
  <si>
    <t xml:space="preserve">Common-cabin mobility; autonomous carriers; modular care cabins</t>
  </si>
  <si>
    <t xml:space="preserve">Movement breaks caregiver, device, medicine, identity or destination.</t>
  </si>
  <si>
    <t xml:space="preserve">CT-04</t>
  </si>
  <si>
    <t xml:space="preserve">Degraded public communications</t>
  </si>
  <si>
    <t xml:space="preserve">Authenticated transactions per kilowatt-hour</t>
  </si>
  <si>
    <t xml:space="preserve">Air relay; terrestrial mesh; optical links; local compute and broadcast</t>
  </si>
  <si>
    <t xml:space="preserve">Common software, spectrum or power loss defeats access.</t>
  </si>
  <si>
    <t xml:space="preserve">HC-01</t>
  </si>
  <si>
    <t xml:space="preserve">Persistent fire control</t>
  </si>
  <si>
    <t xml:space="preserve">Contained edge per safe operating cycle</t>
  </si>
  <si>
    <t xml:space="preserve">Purpose-built endurance aircraft; uncrewed lattice; ground-fluid corridor</t>
  </si>
  <si>
    <t xml:space="preserve">Sortie output does not produce containment or safe exposure.</t>
  </si>
  <si>
    <t xml:space="preserve">HC-02</t>
  </si>
  <si>
    <t xml:space="preserve">Megaflow hydraulic control</t>
  </si>
  <si>
    <t xml:space="preserve">Controlled flow per deployed tonne and megawatt</t>
  </si>
  <si>
    <t xml:space="preserve">Cellular pumping; breach-arrest fabrics; mobile diversion; autonomous barriers</t>
  </si>
  <si>
    <t xml:space="preserve">Movement fails intake, discharge, erosion, contamination or recovery.</t>
  </si>
  <si>
    <t xml:space="preserve">HC-03</t>
  </si>
  <si>
    <t xml:space="preserve">Autonomous earth and debris work</t>
  </si>
  <si>
    <t xml:space="preserve">Hazardous volume per exposed worker-hour</t>
  </si>
  <si>
    <t xml:space="preserve">Teleoperation; cooperative autonomy; mobile sorting; adaptive heavy plant</t>
  </si>
  <si>
    <t xml:space="preserve">Productivity depends on unsafe exposure or unbounded residual.</t>
  </si>
  <si>
    <t xml:space="preserve">HC-04</t>
  </si>
  <si>
    <t xml:space="preserve">Environmental consequence control</t>
  </si>
  <si>
    <t xml:space="preserve">Time to lawful source and pathway decision</t>
  </si>
  <si>
    <t xml:space="preserve">Distributed sensing; aerial tomography; causal plume and watershed models</t>
  </si>
  <si>
    <t xml:space="preserve">Signal cannot support lawful intervention or release.</t>
  </si>
  <si>
    <t xml:space="preserve">LF-01</t>
  </si>
  <si>
    <t xml:space="preserve">Strategic water-energy carriers</t>
  </si>
  <si>
    <t xml:space="preserve">Safe water and firm power per occupied carrier-day</t>
  </si>
  <si>
    <t xml:space="preserve">Nuclear coastal carriers; inland production barges; modular energy islands</t>
  </si>
  <si>
    <t xml:space="preserve">Source fails heat, concentrate, corridor, crew or shore transfer.</t>
  </si>
  <si>
    <t xml:space="preserve">LF-02</t>
  </si>
  <si>
    <t xml:space="preserve">Self-deploying utility corridors</t>
  </si>
  <si>
    <t xml:space="preserve">Service-capacity kilometres per day</t>
  </si>
  <si>
    <t xml:space="preserve">Drone-laid pipe; robotic conductor; self-forming supports; autonomous trenching</t>
  </si>
  <si>
    <t xml:space="preserve">Corridor fails terrain, pressure, protection, repair or public interface.</t>
  </si>
  <si>
    <t xml:space="preserve">LF-03</t>
  </si>
  <si>
    <t xml:space="preserve">Separation and residual control</t>
  </si>
  <si>
    <t xml:space="preserve">Compliant yield per energy and residual mass</t>
  </si>
  <si>
    <t xml:space="preserve">Adaptive membranes; electrochemical separation; crystallization; biological polishing</t>
  </si>
  <si>
    <t xml:space="preserve">Product externalizes concentrate, consumables or maintenance.</t>
  </si>
  <si>
    <t xml:space="preserve">LF-04</t>
  </si>
  <si>
    <t xml:space="preserve">Grid-forming power and thermal cells</t>
  </si>
  <si>
    <t xml:space="preserve">Critical and thermal MW per deployed tonne</t>
  </si>
  <si>
    <t xml:space="preserve">Firm generation; long storage; mobile thermal networks; adaptive protection</t>
  </si>
  <si>
    <t xml:space="preserve">Cannot energize complete island after largest source or route loss.</t>
  </si>
  <si>
    <t xml:space="preserve">HU-01</t>
  </si>
  <si>
    <t xml:space="preserve">Distributed definitive care</t>
  </si>
  <si>
    <t xml:space="preserve">Acuity-adjusted care-hours per tonne and specialist</t>
  </si>
  <si>
    <t xml:space="preserve">Clinical islands; distributed surgery; robotic diagnostics; sterile supply</t>
  </si>
  <si>
    <t xml:space="preserve">Beds lack staff, oxygen, utilities, waste, referral or discharge.</t>
  </si>
  <si>
    <t xml:space="preserve">HU-02</t>
  </si>
  <si>
    <t xml:space="preserve">Clinical workforce multiplication</t>
  </si>
  <si>
    <t xml:space="preserve">Licensed care-hours per scarce expert-hour</t>
  </si>
  <si>
    <t xml:space="preserve">Supervised robotics; remote specialty; biomanufacturing; modular training</t>
  </si>
  <si>
    <t xml:space="preserve">Productivity weakens authority, quality or fatigue limits.</t>
  </si>
  <si>
    <t xml:space="preserve">HU-03</t>
  </si>
  <si>
    <t xml:space="preserve">Population-support campuses</t>
  </si>
  <si>
    <t xml:space="preserve">Safe person-days per tonne and worker-hour</t>
  </si>
  <si>
    <t xml:space="preserve">Cellular shelter metabolism; thermal skins; automated feeding and hygiene</t>
  </si>
  <si>
    <t xml:space="preserve">Capacity lacks accessibility, safeguarding, health, waste or exit.</t>
  </si>
  <si>
    <t xml:space="preserve">HU-04</t>
  </si>
  <si>
    <t xml:space="preserve">Patient and household continuity</t>
  </si>
  <si>
    <t xml:space="preserve">Transfers retaining care, identity and destination</t>
  </si>
  <si>
    <t xml:space="preserve">Continuity cabins; governed nodes; local case state; receiver network</t>
  </si>
  <si>
    <t xml:space="preserve">Motion loses a required relationship or viable destination.</t>
  </si>
  <si>
    <t xml:space="preserve">RT-01</t>
  </si>
  <si>
    <t xml:space="preserve">Campaign sustainment</t>
  </si>
  <si>
    <t xml:space="preserve">Formation-days per daily tonne and labor-hour</t>
  </si>
  <si>
    <t xml:space="preserve">Autonomous inventory; predictive replenishment; multimode exchange; cold chain</t>
  </si>
  <si>
    <t xml:space="preserve">Commodity subtotal hides a missing class or return flow.</t>
  </si>
  <si>
    <t xml:space="preserve">RT-02</t>
  </si>
  <si>
    <t xml:space="preserve">Field regeneration</t>
  </si>
  <si>
    <t xml:space="preserve">Hours from damaged return to recertification</t>
  </si>
  <si>
    <t xml:space="preserve">Robotic inspection; modular swap; additive repair; distributed calibration</t>
  </si>
  <si>
    <t xml:space="preserve">Repair lacks crew, software, evidence, spares or safe configuration.</t>
  </si>
  <si>
    <t xml:space="preserve">RT-03</t>
  </si>
  <si>
    <t xml:space="preserve">Circular residual recovery</t>
  </si>
  <si>
    <t xml:space="preserve">Mission residual safely reused, immobilized or returned</t>
  </si>
  <si>
    <t xml:space="preserve">Mineralization; thermal conversion; selective recovery; closed-loop sanitation</t>
  </si>
  <si>
    <t xml:space="preserve">Process shifts hazard, energy or waste to damaged community.</t>
  </si>
  <si>
    <t xml:space="preserve">RT-04</t>
  </si>
  <si>
    <t xml:space="preserve">Workforce regeneration</t>
  </si>
  <si>
    <t xml:space="preserve">Certified shift-hours restored per worker-day</t>
  </si>
  <si>
    <t xml:space="preserve">Replacement cohorts; portable credentials; fatigue sensing; family support</t>
  </si>
  <si>
    <t xml:space="preserve">Readiness depends on exhausted staff or hollowed local systems.</t>
  </si>
  <si>
    <t xml:space="preserve">6 systems</t>
  </si>
  <si>
    <t xml:space="preserve">24 fields</t>
  </si>
  <si>
    <t xml:space="preserve">USD 200B first-tranche constitution</t>
  </si>
  <si>
    <t xml:space="preserve">Appropriation authority is separated from obligation and production. Mission-system authority remains inside its six owning accounts.</t>
  </si>
  <si>
    <t xml:space="preserve">Account</t>
  </si>
  <si>
    <t xml:space="preserve">Authority (USD B)</t>
  </si>
  <si>
    <t xml:space="preserve">Share</t>
  </si>
  <si>
    <t xml:space="preserve">Immediate object</t>
  </si>
  <si>
    <t xml:space="preserve">Physical output boundary</t>
  </si>
  <si>
    <t xml:space="preserve">Release owner</t>
  </si>
  <si>
    <t xml:space="preserve">May obligate now</t>
  </si>
  <si>
    <t xml:space="preserve">Held for evidence</t>
  </si>
  <si>
    <t xml:space="preserve">Mission systems</t>
  </si>
  <si>
    <t xml:space="preserve">Twenty-four problem fields and root-native service articles</t>
  </si>
  <si>
    <t xml:space="preserve">Mechanism and build-to-learn articles only</t>
  </si>
  <si>
    <t xml:space="preserve">Mission System Commands</t>
  </si>
  <si>
    <t xml:space="preserve">Yes, by field gate</t>
  </si>
  <si>
    <t xml:space="preserve">Unspent options stay in system</t>
  </si>
  <si>
    <t xml:space="preserve">Service technical bases</t>
  </si>
  <si>
    <t xml:space="preserve">Professional methods, safety and configuration standards</t>
  </si>
  <si>
    <t xml:space="preserve">No formation or readiness inference</t>
  </si>
  <si>
    <t xml:space="preserve">Generating Services</t>
  </si>
  <si>
    <t xml:space="preserve">Yes, after denominator</t>
  </si>
  <si>
    <t xml:space="preserve">Unqualified methods</t>
  </si>
  <si>
    <t xml:space="preserve">Common capacity</t>
  </si>
  <si>
    <t xml:space="preserve">Receiver emulators, public seams and shared metrology</t>
  </si>
  <si>
    <t xml:space="preserve">At least four unlike implementations before root credit</t>
  </si>
  <si>
    <t xml:space="preserve">Capital Board and public owners</t>
  </si>
  <si>
    <t xml:space="preserve">Yes, as noncredit infrastructure</t>
  </si>
  <si>
    <t xml:space="preserve">Unproved substitution</t>
  </si>
  <si>
    <t xml:space="preserve">Sovereign technical estate</t>
  </si>
  <si>
    <t xml:space="preserve">Challenge, control, cold reconstruction and evidence custody</t>
  </si>
  <si>
    <t xml:space="preserve">Distributed proving functions; no mega-range</t>
  </si>
  <si>
    <t xml:space="preserve">Resilience Proving Service</t>
  </si>
  <si>
    <t xml:space="preserve">Yes, after independence review</t>
  </si>
  <si>
    <t xml:space="preserve">Missing authority or custody</t>
  </si>
  <si>
    <t xml:space="preserve">Killed-root replacement and invalid-attempt capacity</t>
  </si>
  <si>
    <t xml:space="preserve">Cannot reward favorable outcome or move across systems</t>
  </si>
  <si>
    <t xml:space="preserve">Program Comptroller</t>
  </si>
  <si>
    <t xml:space="preserve">No</t>
  </si>
  <si>
    <t xml:space="preserve">Entire account</t>
  </si>
  <si>
    <t xml:space="preserve">One first article portfolio</t>
  </si>
  <si>
    <t xml:space="preserve">No production release</t>
  </si>
  <si>
    <t xml:space="preserve">Mission-system disposition inside the USD 110B account</t>
  </si>
  <si>
    <t xml:space="preserve">Use</t>
  </si>
  <si>
    <t xml:space="preserve">Status</t>
  </si>
  <si>
    <t xml:space="preserve">What it buys</t>
  </si>
  <si>
    <t xml:space="preserve">What it cannot buy</t>
  </si>
  <si>
    <t xml:space="preserve">Next release</t>
  </si>
  <si>
    <t xml:space="preserve">Non-lifeline paired root triage</t>
  </si>
  <si>
    <t xml:space="preserve">May stage</t>
  </si>
  <si>
    <t xml:space="preserve">Forty decisive endpoints, sixty rig roles and 240 valid events</t>
  </si>
  <si>
    <t xml:space="preserve">G3 or production</t>
  </si>
  <si>
    <t xml:space="preserve">BUILD PROOF disposition</t>
  </si>
  <si>
    <t xml:space="preserve">Lifeline first-wave authority</t>
  </si>
  <si>
    <t xml:space="preserve">Method qualification and route-complete sector construction within its first-wave ceiling</t>
  </si>
  <si>
    <t xml:space="preserve">Full USD 36B campaign or G3</t>
  </si>
  <si>
    <t xml:space="preserve">Accepted staged evidence</t>
  </si>
  <si>
    <t xml:space="preserve">Remaining mission-system options</t>
  </si>
  <si>
    <t xml:space="preserve">Held</t>
  </si>
  <si>
    <t xml:space="preserve">Mechanism articles, replacement roots and cost uncertainty across all six systems</t>
  </si>
  <si>
    <t xml:space="preserve">Transfer to apparent leader</t>
  </si>
  <si>
    <t xml:space="preserve">Owning-system release</t>
  </si>
  <si>
    <t xml:space="preserve">Article Ladder</t>
  </si>
  <si>
    <t xml:space="preserve">Physical authority advances through objects that retain increasingly complete service context. A favorable lower-level result never releases a higher state.</t>
  </si>
  <si>
    <t xml:space="preserve">Level</t>
  </si>
  <si>
    <t xml:space="preserve">Physical object</t>
  </si>
  <si>
    <t xml:space="preserve">Required content</t>
  </si>
  <si>
    <t xml:space="preserve">Evidence question</t>
  </si>
  <si>
    <t xml:space="preserve">Permitted decision</t>
  </si>
  <si>
    <t xml:space="preserve">Forbidden conversion</t>
  </si>
  <si>
    <t xml:space="preserve">Owner</t>
  </si>
  <si>
    <t xml:space="preserve">Next object</t>
  </si>
  <si>
    <t xml:space="preserve">A0</t>
  </si>
  <si>
    <t xml:space="preserve">Public method and interface article</t>
  </si>
  <si>
    <t xml:space="preserve">Denominator, measurement, custody, safety and receiver semantics</t>
  </si>
  <si>
    <t xml:space="preserve">Can the claim be measured and independently replayed?</t>
  </si>
  <si>
    <t xml:space="preserve">QUALIFY METHOD</t>
  </si>
  <si>
    <t xml:space="preserve">A method is not a mechanism</t>
  </si>
  <si>
    <t xml:space="preserve">Proving Service</t>
  </si>
  <si>
    <t xml:space="preserve">Mechanism article</t>
  </si>
  <si>
    <t xml:space="preserve">A1</t>
  </si>
  <si>
    <t xml:space="preserve">Decisive physical principle and unlike ancestry</t>
  </si>
  <si>
    <t xml:space="preserve">Does the principle survive its keystone denial?</t>
  </si>
  <si>
    <t xml:space="preserve">SUPPORT or KILL</t>
  </si>
  <si>
    <t xml:space="preserve">Output is not a complete root</t>
  </si>
  <si>
    <t xml:space="preserve">Root House / Proving Service</t>
  </si>
  <si>
    <t xml:space="preserve">Root endpoint rig</t>
  </si>
  <si>
    <t xml:space="preserve">A2</t>
  </si>
  <si>
    <t xml:space="preserve">Balance endpoint plus keystone endpoint</t>
  </si>
  <si>
    <t xml:space="preserve">Does the paper-balanced root survive scale and mechanism falsification?</t>
  </si>
  <si>
    <t xml:space="preserve">BUILD PROOF, RESIZE or KILL</t>
  </si>
  <si>
    <t xml:space="preserve">BUILD PROOF is not G3</t>
  </si>
  <si>
    <t xml:space="preserve">Disposition Board</t>
  </si>
  <si>
    <t xml:space="preserve">Route-complete proof unit</t>
  </si>
  <si>
    <t xml:space="preserve">A3</t>
  </si>
  <si>
    <t xml:space="preserve">Every route, seven stages, receiver and residual custody</t>
  </si>
  <si>
    <t xml:space="preserve">Does one complete unit work under matched challenge and control?</t>
  </si>
  <si>
    <t xml:space="preserve">Continue root campaign</t>
  </si>
  <si>
    <t xml:space="preserve">One unit is not reproduction</t>
  </si>
  <si>
    <t xml:space="preserve">Mission System Command</t>
  </si>
  <si>
    <t xml:space="preserve">P1 / P2 / R1 root</t>
  </si>
  <si>
    <t xml:space="preserve">A4</t>
  </si>
  <si>
    <t xml:space="preserve">Complete system root</t>
  </si>
  <si>
    <t xml:space="preserve">Paired units plus cold outside reconstruction</t>
  </si>
  <si>
    <t xml:space="preserve">Can an unlike root reproduce complete service and reset?</t>
  </si>
  <si>
    <t xml:space="preserve">G3 root release</t>
  </si>
  <si>
    <t xml:space="preserve">G3 is not production</t>
  </si>
  <si>
    <t xml:space="preserve">Proving Service and Effect Trustees</t>
  </si>
  <si>
    <t xml:space="preserve">All-six stack</t>
  </si>
  <si>
    <t xml:space="preserve">A5</t>
  </si>
  <si>
    <t xml:space="preserve">Rotating all-six stack</t>
  </si>
  <si>
    <t xml:space="preserve">One root from every system, rotating ancestry and campaign worlds</t>
  </si>
  <si>
    <t xml:space="preserve">Does the Department deliver complete compound service?</t>
  </si>
  <si>
    <t xml:space="preserve">G4 mission disposition</t>
  </si>
  <si>
    <t xml:space="preserve">One stack is not fleet readiness</t>
  </si>
  <si>
    <t xml:space="preserve">Joint campaign authorities</t>
  </si>
  <si>
    <t xml:space="preserve">Production-representative increment</t>
  </si>
  <si>
    <t xml:space="preserve">A6</t>
  </si>
  <si>
    <t xml:space="preserve">Cold lot, public data, alternate route, crew, receiver and regeneration</t>
  </si>
  <si>
    <t xml:space="preserve">Can industry reproduce bounded units without root capture?</t>
  </si>
  <si>
    <t xml:space="preserve">G5 production readiness</t>
  </si>
  <si>
    <t xml:space="preserve">Production is not formation</t>
  </si>
  <si>
    <t xml:space="preserve">Industrial administration</t>
  </si>
  <si>
    <t xml:space="preserve">Field formation</t>
  </si>
  <si>
    <t xml:space="preserve">A7</t>
  </si>
  <si>
    <t xml:space="preserve">Field formation and regenerated serial</t>
  </si>
  <si>
    <t xml:space="preserve">Articles, crew, stocks, mobility, receiver, evidence and reset</t>
  </si>
  <si>
    <t xml:space="preserve">Can the exact serial hold service and return?</t>
  </si>
  <si>
    <t xml:space="preserve">G6 field credit / G7 renewal</t>
  </si>
  <si>
    <t xml:space="preserve">History is not current authority</t>
  </si>
  <si>
    <t xml:space="preserve">JCA / Sustainment</t>
  </si>
  <si>
    <t xml:space="preserve">Renew, resize or retire</t>
  </si>
  <si>
    <t xml:space="preserve">Root Triage</t>
  </si>
  <si>
    <t xml:space="preserve">The first physical tranche separates a bad scale from a dead mechanism before the Department constructs the complete proof estate.</t>
  </si>
  <si>
    <t xml:space="preserve">Population</t>
  </si>
  <si>
    <t xml:space="preserve">Count</t>
  </si>
  <si>
    <t xml:space="preserve">Physical burden</t>
  </si>
  <si>
    <t xml:space="preserve">Valid events</t>
  </si>
  <si>
    <t xml:space="preserve">Evidence packages</t>
  </si>
  <si>
    <t xml:space="preserve">Decision law</t>
  </si>
  <si>
    <t xml:space="preserve">First-tranche treatment</t>
  </si>
  <si>
    <t xml:space="preserve">Non-lifeline complete roots</t>
  </si>
  <si>
    <t xml:space="preserve">Forty decisive endpoints across sixty rig roles</t>
  </si>
  <si>
    <t xml:space="preserve">Balance failure → RESIZE; keystone failure → KILL</t>
  </si>
  <si>
    <t xml:space="preserve">Fully staged within owning system options</t>
  </si>
  <si>
    <t xml:space="preserve">Lifeline complete roots</t>
  </si>
  <si>
    <t xml:space="preserve">Twelve complete quarter-service sectors in the full campaign</t>
  </si>
  <si>
    <t xml:space="preserve">Six independent judgments; one successor ceiling</t>
  </si>
  <si>
    <t xml:space="preserve">USD 14.4B first-wave ceiling only; remainder gated</t>
  </si>
  <si>
    <t xml:space="preserve">All six systems</t>
  </si>
  <si>
    <t xml:space="preserve">Twenty-four roots required for four rotating stacks</t>
  </si>
  <si>
    <t xml:space="preserve">No evidence transfer across roots or systems</t>
  </si>
  <si>
    <t xml:space="preserve">No G3, G4 or production credit</t>
  </si>
  <si>
    <t xml:space="preserve">Evidence Gates</t>
  </si>
  <si>
    <t xml:space="preserve">The inherited G0–G7 sequence defines exactly what each tranche may claim.</t>
  </si>
  <si>
    <t xml:space="preserve">Gate</t>
  </si>
  <si>
    <t xml:space="preserve">State created</t>
  </si>
  <si>
    <t xml:space="preserve">Minimum positive evidence</t>
  </si>
  <si>
    <t xml:space="preserve">Independent negative authority</t>
  </si>
  <si>
    <t xml:space="preserve">Fiscal release</t>
  </si>
  <si>
    <t xml:space="preserve">What remains prohibited</t>
  </si>
  <si>
    <t xml:space="preserve">Portfolio condition</t>
  </si>
  <si>
    <t xml:space="preserve">Current credit</t>
  </si>
  <si>
    <t xml:space="preserve">G0</t>
  </si>
  <si>
    <t xml:space="preserve">Constituted service denominator</t>
  </si>
  <si>
    <t xml:space="preserve">Population, service, time, damage, receiver and residual contract</t>
  </si>
  <si>
    <t xml:space="preserve">Rights and Effect Trustees</t>
  </si>
  <si>
    <t xml:space="preserve">Method authority</t>
  </si>
  <si>
    <t xml:space="preserve">Mechanism or platform preference</t>
  </si>
  <si>
    <t xml:space="preserve">All six contracts retained</t>
  </si>
  <si>
    <t xml:space="preserve">G1</t>
  </si>
  <si>
    <t xml:space="preserve">Qualified mechanism and method</t>
  </si>
  <si>
    <t xml:space="preserve">Unlike ancestry; accepted method; supported keystone endpoint</t>
  </si>
  <si>
    <t xml:space="preserve">First build-to-learn block</t>
  </si>
  <si>
    <t xml:space="preserve">Complete-root or production claim</t>
  </si>
  <si>
    <t xml:space="preserve">Four opportunities per field</t>
  </si>
  <si>
    <t xml:space="preserve">G2</t>
  </si>
  <si>
    <t xml:space="preserve">Integrated representative configuration</t>
  </si>
  <si>
    <t xml:space="preserve">Seven balances; every route; challenge and clean control</t>
  </si>
  <si>
    <t xml:space="preserve">Technical and safety authorities</t>
  </si>
  <si>
    <t xml:space="preserve">Proof construction block</t>
  </si>
  <si>
    <t xml:space="preserve">Root release</t>
  </si>
  <si>
    <t xml:space="preserve">Four configurations per system</t>
  </si>
  <si>
    <t xml:space="preserve">G3</t>
  </si>
  <si>
    <t xml:space="preserve">Reproduced complete root</t>
  </si>
  <si>
    <t xml:space="preserve">P1/P2 and cold R1; accepted packages; reset</t>
  </si>
  <si>
    <t xml:space="preserve">Root Disposition Board</t>
  </si>
  <si>
    <t xml:space="preserve">Completed root option</t>
  </si>
  <si>
    <t xml:space="preserve">Joint or production claim</t>
  </si>
  <si>
    <t xml:space="preserve">Twenty-four root releases</t>
  </si>
  <si>
    <t xml:space="preserve">G4</t>
  </si>
  <si>
    <t xml:space="preserve">Complete all-six mission</t>
  </si>
  <si>
    <t xml:space="preserve">Rotating stacks; ten campaign archetypes; effect acceptance</t>
  </si>
  <si>
    <t xml:space="preserve">Effect Trustees and sovereign receivers</t>
  </si>
  <si>
    <t xml:space="preserve">Joint campaign block</t>
  </si>
  <si>
    <t xml:space="preserve">G5 for any system if one system absent</t>
  </si>
  <si>
    <t xml:space="preserve">At least one root from every system</t>
  </si>
  <si>
    <t xml:space="preserve">G5</t>
  </si>
  <si>
    <t xml:space="preserve">Production readiness</t>
  </si>
  <si>
    <t xml:space="preserve">Cold production lot; public technical data; alternate supply and recovery</t>
  </si>
  <si>
    <t xml:space="preserve">Industrial administration and Proving Service</t>
  </si>
  <si>
    <t xml:space="preserve">Production tranche</t>
  </si>
  <si>
    <t xml:space="preserve">Formation or readiness</t>
  </si>
  <si>
    <t xml:space="preserve">All-six G4 barrier already passed</t>
  </si>
  <si>
    <t xml:space="preserve">G6</t>
  </si>
  <si>
    <t xml:space="preserve">Bounded field credit</t>
  </si>
  <si>
    <t xml:space="preserve">Exact formation warrant, readiness, receiver and campaign evidence</t>
  </si>
  <si>
    <t xml:space="preserve">JCA and Public Allocation Ledger</t>
  </si>
  <si>
    <t xml:space="preserve">Fielding increment</t>
  </si>
  <si>
    <t xml:space="preserve">Sibling or fleet-wide credit</t>
  </si>
  <si>
    <t xml:space="preserve">Serial-specific</t>
  </si>
  <si>
    <t xml:space="preserve">G7</t>
  </si>
  <si>
    <t xml:space="preserve">Renewal, resize or retirement</t>
  </si>
  <si>
    <t xml:space="preserve">Current evidence, challenger, regeneration and effect disposition</t>
  </si>
  <si>
    <t xml:space="preserve">Effect Trustees and Sustainment</t>
  </si>
  <si>
    <t xml:space="preserve">Renewal only</t>
  </si>
  <si>
    <t xml:space="preserve">Prestige or history as authority</t>
  </si>
  <si>
    <t xml:space="preserve">Unlike challenger retained</t>
  </si>
  <si>
    <t xml:space="preserve">Technology and production release sequence</t>
  </si>
  <si>
    <t xml:space="preserve">Production authority begins in years 16–20 only after the G4 all-six barrier. Earlier tranches buy learning, proof and joint evidence.</t>
  </si>
  <si>
    <t xml:space="preserve">Tranche</t>
  </si>
  <si>
    <t xml:space="preserve">Years</t>
  </si>
  <si>
    <t xml:space="preserve">Program authority (USD B)</t>
  </si>
  <si>
    <t xml:space="preserve">Cumulative (USD B)</t>
  </si>
  <si>
    <t xml:space="preserve">Entry gate</t>
  </si>
  <si>
    <t xml:space="preserve">Required exit</t>
  </si>
  <si>
    <t xml:space="preserve">Primary physical output</t>
  </si>
  <si>
    <t xml:space="preserve">Production quantity</t>
  </si>
  <si>
    <t xml:space="preserve">Failure disposition</t>
  </si>
  <si>
    <t xml:space="preserve">Portfolio rule</t>
  </si>
  <si>
    <t xml:space="preserve">T1 — first articles</t>
  </si>
  <si>
    <t xml:space="preserve">1–5</t>
  </si>
  <si>
    <t xml:space="preserve">Methods, mechanism articles, endpoint rigs and first service frames</t>
  </si>
  <si>
    <t xml:space="preserve">Kill, resize or retain within system</t>
  </si>
  <si>
    <t xml:space="preserve">All six systems funded</t>
  </si>
  <si>
    <t xml:space="preserve">T2 — integrated roots</t>
  </si>
  <si>
    <t xml:space="preserve">6–10</t>
  </si>
  <si>
    <t xml:space="preserve">G2–G3</t>
  </si>
  <si>
    <t xml:space="preserve">Complete route units, paired proof and cold reconstruction</t>
  </si>
  <si>
    <t xml:space="preserve">Adverse evidence stays in denominator</t>
  </si>
  <si>
    <t xml:space="preserve">No system can absorb another's failure money</t>
  </si>
  <si>
    <t xml:space="preserve">T3 — complete missions</t>
  </si>
  <si>
    <t xml:space="preserve">11–15</t>
  </si>
  <si>
    <t xml:space="preserve">Four rotating all-six stacks across representative campaigns</t>
  </si>
  <si>
    <t xml:space="preserve">Failed dependency denies focal claim</t>
  </si>
  <si>
    <t xml:space="preserve">All-six mission is unit of truth</t>
  </si>
  <si>
    <t xml:space="preserve">T4 — production and field use</t>
  </si>
  <si>
    <t xml:space="preserve">16–20</t>
  </si>
  <si>
    <t xml:space="preserve">G5–G6</t>
  </si>
  <si>
    <t xml:space="preserve">Cold lots and bounded production-representative formations</t>
  </si>
  <si>
    <t xml:space="preserve">Hold serial-specific release</t>
  </si>
  <si>
    <t xml:space="preserve">No system enters G5 before all-six G4</t>
  </si>
  <si>
    <t xml:space="preserve">T5 — challenge and renewal</t>
  </si>
  <si>
    <t xml:space="preserve">21–25</t>
  </si>
  <si>
    <t xml:space="preserve">Unlike challengers, regeneration and retirement replacements</t>
  </si>
  <si>
    <t xml:space="preserve">History and prestige create no authority</t>
  </si>
  <si>
    <t xml:space="preserve">Authority</t>
  </si>
  <si>
    <t xml:space="preserve">Every physical release is a transaction among separate authorities. No program integrator may fund, build, prove and accept its own result.</t>
  </si>
  <si>
    <t xml:space="preserve">Owns</t>
  </si>
  <si>
    <t xml:space="preserve">Physical artifact</t>
  </si>
  <si>
    <t xml:space="preserve">May release</t>
  </si>
  <si>
    <t xml:space="preserve">May stop</t>
  </si>
  <si>
    <t xml:space="preserve">Cannot infer</t>
  </si>
  <si>
    <t xml:space="preserve">Alternate</t>
  </si>
  <si>
    <t xml:space="preserve">Public record</t>
  </si>
  <si>
    <t xml:space="preserve">Capital Board</t>
  </si>
  <si>
    <t xml:space="preserve">Fiscal option</t>
  </si>
  <si>
    <t xml:space="preserve">Staged account authority</t>
  </si>
  <si>
    <t xml:space="preserve">Appropriation tranche</t>
  </si>
  <si>
    <t xml:space="preserve">Unearned option</t>
  </si>
  <si>
    <t xml:space="preserve">Spending → capability</t>
  </si>
  <si>
    <t xml:space="preserve">Independent fiscal panel</t>
  </si>
  <si>
    <t xml:space="preserve">Option and cancellation</t>
  </si>
  <si>
    <t xml:space="preserve">Complete service requirement</t>
  </si>
  <si>
    <t xml:space="preserve">Denominator and route baseline</t>
  </si>
  <si>
    <t xml:space="preserve">Field competition</t>
  </si>
  <si>
    <t xml:space="preserve">Incomplete chain</t>
  </si>
  <si>
    <t xml:space="preserve">Mission ownership → release</t>
  </si>
  <si>
    <t xml:space="preserve">Alternate mission office</t>
  </si>
  <si>
    <t xml:space="preserve">Baseline and change</t>
  </si>
  <si>
    <t xml:space="preserve">Professional and technical state</t>
  </si>
  <si>
    <t xml:space="preserve">Methods, articles, formation content</t>
  </si>
  <si>
    <t xml:space="preserve">Technical release</t>
  </si>
  <si>
    <t xml:space="preserve">Unsafe configuration</t>
  </si>
  <si>
    <t xml:space="preserve">Article → formation</t>
  </si>
  <si>
    <t xml:space="preserve">Unlike service authority</t>
  </si>
  <si>
    <t xml:space="preserve">Configuration release</t>
  </si>
  <si>
    <t xml:space="preserve">Root Houses</t>
  </si>
  <si>
    <t xml:space="preserve">Candidate design</t>
  </si>
  <si>
    <t xml:space="preserve">Mechanism and root articles</t>
  </si>
  <si>
    <t xml:space="preserve">Controlled root claim</t>
  </si>
  <si>
    <t xml:space="preserve">Own withdrawal</t>
  </si>
  <si>
    <t xml:space="preserve">Industry → proof</t>
  </si>
  <si>
    <t xml:space="preserve">Unlike root</t>
  </si>
  <si>
    <t xml:space="preserve">Ancestry and bill</t>
  </si>
  <si>
    <t xml:space="preserve">Adverse evidence</t>
  </si>
  <si>
    <t xml:space="preserve">Challenge, control and cold reconstruction</t>
  </si>
  <si>
    <t xml:space="preserve">Evidence disposition</t>
  </si>
  <si>
    <t xml:space="preserve">Invalid method or unreproduced claim</t>
  </si>
  <si>
    <t xml:space="preserve">Trial result → authority</t>
  </si>
  <si>
    <t xml:space="preserve">Unlike proving root</t>
  </si>
  <si>
    <t xml:space="preserve">Evidence packet</t>
  </si>
  <si>
    <t xml:space="preserve">Root decision</t>
  </si>
  <si>
    <t xml:space="preserve">Complete root dossier</t>
  </si>
  <si>
    <t xml:space="preserve">Missing or conflicting evidence</t>
  </si>
  <si>
    <t xml:space="preserve">Favorable score → release</t>
  </si>
  <si>
    <t xml:space="preserve">Independent panel</t>
  </si>
  <si>
    <t xml:space="preserve">Reasoned disposition</t>
  </si>
  <si>
    <t xml:space="preserve">Effect Trustees</t>
  </si>
  <si>
    <t xml:space="preserve">Civil acceptance</t>
  </si>
  <si>
    <t xml:space="preserve">Observed service and effect records</t>
  </si>
  <si>
    <t xml:space="preserve">G4 effect disposition</t>
  </si>
  <si>
    <t xml:space="preserve">Incomplete or unknown effect</t>
  </si>
  <si>
    <t xml:space="preserve">Output → effect</t>
  </si>
  <si>
    <t xml:space="preserve">Unlike trustee panel</t>
  </si>
  <si>
    <t xml:space="preserve">Effect ledger</t>
  </si>
  <si>
    <t xml:space="preserve">Production reproducibility</t>
  </si>
  <si>
    <t xml:space="preserve">Cold lot and recovery path</t>
  </si>
  <si>
    <t xml:space="preserve">G5 availability</t>
  </si>
  <si>
    <t xml:space="preserve">Unqualified lot</t>
  </si>
  <si>
    <t xml:space="preserve">Factory → formation</t>
  </si>
  <si>
    <t xml:space="preserve">Public production cell</t>
  </si>
  <si>
    <t xml:space="preserve">Lot genealogy</t>
  </si>
  <si>
    <t xml:space="preserve">Joint Capacity Authority</t>
  </si>
  <si>
    <t xml:space="preserve">Readiness</t>
  </si>
  <si>
    <t xml:space="preserve">Exact formation serial</t>
  </si>
  <si>
    <t xml:space="preserve">G6 readiness state</t>
  </si>
  <si>
    <t xml:space="preserve">Missing family or decayed evidence</t>
  </si>
  <si>
    <t xml:space="preserve">Inventory → readiness</t>
  </si>
  <si>
    <t xml:space="preserve">Alternate joint board</t>
  </si>
  <si>
    <t xml:space="preserve">Family state</t>
  </si>
  <si>
    <t xml:space="preserve">Sovereign receivers</t>
  </si>
  <si>
    <t xml:space="preserve">Use and transfer</t>
  </si>
  <si>
    <t xml:space="preserve">Receiver interface and service packet</t>
  </si>
  <si>
    <t xml:space="preserve">Acceptance and transfer</t>
  </si>
  <si>
    <t xml:space="preserve">Rights, custody or host stop</t>
  </si>
  <si>
    <t xml:space="preserve">Access → command</t>
  </si>
  <si>
    <t xml:space="preserve">Named sovereign alternate</t>
  </si>
  <si>
    <t xml:space="preserve">Consent and exit</t>
  </si>
  <si>
    <t xml:space="preserve">Industry</t>
  </si>
  <si>
    <t xml:space="preserve">The first tranche creates a national experimental economy before it creates production winners.</t>
  </si>
  <si>
    <t xml:space="preserve">Industrial layer</t>
  </si>
  <si>
    <t xml:space="preserve">Scale</t>
  </si>
  <si>
    <t xml:space="preserve">First-tranche role</t>
  </si>
  <si>
    <t xml:space="preserve">Required diversity</t>
  </si>
  <si>
    <t xml:space="preserve">Public asset</t>
  </si>
  <si>
    <t xml:space="preserve">Private opportunity</t>
  </si>
  <si>
    <t xml:space="preserve">No-credit rule</t>
  </si>
  <si>
    <t xml:space="preserve">Later conversion</t>
  </si>
  <si>
    <t xml:space="preserve">Problem-field mechanism teams</t>
  </si>
  <si>
    <t xml:space="preserve">Build unlike physical principles across twenty-four fields</t>
  </si>
  <si>
    <t xml:space="preserve">Four per field</t>
  </si>
  <si>
    <t xml:space="preserve">Public denominator and interfaces</t>
  </si>
  <si>
    <t xml:space="preserve">New primes and specialist firms</t>
  </si>
  <si>
    <t xml:space="preserve">Mechanism success is not a root</t>
  </si>
  <si>
    <t xml:space="preserve">Synthesize complete roots</t>
  </si>
  <si>
    <t xml:space="preserve">Complete Root Houses</t>
  </si>
  <si>
    <t xml:space="preserve">Integrate four roots per mission system</t>
  </si>
  <si>
    <t xml:space="preserve">Four unlike roots per system</t>
  </si>
  <si>
    <t xml:space="preserve">Public technical seams</t>
  </si>
  <si>
    <t xml:space="preserve">Lockheed-scale complete-system integrators</t>
  </si>
  <si>
    <t xml:space="preserve">Paper balance is not evidence</t>
  </si>
  <si>
    <t xml:space="preserve">G3 root campaigns</t>
  </si>
  <si>
    <t xml:space="preserve">Proving Service stations</t>
  </si>
  <si>
    <t xml:space="preserve">Non-lifeline challenge, control and reconstruction</t>
  </si>
  <si>
    <t xml:space="preserve">Three separated station classes</t>
  </si>
  <si>
    <t xml:space="preserve">Ranges, metrology and evidence custody</t>
  </si>
  <si>
    <t xml:space="preserve">Instrumentation and casualty-field supply</t>
  </si>
  <si>
    <t xml:space="preserve">Test capacity is not truth</t>
  </si>
  <si>
    <t xml:space="preserve">Distributed national proving estate</t>
  </si>
  <si>
    <t xml:space="preserve">Lifeline proof sectors</t>
  </si>
  <si>
    <t xml:space="preserve">Paired and cold-rebuilt utility service sectors</t>
  </si>
  <si>
    <t xml:space="preserve">Four root-native lineages</t>
  </si>
  <si>
    <t xml:space="preserve">Receiver spines and quality custody</t>
  </si>
  <si>
    <t xml:space="preserve">Water, power, thermal and residual systems</t>
  </si>
  <si>
    <t xml:space="preserve">One sector is not reproduction</t>
  </si>
  <si>
    <t xml:space="preserve">Four G3 lifeline roots</t>
  </si>
  <si>
    <t xml:space="preserve">Public production cells</t>
  </si>
  <si>
    <t xml:space="preserve">Design and readiness work only in T1</t>
  </si>
  <si>
    <t xml:space="preserve">One per root with separated cold paths</t>
  </si>
  <si>
    <t xml:space="preserve">Fallback tooling and public data</t>
  </si>
  <si>
    <t xml:space="preserve">Commercial useful output and export</t>
  </si>
  <si>
    <t xml:space="preserve">Factory is not formation</t>
  </si>
  <si>
    <t xml:space="preserve">G5 cold-lot production</t>
  </si>
  <si>
    <t xml:space="preserve">Civil Service professions</t>
  </si>
  <si>
    <t xml:space="preserve">13.0M</t>
  </si>
  <si>
    <t xml:space="preserve">Staff design, proving, operation and regeneration</t>
  </si>
  <si>
    <t xml:space="preserve">Career, reserve, covenant, productive and partner statuses</t>
  </si>
  <si>
    <t xml:space="preserve">Academies and portable credentials</t>
  </si>
  <si>
    <t xml:space="preserve">Qualified labor ecosystems</t>
  </si>
  <si>
    <t xml:space="preserve">Employment is not readiness</t>
  </si>
  <si>
    <t xml:space="preserve">Formation and renewal</t>
  </si>
  <si>
    <t xml:space="preserve">Twenty-five-year technology authority</t>
  </si>
  <si>
    <t xml:space="preserve">Five inherited waves conserve the USD 1.00T technology program. Annual timing is even within each five-year wave for transparency.</t>
  </si>
  <si>
    <t xml:space="preserve">Year</t>
  </si>
  <si>
    <t xml:space="preserve">Wave</t>
  </si>
  <si>
    <t xml:space="preserve">Annual authority</t>
  </si>
  <si>
    <t xml:space="preserve">Cumulative authority</t>
  </si>
  <si>
    <t xml:space="preserve">Production permitted</t>
  </si>
  <si>
    <t xml:space="preserve">NO</t>
  </si>
  <si>
    <t xml:space="preserve">YES</t>
  </si>
  <si>
    <t xml:space="preserve">G4 required</t>
  </si>
  <si>
    <t xml:space="preserve">Stress Tests</t>
  </si>
  <si>
    <t xml:space="preserve">Each world tests whether the portfolio can learn and continue without manufacturing production authority.</t>
  </si>
  <si>
    <t xml:space="preserve">#</t>
  </si>
  <si>
    <t xml:space="preserve">Stress world</t>
  </si>
  <si>
    <t xml:space="preserve">Required response</t>
  </si>
  <si>
    <t xml:space="preserve">Exact gate</t>
  </si>
  <si>
    <t xml:space="preserve">Held authority</t>
  </si>
  <si>
    <t xml:space="preserve">Forbidden shortcut</t>
  </si>
  <si>
    <t xml:space="preserve">Reason</t>
  </si>
  <si>
    <t xml:space="preserve">Human continuity is ready first</t>
  </si>
  <si>
    <t xml:space="preserve">Retain other five systems and hold G5</t>
  </si>
  <si>
    <t xml:space="preserve">Demand rank → production</t>
  </si>
  <si>
    <t xml:space="preserve">PASS</t>
  </si>
  <si>
    <t xml:space="preserve">All-six barrier survives</t>
  </si>
  <si>
    <t xml:space="preserve">Lifeline root passes while civil terrain fails</t>
  </si>
  <si>
    <t xml:space="preserve">Keep lifeline G3; deny joint G4</t>
  </si>
  <si>
    <t xml:space="preserve">One strong system → Department maturity</t>
  </si>
  <si>
    <t xml:space="preserve">Dependency failure stays visible</t>
  </si>
  <si>
    <t xml:space="preserve">Common interface has one implementation</t>
  </si>
  <si>
    <t xml:space="preserve">Fund three unlike alternatives</t>
  </si>
  <si>
    <t xml:space="preserve">Standard title → independence</t>
  </si>
  <si>
    <t xml:space="preserve">Four implementations required</t>
  </si>
  <si>
    <t xml:space="preserve">Keystone trial fails</t>
  </si>
  <si>
    <t xml:space="preserve">Kill lineage and use owning-system option</t>
  </si>
  <si>
    <t xml:space="preserve">Scale increase → mechanism repair</t>
  </si>
  <si>
    <t xml:space="preserve">Failure meaning preserved</t>
  </si>
  <si>
    <t xml:space="preserve">Balance endpoint fails</t>
  </si>
  <si>
    <t xml:space="preserve">Resize configuration and repeat full evidence</t>
  </si>
  <si>
    <t xml:space="preserve">Mechanism death → budget transfer</t>
  </si>
  <si>
    <t xml:space="preserve">Scale and mechanism differ</t>
  </si>
  <si>
    <t xml:space="preserve">First-wave cost exceeds system option</t>
  </si>
  <si>
    <t xml:space="preserve">Reduce scope or return authority</t>
  </si>
  <si>
    <t xml:space="preserve">Raid another system</t>
  </si>
  <si>
    <t xml:space="preserve">All six remain funded</t>
  </si>
  <si>
    <t xml:space="preserve">Mega-range becomes unavailable</t>
  </si>
  <si>
    <t xml:space="preserve">Use separated challenge, control and reconstruction stations</t>
  </si>
  <si>
    <t xml:space="preserve">One site → national proof</t>
  </si>
  <si>
    <t xml:space="preserve">No common truth bottleneck</t>
  </si>
  <si>
    <t xml:space="preserve">Prototype is demanded during disaster</t>
  </si>
  <si>
    <t xml:space="preserve">Use ready force; keep experimental article outside readiness</t>
  </si>
  <si>
    <t xml:space="preserve">Urgency → field credit</t>
  </si>
  <si>
    <t xml:space="preserve">Experiment is not force</t>
  </si>
  <si>
    <t xml:space="preserve">Cold lot succeeds without receiver path</t>
  </si>
  <si>
    <t xml:space="preserve">Hold G5</t>
  </si>
  <si>
    <t xml:space="preserve">Factory output → capability</t>
  </si>
  <si>
    <t xml:space="preserve">Complete chain required</t>
  </si>
  <si>
    <t xml:space="preserve">Partner buys a mechanism</t>
  </si>
  <si>
    <t xml:space="preserve">Keep market and U.S. readiness ledgers separate</t>
  </si>
  <si>
    <t xml:space="preserve">Export → readiness</t>
  </si>
  <si>
    <t xml:space="preserve">Revenue creates no authority</t>
  </si>
  <si>
    <t xml:space="preserve">One all-six stack passes</t>
  </si>
  <si>
    <t xml:space="preserve">Retain rotation and campaign coverage</t>
  </si>
  <si>
    <t xml:space="preserve">Single success → blanket production</t>
  </si>
  <si>
    <t xml:space="preserve">Ancestry rotation remains</t>
  </si>
  <si>
    <t xml:space="preserve">Outcome-aware repeat proposed</t>
  </si>
  <si>
    <t xml:space="preserve">Reject repeat and preserve adverse result</t>
  </si>
  <si>
    <t xml:space="preserve">G1–G4</t>
  </si>
  <si>
    <t xml:space="preserve">Retry → favorable evidence</t>
  </si>
  <si>
    <t xml:space="preserve">Valid adverse evidence is permanent</t>
  </si>
  <si>
    <t xml:space="preserve">Mutations</t>
  </si>
  <si>
    <t xml:space="preserve">Deliberate invalid states must fail and restore with zero production credit.</t>
  </si>
  <si>
    <t xml:space="preserve">Mutation</t>
  </si>
  <si>
    <t xml:space="preserve">Broken law</t>
  </si>
  <si>
    <t xml:space="preserve">Expected</t>
  </si>
  <si>
    <t xml:space="preserve">Observed</t>
  </si>
  <si>
    <t xml:space="preserve">Restoration</t>
  </si>
  <si>
    <t xml:space="preserve">Restored</t>
  </si>
  <si>
    <t xml:space="preserve">Fund only the highest-demand system</t>
  </si>
  <si>
    <t xml:space="preserve">FAIL</t>
  </si>
  <si>
    <t xml:space="preserve">Restore six system accounts</t>
  </si>
  <si>
    <t xml:space="preserve">Treat mechanism pass as root release</t>
  </si>
  <si>
    <t xml:space="preserve">Article ladder</t>
  </si>
  <si>
    <t xml:space="preserve">Return to endpoint rig</t>
  </si>
  <si>
    <t xml:space="preserve">Transfer failure reserve to apparent leader</t>
  </si>
  <si>
    <t xml:space="preserve">Owning-account conservation</t>
  </si>
  <si>
    <t xml:space="preserve">Restore protected reserve</t>
  </si>
  <si>
    <t xml:space="preserve">Let root house accept its own evidence</t>
  </si>
  <si>
    <t xml:space="preserve">Authority separation</t>
  </si>
  <si>
    <t xml:space="preserve">Restore independent proving</t>
  </si>
  <si>
    <t xml:space="preserve">Enter G5 with one system absent from G4</t>
  </si>
  <si>
    <t xml:space="preserve">All-six barrier</t>
  </si>
  <si>
    <t xml:space="preserve">Hold production tranche</t>
  </si>
  <si>
    <t xml:space="preserve">Count cold lot as formation</t>
  </si>
  <si>
    <t xml:space="preserve">Production is not readiness</t>
  </si>
  <si>
    <t xml:space="preserve">Require formation warrant</t>
  </si>
  <si>
    <t xml:space="preserve">Average a failed route into system score</t>
  </si>
  <si>
    <t xml:space="preserve">Restore conjunctive route gate</t>
  </si>
  <si>
    <t xml:space="preserve">Repeat valid adverse trial</t>
  </si>
  <si>
    <t xml:space="preserve">Permanent adverse evidence</t>
  </si>
  <si>
    <t xml:space="preserve">Retain result and disposition</t>
  </si>
  <si>
    <t xml:space="preserve">Terminal audit</t>
  </si>
  <si>
    <t xml:space="preserve">Checks observe the portfolio and do not feed decisions, inputs or releases.</t>
  </si>
  <si>
    <t xml:space="preserve">Audit</t>
  </si>
  <si>
    <t xml:space="preserve">Actual</t>
  </si>
  <si>
    <t xml:space="preserve">Required</t>
  </si>
  <si>
    <t xml:space="preserve">Interpretation</t>
  </si>
  <si>
    <t xml:space="preserve">Selected candidate gates</t>
  </si>
  <si>
    <t xml:space="preserve">All hard gates</t>
  </si>
  <si>
    <t xml:space="preserve">Selected candidate status</t>
  </si>
  <si>
    <t xml:space="preserve">Exactly one selected</t>
  </si>
  <si>
    <t xml:space="preserve">Family total</t>
  </si>
  <si>
    <t xml:space="preserve">All families</t>
  </si>
  <si>
    <t xml:space="preserve">Committed demand</t>
  </si>
  <si>
    <t xml:space="preserve">Inventory</t>
  </si>
  <si>
    <t xml:space="preserve">Owned force</t>
  </si>
  <si>
    <t xml:space="preserve">Mission allocation</t>
  </si>
  <si>
    <t xml:space="preserve">Full mission account</t>
  </si>
  <si>
    <t xml:space="preserve">Common wave share</t>
  </si>
  <si>
    <t xml:space="preserve">Mission first tranche</t>
  </si>
  <si>
    <t xml:space="preserve">System authority</t>
  </si>
  <si>
    <t xml:space="preserve">System production credit</t>
  </si>
  <si>
    <t xml:space="preserve">No production</t>
  </si>
  <si>
    <t xml:space="preserve">All fields</t>
  </si>
  <si>
    <t xml:space="preserve">Mechanism opportunities</t>
  </si>
  <si>
    <t xml:space="preserve">Field production credit</t>
  </si>
  <si>
    <t xml:space="preserve">No field release</t>
  </si>
  <si>
    <t xml:space="preserve">First-tranche accounts</t>
  </si>
  <si>
    <t xml:space="preserve">Exclusive account classes</t>
  </si>
  <si>
    <t xml:space="preserve">First-tranche total</t>
  </si>
  <si>
    <t xml:space="preserve">Wave-one ceiling</t>
  </si>
  <si>
    <t xml:space="preserve">First-tranche share</t>
  </si>
  <si>
    <t xml:space="preserve">Account conservation</t>
  </si>
  <si>
    <t xml:space="preserve">First-tranche production</t>
  </si>
  <si>
    <t xml:space="preserve">Non-lifeline endpoint authority</t>
  </si>
  <si>
    <t xml:space="preserve">Inherited ceiling</t>
  </si>
  <si>
    <t xml:space="preserve">Twenty percent</t>
  </si>
  <si>
    <t xml:space="preserve">Mission options retained</t>
  </si>
  <si>
    <t xml:space="preserve">Unassigned within systems</t>
  </si>
  <si>
    <t xml:space="preserve">Root population</t>
  </si>
  <si>
    <t xml:space="preserve">Four per system</t>
  </si>
  <si>
    <t xml:space="preserve">Inherited designs</t>
  </si>
  <si>
    <t xml:space="preserve">Gate count</t>
  </si>
  <si>
    <t xml:space="preserve">G0–G7</t>
  </si>
  <si>
    <t xml:space="preserve">Production starts tranche</t>
  </si>
  <si>
    <t xml:space="preserve">No early production</t>
  </si>
  <si>
    <t xml:space="preserve">Technology total</t>
  </si>
  <si>
    <t xml:space="preserve">Program control</t>
  </si>
  <si>
    <t xml:space="preserve">Mission-system total</t>
  </si>
  <si>
    <t xml:space="preserve">Mission control</t>
  </si>
  <si>
    <t xml:space="preserve">Pre-field authority</t>
  </si>
  <si>
    <t xml:space="preserve">First fifteen years</t>
  </si>
  <si>
    <t xml:space="preserve">Stress tests</t>
  </si>
  <si>
    <t xml:space="preserve">All pass</t>
  </si>
  <si>
    <t xml:space="preserve">Mutation failures</t>
  </si>
  <si>
    <t xml:space="preserve">All detected</t>
  </si>
  <si>
    <t xml:space="preserve">Mutation restores</t>
  </si>
  <si>
    <t xml:space="preserve">All restored</t>
  </si>
  <si>
    <t xml:space="preserve">Mutation production credit</t>
  </si>
  <si>
    <t xml:space="preserve">No synthetic release</t>
  </si>
  <si>
    <t xml:space="preserve">Sources &amp; Limits</t>
  </si>
  <si>
    <t xml:space="preserve">Repository-internal sources only. The workbook defines a planning constitution, not a procurement decision or observed capability.</t>
  </si>
  <si>
    <t xml:space="preserve">Source or limit</t>
  </si>
  <si>
    <t xml:space="preserve">Title</t>
  </si>
  <si>
    <t xml:space="preserve">Claims used</t>
  </si>
  <si>
    <t xml:space="preserve">Pass 168</t>
  </si>
  <si>
    <t xml:space="preserve">Six Mission-System Portfolio Topology</t>
  </si>
  <si>
    <t xml:space="preserve">Six systems, 24 fields, USD 550B allocation</t>
  </si>
  <si>
    <t xml:space="preserve">Authoritative</t>
  </si>
  <si>
    <t xml:space="preserve">Pass 171</t>
  </si>
  <si>
    <t xml:space="preserve">Coupled Development Wavefront</t>
  </si>
  <si>
    <t xml:space="preserve">Five waves, all-six G4 barrier and USD 1.00T accounts</t>
  </si>
  <si>
    <t xml:space="preserve">Pass 179</t>
  </si>
  <si>
    <t xml:space="preserve">Lifeline G3 Return</t>
  </si>
  <si>
    <t xml:space="preserve">Ten-element proof kernel and USD 36.0B lifeline campaign</t>
  </si>
  <si>
    <t xml:space="preserve">Pass 180</t>
  </si>
  <si>
    <t xml:space="preserve">Six-System G3 Proof Unit</t>
  </si>
  <si>
    <t xml:space="preserve">24 roots, 1,428 units, 1,008 events and 4,276 packages</t>
  </si>
  <si>
    <t xml:space="preserve">Pass 183</t>
  </si>
  <si>
    <t xml:space="preserve">Pre-Article Falsification</t>
  </si>
  <si>
    <t xml:space="preserve">40 endpoints, 60 rig roles, 240 events and USD 43.0B ceiling</t>
  </si>
  <si>
    <t xml:space="preserve">Pass 184</t>
  </si>
  <si>
    <t xml:space="preserve">Resilience Proving Service Return</t>
  </si>
  <si>
    <t xml:space="preserve">Independent proof institution, 15 stations and 75 lanes</t>
  </si>
  <si>
    <t xml:space="preserve">Pass 195</t>
  </si>
  <si>
    <t xml:space="preserve">Force-Generation Compact</t>
  </si>
  <si>
    <t xml:space="preserve">Formation, readiness and allocation firebreaks</t>
  </si>
  <si>
    <t xml:space="preserve">Integrated</t>
  </si>
  <si>
    <t xml:space="preserve">Pass 205</t>
  </si>
  <si>
    <t xml:space="preserve">Department Constitutional Compact</t>
  </si>
  <si>
    <t xml:space="preserve">Five houses, 17 warrants and USD 68.4T public economy</t>
  </si>
  <si>
    <t xml:space="preserve">Source status</t>
  </si>
  <si>
    <t xml:space="preserve">All physical identities and observations</t>
  </si>
  <si>
    <t xml:space="preserve">No article, root, station, supplier or site is commissioned</t>
  </si>
  <si>
    <t xml:space="preserve">Source-empty</t>
  </si>
  <si>
    <t xml:space="preserve">Fiscal status</t>
  </si>
  <si>
    <t xml:space="preserve">Technology authority only</t>
  </si>
  <si>
    <t xml:space="preserve">USD 1.00T is nested inside the USD 68.4T Department economy</t>
  </si>
  <si>
    <t xml:space="preserve">Do not add</t>
  </si>
  <si>
    <t xml:space="preserve">Production status</t>
  </si>
  <si>
    <t xml:space="preserve">No G4 evidence exists</t>
  </si>
  <si>
    <t xml:space="preserve">T4 production authority is conditional, not released</t>
  </si>
  <si>
    <t xml:space="preserve">Zero</t>
  </si>
  <si>
    <t xml:space="preserve">Visual status</t>
  </si>
  <si>
    <t xml:space="preserve">No stable production exterior exists</t>
  </si>
  <si>
    <t xml:space="preserve">Exterior rendering remains held</t>
  </si>
  <si>
    <t xml:space="preserve">Next decision</t>
  </si>
  <si>
    <t xml:space="preserve">First-tranche industrial execution</t>
  </si>
  <si>
    <t xml:space="preserve">How four roots per system are contracted without common control</t>
  </si>
  <si>
    <t xml:space="preserve">Frontier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</si>
</sst>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0.0%"/>
    <numFmt numFmtId="167" formatCode="0"/>
    <numFmt numFmtId="168" formatCode="#,##0"/>
    <numFmt numFmtId="169" formatCode="#,##0.0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65D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9"/>
      <color rgb="FF000000"/>
      <name val="Arial"/>
      <family val="2"/>
    </font>
    <font>
      <sz val="6.75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E2F0D9"/>
      </patternFill>
    </fill>
    <fill>
      <patternFill patternType="solid">
        <fgColor rgb="FFFFF2CC"/>
        <bgColor rgb="FFFCE4D6"/>
      </patternFill>
    </fill>
    <fill>
      <patternFill patternType="solid">
        <fgColor rgb="FF595959"/>
        <bgColor rgb="FF548235"/>
      </patternFill>
    </fill>
    <fill>
      <patternFill patternType="solid">
        <fgColor rgb="FFE2F0D9"/>
        <bgColor rgb="FFD9EAF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F75B5"/>
      </bottom>
      <diagonal/>
    </border>
    <border diagonalUp="false" diagonalDown="false">
      <left style="medium">
        <color rgb="FFC59A2A"/>
      </left>
      <right style="medium">
        <color rgb="FFC59A2A"/>
      </right>
      <top style="medium">
        <color rgb="FFC59A2A"/>
      </top>
      <bottom style="medium">
        <color rgb="FFC59A2A"/>
      </bottom>
      <diagonal/>
    </border>
    <border diagonalUp="false" diagonalDown="false">
      <left/>
      <right/>
      <top/>
      <bottom style="medium">
        <color rgb="FFFFFF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ont>
        <b val="1"/>
        <color rgb="FF548235"/>
      </font>
      <fill>
        <patternFill>
          <bgColor rgb="FFE2F0D9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C59A2A"/>
      <rgbColor rgb="FFFF6600"/>
      <rgbColor rgb="FF595959"/>
      <rgbColor rgb="FFA6A6A6"/>
      <rgbColor rgb="FF17365D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Mission-system first tranche (USD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"First tranche (USD B)"</c:f>
              <c:strCache>
                <c:ptCount val="1"/>
                <c:pt idx="0">
                  <c:v>First tranche (USD B)</c:v>
                </c:pt>
              </c:strCache>
            </c:strRef>
          </c:tx>
          <c:spPr>
            <a:solidFill>
              <a:srgbClr val="2F75B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'Mission Systems'!$L$7:$L$12</c:f>
              <c:strCache>
                <c:ptCount val="6"/>
                <c:pt idx="0">
                  <c:v>MS-ET</c:v>
                </c:pt>
                <c:pt idx="1">
                  <c:v>MS-CT</c:v>
                </c:pt>
                <c:pt idx="2">
                  <c:v>MS-HC</c:v>
                </c:pt>
                <c:pt idx="3">
                  <c:v>MS-LF</c:v>
                </c:pt>
                <c:pt idx="4">
                  <c:v>MS-HU</c:v>
                </c:pt>
                <c:pt idx="5">
                  <c:v>MS-RT</c:v>
                </c:pt>
              </c:strCache>
            </c:strRef>
          </c:cat>
          <c:val>
            <c:numRef>
              <c:f>'Mission Systems'!$M$7:$M$12</c:f>
              <c:numCache>
                <c:formatCode>General</c:formatCode>
                <c:ptCount val="6"/>
                <c:pt idx="0">
                  <c:v>17.8046792160169</c:v>
                </c:pt>
                <c:pt idx="1">
                  <c:v>18.3745597237163</c:v>
                </c:pt>
                <c:pt idx="2">
                  <c:v>10.9295912345046</c:v>
                </c:pt>
                <c:pt idx="3">
                  <c:v>14.390605109129</c:v>
                </c:pt>
                <c:pt idx="4">
                  <c:v>30.620352297948</c:v>
                </c:pt>
                <c:pt idx="5">
                  <c:v>17.8802124186852</c:v>
                </c:pt>
              </c:numCache>
            </c:numRef>
          </c:val>
        </c:ser>
        <c:gapWidth val="150"/>
        <c:overlap val="0"/>
        <c:axId val="37363338"/>
        <c:axId val="69947438"/>
      </c:barChart>
      <c:catAx>
        <c:axId val="3736333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9947438"/>
        <c:crosses val="autoZero"/>
        <c:auto val="1"/>
        <c:lblAlgn val="ctr"/>
        <c:lblOffset val="100"/>
        <c:noMultiLvlLbl val="0"/>
      </c:catAx>
      <c:valAx>
        <c:axId val="6994743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7363338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14</xdr:row>
      <xdr:rowOff>0</xdr:rowOff>
    </xdr:from>
    <xdr:to>
      <xdr:col>19</xdr:col>
      <xdr:colOff>611280</xdr:colOff>
      <xdr:row>29</xdr:row>
      <xdr:rowOff>190080</xdr:rowOff>
    </xdr:to>
    <xdr:graphicFrame>
      <xdr:nvGraphicFramePr>
        <xdr:cNvPr id="1" name="Chart"/>
        <xdr:cNvGraphicFramePr/>
      </xdr:nvGraphicFramePr>
      <xdr:xfrm>
        <a:off x="16823160" y="2819520"/>
        <a:ext cx="681768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2:L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10" min="2" style="0" width="16"/>
    <col collapsed="false" customWidth="true" hidden="false" outlineLevel="0" max="11" min="11" style="0" width="13"/>
    <col collapsed="false" customWidth="true" hidden="false" outlineLevel="0" max="12" min="12" style="0" width="42"/>
  </cols>
  <sheetData>
    <row r="2" customFormat="false" ht="24" hidden="false" customHeight="true" outlineLevel="0" collapsed="false">
      <c r="A2" s="1" t="s">
        <v>0</v>
      </c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6" customFormat="false" ht="15" hidden="false" customHeight="false" outlineLevel="0" collapsed="false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true" outlineLevel="0" collapsed="false">
      <c r="A7" s="4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1" customFormat="false" ht="15" hidden="false" customHeight="false" outlineLevel="0" collapsed="false">
      <c r="A11" s="5" t="s">
        <v>4</v>
      </c>
      <c r="B11" s="5" t="s">
        <v>5</v>
      </c>
      <c r="C11" s="5" t="s">
        <v>6</v>
      </c>
      <c r="E11" s="5" t="s">
        <v>7</v>
      </c>
      <c r="F11" s="5" t="s">
        <v>5</v>
      </c>
      <c r="G11" s="5" t="s">
        <v>6</v>
      </c>
    </row>
    <row r="12" customFormat="false" ht="23.85" hidden="false" customHeight="false" outlineLevel="0" collapsed="false">
      <c r="A12" s="6" t="s">
        <v>8</v>
      </c>
      <c r="B12" s="7" t="n">
        <v>200</v>
      </c>
      <c r="C12" s="6" t="s">
        <v>9</v>
      </c>
      <c r="E12" s="6" t="s">
        <v>10</v>
      </c>
      <c r="F12" s="7" t="n">
        <v>1000</v>
      </c>
      <c r="G12" s="6" t="s">
        <v>9</v>
      </c>
    </row>
    <row r="13" customFormat="false" ht="35.05" hidden="false" customHeight="false" outlineLevel="0" collapsed="false">
      <c r="A13" s="6" t="s">
        <v>11</v>
      </c>
      <c r="B13" s="7" t="n">
        <v>110</v>
      </c>
      <c r="C13" s="6" t="s">
        <v>9</v>
      </c>
      <c r="E13" s="6" t="s">
        <v>12</v>
      </c>
      <c r="F13" s="7" t="n">
        <v>750</v>
      </c>
      <c r="G13" s="6" t="s">
        <v>9</v>
      </c>
    </row>
    <row r="14" customFormat="false" ht="23.85" hidden="false" customHeight="false" outlineLevel="0" collapsed="false">
      <c r="A14" s="6" t="s">
        <v>13</v>
      </c>
      <c r="B14" s="7" t="n">
        <v>6</v>
      </c>
      <c r="C14" s="6" t="s">
        <v>14</v>
      </c>
      <c r="E14" s="6" t="s">
        <v>15</v>
      </c>
      <c r="F14" s="7" t="n">
        <v>550</v>
      </c>
      <c r="G14" s="6" t="s">
        <v>9</v>
      </c>
    </row>
    <row r="15" customFormat="false" ht="15" hidden="false" customHeight="false" outlineLevel="0" collapsed="false">
      <c r="A15" s="6" t="s">
        <v>16</v>
      </c>
      <c r="B15" s="7" t="n">
        <v>24</v>
      </c>
      <c r="C15" s="6" t="s">
        <v>17</v>
      </c>
      <c r="E15" s="6" t="s">
        <v>18</v>
      </c>
      <c r="F15" s="7" t="n">
        <v>17400</v>
      </c>
      <c r="G15" s="6" t="s">
        <v>9</v>
      </c>
    </row>
    <row r="16" customFormat="false" ht="23.85" hidden="false" customHeight="false" outlineLevel="0" collapsed="false">
      <c r="A16" s="6" t="s">
        <v>19</v>
      </c>
      <c r="B16" s="7" t="n">
        <v>96</v>
      </c>
      <c r="C16" s="6" t="s">
        <v>20</v>
      </c>
      <c r="E16" s="6" t="s">
        <v>21</v>
      </c>
      <c r="F16" s="7" t="n">
        <v>5251</v>
      </c>
      <c r="G16" s="6" t="s">
        <v>22</v>
      </c>
    </row>
    <row r="17" customFormat="false" ht="23.85" hidden="false" customHeight="false" outlineLevel="0" collapsed="false">
      <c r="A17" s="6" t="s">
        <v>23</v>
      </c>
      <c r="B17" s="7" t="n">
        <v>24</v>
      </c>
      <c r="C17" s="6" t="s">
        <v>24</v>
      </c>
      <c r="E17" s="6" t="s">
        <v>25</v>
      </c>
      <c r="F17" s="7" t="n">
        <v>3667</v>
      </c>
      <c r="G17" s="6" t="s">
        <v>22</v>
      </c>
    </row>
    <row r="18" customFormat="false" ht="23.85" hidden="false" customHeight="false" outlineLevel="0" collapsed="false">
      <c r="A18" s="6" t="s">
        <v>26</v>
      </c>
      <c r="B18" s="7" t="n">
        <v>4</v>
      </c>
      <c r="C18" s="6" t="s">
        <v>27</v>
      </c>
      <c r="E18" s="6" t="s">
        <v>28</v>
      </c>
      <c r="F18" s="7" t="n">
        <v>2420</v>
      </c>
      <c r="G18" s="6" t="s">
        <v>22</v>
      </c>
    </row>
    <row r="19" customFormat="false" ht="23.85" hidden="false" customHeight="false" outlineLevel="0" collapsed="false">
      <c r="A19" s="6" t="s">
        <v>29</v>
      </c>
      <c r="B19" s="7" t="n">
        <v>0</v>
      </c>
      <c r="C19" s="6" t="s">
        <v>9</v>
      </c>
      <c r="E19" s="6" t="s">
        <v>30</v>
      </c>
      <c r="F19" s="7" t="n">
        <v>0</v>
      </c>
      <c r="G19" s="6" t="s">
        <v>22</v>
      </c>
    </row>
    <row r="21" customFormat="false" ht="15" hidden="false" customHeight="false" outlineLevel="0" collapsed="false">
      <c r="A21" s="3" t="s">
        <v>31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23.85" hidden="false" customHeight="false" outlineLevel="0" collapsed="false">
      <c r="A22" s="5" t="s">
        <v>32</v>
      </c>
      <c r="B22" s="5" t="s">
        <v>33</v>
      </c>
      <c r="C22" s="5" t="s">
        <v>34</v>
      </c>
      <c r="D22" s="5" t="s">
        <v>35</v>
      </c>
      <c r="E22" s="5" t="s">
        <v>36</v>
      </c>
      <c r="F22" s="5" t="s">
        <v>37</v>
      </c>
      <c r="G22" s="5" t="s">
        <v>38</v>
      </c>
      <c r="H22" s="5" t="s">
        <v>39</v>
      </c>
      <c r="I22" s="5" t="s">
        <v>40</v>
      </c>
      <c r="J22" s="5" t="s">
        <v>41</v>
      </c>
      <c r="K22" s="5" t="s">
        <v>42</v>
      </c>
      <c r="L22" s="5" t="s">
        <v>43</v>
      </c>
    </row>
    <row r="23" customFormat="false" ht="23.85" hidden="false" customHeight="false" outlineLevel="0" collapsed="false">
      <c r="A23" s="8" t="str">
        <f aca="false">'Portfolio Test'!A7</f>
        <v>Balanced first article portfolio</v>
      </c>
      <c r="B23" s="8" t="n">
        <f aca="false">'Portfolio Test'!B7</f>
        <v>1</v>
      </c>
      <c r="C23" s="8" t="n">
        <f aca="false">'Portfolio Test'!C7</f>
        <v>1</v>
      </c>
      <c r="D23" s="8" t="n">
        <f aca="false">'Portfolio Test'!D7</f>
        <v>1</v>
      </c>
      <c r="E23" s="8" t="n">
        <f aca="false">'Portfolio Test'!E7</f>
        <v>1</v>
      </c>
      <c r="F23" s="8" t="n">
        <f aca="false">'Portfolio Test'!F7</f>
        <v>1</v>
      </c>
      <c r="G23" s="8" t="n">
        <f aca="false">'Portfolio Test'!G7</f>
        <v>1</v>
      </c>
      <c r="H23" s="8" t="n">
        <f aca="false">'Portfolio Test'!H7</f>
        <v>1</v>
      </c>
      <c r="I23" s="8" t="n">
        <f aca="false">'Portfolio Test'!I7</f>
        <v>1</v>
      </c>
      <c r="J23" s="8" t="n">
        <f aca="false">'Portfolio Test'!J7</f>
        <v>1</v>
      </c>
      <c r="K23" s="8" t="str">
        <f aca="false">'Portfolio Test'!L7</f>
        <v>SELECT</v>
      </c>
      <c r="L23" s="8" t="str">
        <f aca="false">'Portfolio Test'!M7</f>
        <v>All systems receive asymmetric learning authority; production remains gated.</v>
      </c>
    </row>
    <row r="24" customFormat="false" ht="23.85" hidden="false" customHeight="false" outlineLevel="0" collapsed="false">
      <c r="A24" s="6" t="str">
        <f aca="false">'Portfolio Test'!A8</f>
        <v>Human-continuity first</v>
      </c>
      <c r="B24" s="6" t="n">
        <f aca="false">'Portfolio Test'!B8</f>
        <v>0</v>
      </c>
      <c r="C24" s="6" t="n">
        <f aca="false">'Portfolio Test'!C8</f>
        <v>1</v>
      </c>
      <c r="D24" s="6" t="n">
        <f aca="false">'Portfolio Test'!D8</f>
        <v>1</v>
      </c>
      <c r="E24" s="6" t="n">
        <f aca="false">'Portfolio Test'!E8</f>
        <v>1</v>
      </c>
      <c r="F24" s="6" t="n">
        <f aca="false">'Portfolio Test'!F8</f>
        <v>0</v>
      </c>
      <c r="G24" s="6" t="n">
        <f aca="false">'Portfolio Test'!G8</f>
        <v>1</v>
      </c>
      <c r="H24" s="6" t="n">
        <f aca="false">'Portfolio Test'!H8</f>
        <v>1</v>
      </c>
      <c r="I24" s="6" t="n">
        <f aca="false">'Portfolio Test'!I8</f>
        <v>1</v>
      </c>
      <c r="J24" s="6" t="n">
        <f aca="false">'Portfolio Test'!J8</f>
        <v>1</v>
      </c>
      <c r="K24" s="6" t="str">
        <f aca="false">'Portfolio Test'!L8</f>
        <v>REJECT</v>
      </c>
      <c r="L24" s="6" t="str">
        <f aca="false">'Portfolio Test'!M8</f>
        <v>Highest demand becomes a serial queue and starves enabling systems.</v>
      </c>
    </row>
    <row r="25" customFormat="false" ht="23.85" hidden="false" customHeight="false" outlineLevel="0" collapsed="false">
      <c r="A25" s="6" t="str">
        <f aca="false">'Portfolio Test'!A9</f>
        <v>Lifeline and hazard first</v>
      </c>
      <c r="B25" s="6" t="n">
        <f aca="false">'Portfolio Test'!B9</f>
        <v>0</v>
      </c>
      <c r="C25" s="6" t="n">
        <f aca="false">'Portfolio Test'!C9</f>
        <v>1</v>
      </c>
      <c r="D25" s="6" t="n">
        <f aca="false">'Portfolio Test'!D9</f>
        <v>1</v>
      </c>
      <c r="E25" s="6" t="n">
        <f aca="false">'Portfolio Test'!E9</f>
        <v>1</v>
      </c>
      <c r="F25" s="6" t="n">
        <f aca="false">'Portfolio Test'!F9</f>
        <v>0</v>
      </c>
      <c r="G25" s="6" t="n">
        <f aca="false">'Portfolio Test'!G9</f>
        <v>1</v>
      </c>
      <c r="H25" s="6" t="n">
        <f aca="false">'Portfolio Test'!H9</f>
        <v>0</v>
      </c>
      <c r="I25" s="6" t="n">
        <f aca="false">'Portfolio Test'!I9</f>
        <v>1</v>
      </c>
      <c r="J25" s="6" t="n">
        <f aca="false">'Portfolio Test'!J9</f>
        <v>1</v>
      </c>
      <c r="K25" s="6" t="str">
        <f aca="false">'Portfolio Test'!L9</f>
        <v>REJECT</v>
      </c>
      <c r="L25" s="6" t="str">
        <f aca="false">'Portfolio Test'!M9</f>
        <v>Visible physics outruns civil reach, care, entry and regeneration.</v>
      </c>
    </row>
    <row r="26" customFormat="false" ht="23.85" hidden="false" customHeight="false" outlineLevel="0" collapsed="false">
      <c r="A26" s="6" t="str">
        <f aca="false">'Portfolio Test'!A10</f>
        <v>Mobility first</v>
      </c>
      <c r="B26" s="6" t="n">
        <f aca="false">'Portfolio Test'!B10</f>
        <v>0</v>
      </c>
      <c r="C26" s="6" t="n">
        <f aca="false">'Portfolio Test'!C10</f>
        <v>0</v>
      </c>
      <c r="D26" s="6" t="n">
        <f aca="false">'Portfolio Test'!D10</f>
        <v>1</v>
      </c>
      <c r="E26" s="6" t="n">
        <f aca="false">'Portfolio Test'!E10</f>
        <v>1</v>
      </c>
      <c r="F26" s="6" t="n">
        <f aca="false">'Portfolio Test'!F10</f>
        <v>0</v>
      </c>
      <c r="G26" s="6" t="n">
        <f aca="false">'Portfolio Test'!G10</f>
        <v>1</v>
      </c>
      <c r="H26" s="6" t="n">
        <f aca="false">'Portfolio Test'!H10</f>
        <v>0</v>
      </c>
      <c r="I26" s="6" t="n">
        <f aca="false">'Portfolio Test'!I10</f>
        <v>1</v>
      </c>
      <c r="J26" s="6" t="n">
        <f aca="false">'Portfolio Test'!J10</f>
        <v>1</v>
      </c>
      <c r="K26" s="6" t="str">
        <f aca="false">'Portfolio Test'!L10</f>
        <v>REJECT</v>
      </c>
      <c r="L26" s="6" t="str">
        <f aca="false">'Portfolio Test'!M10</f>
        <v>Delivery hardware arrives before service production, reception and exit.</v>
      </c>
    </row>
    <row r="27" customFormat="false" ht="23.85" hidden="false" customHeight="false" outlineLevel="0" collapsed="false">
      <c r="A27" s="6" t="str">
        <f aca="false">'Portfolio Test'!A11</f>
        <v>Proving estate first</v>
      </c>
      <c r="B27" s="6" t="n">
        <f aca="false">'Portfolio Test'!B11</f>
        <v>1</v>
      </c>
      <c r="C27" s="6" t="n">
        <f aca="false">'Portfolio Test'!C11</f>
        <v>0</v>
      </c>
      <c r="D27" s="6" t="n">
        <f aca="false">'Portfolio Test'!D11</f>
        <v>1</v>
      </c>
      <c r="E27" s="6" t="n">
        <f aca="false">'Portfolio Test'!E11</f>
        <v>1</v>
      </c>
      <c r="F27" s="6" t="n">
        <f aca="false">'Portfolio Test'!F11</f>
        <v>1</v>
      </c>
      <c r="G27" s="6" t="n">
        <f aca="false">'Portfolio Test'!G11</f>
        <v>1</v>
      </c>
      <c r="H27" s="6" t="n">
        <f aca="false">'Portfolio Test'!H11</f>
        <v>1</v>
      </c>
      <c r="I27" s="6" t="n">
        <f aca="false">'Portfolio Test'!I11</f>
        <v>1</v>
      </c>
      <c r="J27" s="6" t="n">
        <f aca="false">'Portfolio Test'!J11</f>
        <v>0</v>
      </c>
      <c r="K27" s="6" t="str">
        <f aca="false">'Portfolio Test'!L11</f>
        <v>REJECT</v>
      </c>
      <c r="L27" s="6" t="str">
        <f aca="false">'Portfolio Test'!M11</f>
        <v>Truth infrastructure without root-native service articles has nothing valid to test.</v>
      </c>
    </row>
  </sheetData>
  <mergeCells count="1">
    <mergeCell ref="A7:L9"/>
  </mergeCells>
  <conditionalFormatting sqref="K23:K27">
    <cfRule type="containsText" priority="2" operator="containsText" aboveAverage="0" equalAverage="0" bottom="0" percent="0" rank="0" text="SELECT" dxfId="0">
      <formula>NOT(ISERROR(SEARCH("SELECT",K23)))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2:M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7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55"/>
  </cols>
  <sheetData>
    <row r="2" customFormat="false" ht="24" hidden="false" customHeight="true" outlineLevel="0" collapsed="false">
      <c r="A2" s="1" t="s">
        <v>44</v>
      </c>
    </row>
    <row r="3" customFormat="false" ht="18" hidden="false" customHeight="true" outlineLevel="0" collapsed="false">
      <c r="A3" s="2" t="s">
        <v>45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6" customFormat="false" ht="15" hidden="false" customHeight="false" outlineLevel="0" collapsed="false">
      <c r="A6" s="5" t="s">
        <v>32</v>
      </c>
      <c r="B6" s="5" t="s">
        <v>33</v>
      </c>
      <c r="C6" s="5" t="s">
        <v>46</v>
      </c>
      <c r="D6" s="5" t="s">
        <v>35</v>
      </c>
      <c r="E6" s="5" t="s">
        <v>36</v>
      </c>
      <c r="F6" s="5" t="s">
        <v>37</v>
      </c>
      <c r="G6" s="5" t="s">
        <v>38</v>
      </c>
      <c r="H6" s="5" t="s">
        <v>39</v>
      </c>
      <c r="I6" s="5" t="s">
        <v>40</v>
      </c>
      <c r="J6" s="5" t="s">
        <v>41</v>
      </c>
      <c r="K6" s="5" t="s">
        <v>47</v>
      </c>
      <c r="L6" s="5" t="s">
        <v>42</v>
      </c>
      <c r="M6" s="5" t="s">
        <v>43</v>
      </c>
    </row>
    <row r="7" customFormat="false" ht="23.85" hidden="false" customHeight="false" outlineLevel="0" collapsed="false">
      <c r="A7" s="6" t="s">
        <v>48</v>
      </c>
      <c r="B7" s="6" t="n">
        <v>1</v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f aca="false">SUM(B7:J7)</f>
        <v>9</v>
      </c>
      <c r="L7" s="6" t="str">
        <f aca="false">IF(K7=9,"SELECT","REJECT")</f>
        <v>SELECT</v>
      </c>
      <c r="M7" s="6" t="s">
        <v>49</v>
      </c>
    </row>
    <row r="8" customFormat="false" ht="23.85" hidden="false" customHeight="false" outlineLevel="0" collapsed="false">
      <c r="A8" s="6" t="s">
        <v>50</v>
      </c>
      <c r="B8" s="6" t="n">
        <v>0</v>
      </c>
      <c r="C8" s="6" t="n">
        <v>1</v>
      </c>
      <c r="D8" s="6" t="n">
        <v>1</v>
      </c>
      <c r="E8" s="6" t="n">
        <v>1</v>
      </c>
      <c r="F8" s="6" t="n">
        <v>0</v>
      </c>
      <c r="G8" s="6" t="n">
        <v>1</v>
      </c>
      <c r="H8" s="6" t="n">
        <v>1</v>
      </c>
      <c r="I8" s="6" t="n">
        <v>1</v>
      </c>
      <c r="J8" s="6" t="n">
        <v>1</v>
      </c>
      <c r="K8" s="6" t="n">
        <f aca="false">SUM(B8:J8)</f>
        <v>7</v>
      </c>
      <c r="L8" s="6" t="str">
        <f aca="false">IF(K8=9,"SELECT","REJECT")</f>
        <v>REJECT</v>
      </c>
      <c r="M8" s="6" t="s">
        <v>51</v>
      </c>
    </row>
    <row r="9" customFormat="false" ht="15" hidden="false" customHeight="false" outlineLevel="0" collapsed="false">
      <c r="A9" s="6" t="s">
        <v>52</v>
      </c>
      <c r="B9" s="6" t="n">
        <v>0</v>
      </c>
      <c r="C9" s="6" t="n">
        <v>1</v>
      </c>
      <c r="D9" s="6" t="n">
        <v>1</v>
      </c>
      <c r="E9" s="6" t="n">
        <v>1</v>
      </c>
      <c r="F9" s="6" t="n">
        <v>0</v>
      </c>
      <c r="G9" s="6" t="n">
        <v>1</v>
      </c>
      <c r="H9" s="6" t="n">
        <v>0</v>
      </c>
      <c r="I9" s="6" t="n">
        <v>1</v>
      </c>
      <c r="J9" s="6" t="n">
        <v>1</v>
      </c>
      <c r="K9" s="6" t="n">
        <f aca="false">SUM(B9:J9)</f>
        <v>6</v>
      </c>
      <c r="L9" s="6" t="str">
        <f aca="false">IF(K9=9,"SELECT","REJECT")</f>
        <v>REJECT</v>
      </c>
      <c r="M9" s="6" t="s">
        <v>53</v>
      </c>
    </row>
    <row r="10" customFormat="false" ht="23.85" hidden="false" customHeight="false" outlineLevel="0" collapsed="false">
      <c r="A10" s="6" t="s">
        <v>54</v>
      </c>
      <c r="B10" s="6" t="n">
        <v>0</v>
      </c>
      <c r="C10" s="6" t="n">
        <v>0</v>
      </c>
      <c r="D10" s="6" t="n">
        <v>1</v>
      </c>
      <c r="E10" s="6" t="n">
        <v>1</v>
      </c>
      <c r="F10" s="6" t="n">
        <v>0</v>
      </c>
      <c r="G10" s="6" t="n">
        <v>1</v>
      </c>
      <c r="H10" s="6" t="n">
        <v>0</v>
      </c>
      <c r="I10" s="6" t="n">
        <v>1</v>
      </c>
      <c r="J10" s="6" t="n">
        <v>1</v>
      </c>
      <c r="K10" s="6" t="n">
        <f aca="false">SUM(B10:J10)</f>
        <v>5</v>
      </c>
      <c r="L10" s="6" t="str">
        <f aca="false">IF(K10=9,"SELECT","REJECT")</f>
        <v>REJECT</v>
      </c>
      <c r="M10" s="6" t="s">
        <v>55</v>
      </c>
    </row>
    <row r="11" customFormat="false" ht="23.85" hidden="false" customHeight="false" outlineLevel="0" collapsed="false">
      <c r="A11" s="6" t="s">
        <v>56</v>
      </c>
      <c r="B11" s="6" t="n">
        <v>1</v>
      </c>
      <c r="C11" s="6" t="n">
        <v>0</v>
      </c>
      <c r="D11" s="6" t="n">
        <v>1</v>
      </c>
      <c r="E11" s="6" t="n">
        <v>1</v>
      </c>
      <c r="F11" s="6" t="n">
        <v>1</v>
      </c>
      <c r="G11" s="6" t="n">
        <v>1</v>
      </c>
      <c r="H11" s="6" t="n">
        <v>1</v>
      </c>
      <c r="I11" s="6" t="n">
        <v>1</v>
      </c>
      <c r="J11" s="6" t="n">
        <v>0</v>
      </c>
      <c r="K11" s="6" t="n">
        <f aca="false">SUM(B11:J11)</f>
        <v>7</v>
      </c>
      <c r="L11" s="6" t="str">
        <f aca="false">IF(K11=9,"SELECT","REJECT")</f>
        <v>REJECT</v>
      </c>
      <c r="M11" s="6" t="s">
        <v>57</v>
      </c>
    </row>
  </sheetData>
  <conditionalFormatting sqref="L7:L11">
    <cfRule type="containsText" priority="2" operator="containsText" aboveAverage="0" equalAverage="0" bottom="0" percent="0" rank="0" text="SELECT" dxfId="1">
      <formula>NOT(ISERROR(SEARCH("SELECT",L7)))</formula>
    </cfRule>
    <cfRule type="containsText" priority="3" operator="containsText" aboveAverage="0" equalAverage="0" bottom="0" percent="0" rank="0" text="REJECT" dxfId="2">
      <formula>NOT(ISERROR(SEARCH("REJECT",L7)))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5" min="3" style="0" width="18"/>
    <col collapsed="false" customWidth="true" hidden="false" outlineLevel="0" max="8" min="6" style="0" width="21"/>
    <col collapsed="false" customWidth="true" hidden="false" outlineLevel="0" max="9" min="9" style="0" width="50"/>
    <col collapsed="false" customWidth="true" hidden="false" outlineLevel="0" max="10" min="10" style="0" width="17"/>
    <col collapsed="false" customWidth="true" hidden="false" outlineLevel="0" max="12" min="12" style="0" width="14"/>
    <col collapsed="false" customWidth="true" hidden="false" outlineLevel="0" max="13" min="13" style="0" width="22"/>
  </cols>
  <sheetData>
    <row r="2" customFormat="false" ht="24" hidden="false" customHeight="true" outlineLevel="0" collapsed="false">
      <c r="A2" s="1" t="s">
        <v>58</v>
      </c>
    </row>
    <row r="3" customFormat="false" ht="18" hidden="false" customHeight="true" outlineLevel="0" collapsed="false">
      <c r="A3" s="2" t="s">
        <v>59</v>
      </c>
      <c r="B3" s="2"/>
      <c r="C3" s="2"/>
      <c r="D3" s="2"/>
      <c r="E3" s="2"/>
      <c r="F3" s="2"/>
      <c r="G3" s="2"/>
      <c r="H3" s="2"/>
      <c r="I3" s="2"/>
      <c r="J3" s="2"/>
    </row>
    <row r="6" customFormat="false" ht="15" hidden="false" customHeight="false" outlineLevel="0" collapsed="false">
      <c r="A6" s="5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L6" s="5" t="s">
        <v>70</v>
      </c>
      <c r="M6" s="5" t="s">
        <v>67</v>
      </c>
    </row>
    <row r="7" customFormat="false" ht="15" hidden="false" customHeight="false" outlineLevel="0" collapsed="false">
      <c r="A7" s="6" t="s">
        <v>71</v>
      </c>
      <c r="B7" s="6" t="s">
        <v>72</v>
      </c>
      <c r="C7" s="6" t="n">
        <v>9</v>
      </c>
      <c r="D7" s="6" t="n">
        <v>369</v>
      </c>
      <c r="E7" s="6" t="n">
        <v>827</v>
      </c>
      <c r="F7" s="7" t="n">
        <v>89.0233960800844</v>
      </c>
      <c r="G7" s="9" t="n">
        <v>0.2</v>
      </c>
      <c r="H7" s="7" t="n">
        <f aca="false">F7*G7</f>
        <v>17.8046792160169</v>
      </c>
      <c r="I7" s="6" t="s">
        <v>73</v>
      </c>
      <c r="J7" s="6" t="n">
        <v>0</v>
      </c>
      <c r="L7" s="0" t="str">
        <f aca="false">A7</f>
        <v>MS-ET</v>
      </c>
      <c r="M7" s="0" t="n">
        <f aca="false">H7</f>
        <v>17.8046792160169</v>
      </c>
    </row>
    <row r="8" customFormat="false" ht="15" hidden="false" customHeight="false" outlineLevel="0" collapsed="false">
      <c r="A8" s="6" t="s">
        <v>74</v>
      </c>
      <c r="B8" s="6" t="s">
        <v>75</v>
      </c>
      <c r="C8" s="6" t="n">
        <v>6</v>
      </c>
      <c r="D8" s="6" t="n">
        <v>343</v>
      </c>
      <c r="E8" s="6" t="n">
        <v>724</v>
      </c>
      <c r="F8" s="7" t="n">
        <v>91.8727986185814</v>
      </c>
      <c r="G8" s="9" t="n">
        <v>0.2</v>
      </c>
      <c r="H8" s="7" t="n">
        <f aca="false">F8*G8</f>
        <v>18.3745597237163</v>
      </c>
      <c r="I8" s="6" t="s">
        <v>76</v>
      </c>
      <c r="J8" s="6" t="n">
        <v>0</v>
      </c>
      <c r="L8" s="0" t="str">
        <f aca="false">A8</f>
        <v>MS-CT</v>
      </c>
      <c r="M8" s="0" t="n">
        <f aca="false">H8</f>
        <v>18.3745597237163</v>
      </c>
    </row>
    <row r="9" customFormat="false" ht="15" hidden="false" customHeight="false" outlineLevel="0" collapsed="false">
      <c r="A9" s="6" t="s">
        <v>77</v>
      </c>
      <c r="B9" s="6" t="s">
        <v>78</v>
      </c>
      <c r="C9" s="6" t="n">
        <v>4</v>
      </c>
      <c r="D9" s="6" t="n">
        <v>170</v>
      </c>
      <c r="E9" s="6" t="n">
        <v>370</v>
      </c>
      <c r="F9" s="7" t="n">
        <v>54.647956172523</v>
      </c>
      <c r="G9" s="9" t="n">
        <v>0.2</v>
      </c>
      <c r="H9" s="7" t="n">
        <f aca="false">F9*G9</f>
        <v>10.9295912345046</v>
      </c>
      <c r="I9" s="6" t="s">
        <v>79</v>
      </c>
      <c r="J9" s="6" t="n">
        <v>0</v>
      </c>
      <c r="L9" s="0" t="str">
        <f aca="false">A9</f>
        <v>MS-HC</v>
      </c>
      <c r="M9" s="0" t="n">
        <f aca="false">H9</f>
        <v>10.9295912345046</v>
      </c>
    </row>
    <row r="10" customFormat="false" ht="15" hidden="false" customHeight="false" outlineLevel="0" collapsed="false">
      <c r="A10" s="6" t="s">
        <v>80</v>
      </c>
      <c r="B10" s="6" t="s">
        <v>81</v>
      </c>
      <c r="C10" s="6" t="n">
        <v>5</v>
      </c>
      <c r="D10" s="6" t="n">
        <v>256</v>
      </c>
      <c r="E10" s="6" t="n">
        <v>554</v>
      </c>
      <c r="F10" s="7" t="n">
        <v>71.9530255456451</v>
      </c>
      <c r="G10" s="9" t="n">
        <v>0.2</v>
      </c>
      <c r="H10" s="7" t="n">
        <f aca="false">F10*G10</f>
        <v>14.390605109129</v>
      </c>
      <c r="I10" s="6" t="s">
        <v>82</v>
      </c>
      <c r="J10" s="6" t="n">
        <v>0</v>
      </c>
      <c r="L10" s="0" t="str">
        <f aca="false">A10</f>
        <v>MS-LF</v>
      </c>
      <c r="M10" s="0" t="n">
        <f aca="false">H10</f>
        <v>14.390605109129</v>
      </c>
    </row>
    <row r="11" customFormat="false" ht="15" hidden="false" customHeight="false" outlineLevel="0" collapsed="false">
      <c r="A11" s="6" t="s">
        <v>83</v>
      </c>
      <c r="B11" s="6" t="s">
        <v>84</v>
      </c>
      <c r="C11" s="6" t="n">
        <v>15</v>
      </c>
      <c r="D11" s="6" t="n">
        <v>879</v>
      </c>
      <c r="E11" s="6" t="n">
        <v>1944</v>
      </c>
      <c r="F11" s="7" t="n">
        <v>153.10176148974</v>
      </c>
      <c r="G11" s="9" t="n">
        <v>0.2</v>
      </c>
      <c r="H11" s="7" t="n">
        <f aca="false">F11*G11</f>
        <v>30.620352297948</v>
      </c>
      <c r="I11" s="6" t="s">
        <v>85</v>
      </c>
      <c r="J11" s="6" t="n">
        <v>0</v>
      </c>
      <c r="L11" s="0" t="str">
        <f aca="false">A11</f>
        <v>MS-HU</v>
      </c>
      <c r="M11" s="0" t="n">
        <f aca="false">H11</f>
        <v>30.620352297948</v>
      </c>
    </row>
    <row r="12" customFormat="false" ht="15" hidden="false" customHeight="false" outlineLevel="0" collapsed="false">
      <c r="A12" s="6" t="s">
        <v>86</v>
      </c>
      <c r="B12" s="6" t="s">
        <v>87</v>
      </c>
      <c r="C12" s="6" t="n">
        <v>9</v>
      </c>
      <c r="D12" s="6" t="n">
        <v>403</v>
      </c>
      <c r="E12" s="6" t="n">
        <v>832</v>
      </c>
      <c r="F12" s="7" t="n">
        <v>89.401062093426</v>
      </c>
      <c r="G12" s="9" t="n">
        <v>0.2</v>
      </c>
      <c r="H12" s="7" t="n">
        <f aca="false">F12*G12</f>
        <v>17.8802124186852</v>
      </c>
      <c r="I12" s="6" t="s">
        <v>88</v>
      </c>
      <c r="J12" s="6" t="n">
        <v>0</v>
      </c>
      <c r="L12" s="0" t="str">
        <f aca="false">A12</f>
        <v>MS-RT</v>
      </c>
      <c r="M12" s="0" t="n">
        <f aca="false">H12</f>
        <v>17.8802124186852</v>
      </c>
    </row>
    <row r="13" customFormat="false" ht="15" hidden="false" customHeight="false" outlineLevel="0" collapsed="false">
      <c r="A13" s="10" t="s">
        <v>89</v>
      </c>
      <c r="B13" s="10"/>
      <c r="C13" s="10" t="n">
        <f aca="false">SUM(C7:C12)</f>
        <v>48</v>
      </c>
      <c r="D13" s="10" t="n">
        <f aca="false">SUM(D7:D12)</f>
        <v>2420</v>
      </c>
      <c r="E13" s="10" t="n">
        <f aca="false">SUM(E7:E12)</f>
        <v>5251</v>
      </c>
      <c r="F13" s="11" t="n">
        <f aca="false">SUM(F7:F12)</f>
        <v>550</v>
      </c>
      <c r="G13" s="12" t="n">
        <f aca="false">H13/F13</f>
        <v>0.2</v>
      </c>
      <c r="H13" s="11" t="n">
        <f aca="false">SUM(H7:H12)</f>
        <v>110</v>
      </c>
      <c r="I13" s="10" t="s">
        <v>90</v>
      </c>
      <c r="J13" s="1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1"/>
    <col collapsed="false" customWidth="true" hidden="false" outlineLevel="0" max="4" min="4" style="0" width="38"/>
    <col collapsed="false" customWidth="true" hidden="false" outlineLevel="0" max="5" min="5" style="0" width="57"/>
    <col collapsed="false" customWidth="true" hidden="false" outlineLevel="0" max="6" min="6" style="0" width="55"/>
    <col collapsed="false" customWidth="true" hidden="false" outlineLevel="0" max="9" min="7" style="0" width="20"/>
    <col collapsed="false" customWidth="true" hidden="false" outlineLevel="0" max="11" min="10" style="0" width="18"/>
  </cols>
  <sheetData>
    <row r="2" customFormat="false" ht="24" hidden="false" customHeight="true" outlineLevel="0" collapsed="false">
      <c r="A2" s="1" t="s">
        <v>91</v>
      </c>
    </row>
    <row r="3" customFormat="false" ht="18" hidden="false" customHeight="true" outlineLevel="0" collapsed="false">
      <c r="A3" s="2" t="s">
        <v>92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6" customFormat="false" ht="23.85" hidden="false" customHeight="false" outlineLevel="0" collapsed="false">
      <c r="A6" s="5" t="s">
        <v>93</v>
      </c>
      <c r="B6" s="5" t="s">
        <v>70</v>
      </c>
      <c r="C6" s="5" t="s">
        <v>94</v>
      </c>
      <c r="D6" s="5" t="s">
        <v>95</v>
      </c>
      <c r="E6" s="5" t="s">
        <v>96</v>
      </c>
      <c r="F6" s="5" t="s">
        <v>97</v>
      </c>
      <c r="G6" s="5" t="s">
        <v>65</v>
      </c>
      <c r="H6" s="5" t="s">
        <v>66</v>
      </c>
      <c r="I6" s="5" t="s">
        <v>67</v>
      </c>
      <c r="J6" s="5" t="s">
        <v>98</v>
      </c>
      <c r="K6" s="5" t="s">
        <v>69</v>
      </c>
    </row>
    <row r="7" customFormat="false" ht="23.85" hidden="false" customHeight="false" outlineLevel="0" collapsed="false">
      <c r="A7" s="6" t="s">
        <v>99</v>
      </c>
      <c r="B7" s="6" t="s">
        <v>71</v>
      </c>
      <c r="C7" s="6" t="s">
        <v>100</v>
      </c>
      <c r="D7" s="6" t="s">
        <v>101</v>
      </c>
      <c r="E7" s="6" t="s">
        <v>102</v>
      </c>
      <c r="F7" s="6" t="s">
        <v>103</v>
      </c>
      <c r="G7" s="7" t="n">
        <v>22.2558490200211</v>
      </c>
      <c r="H7" s="9" t="n">
        <v>0.2</v>
      </c>
      <c r="I7" s="7" t="n">
        <f aca="false">G7*H7</f>
        <v>4.45116980400422</v>
      </c>
      <c r="J7" s="6" t="n">
        <v>4</v>
      </c>
      <c r="K7" s="6" t="n">
        <v>0</v>
      </c>
    </row>
    <row r="8" customFormat="false" ht="23.85" hidden="false" customHeight="false" outlineLevel="0" collapsed="false">
      <c r="A8" s="6" t="s">
        <v>104</v>
      </c>
      <c r="B8" s="6" t="s">
        <v>71</v>
      </c>
      <c r="C8" s="6" t="s">
        <v>105</v>
      </c>
      <c r="D8" s="6" t="s">
        <v>106</v>
      </c>
      <c r="E8" s="6" t="s">
        <v>107</v>
      </c>
      <c r="F8" s="6" t="s">
        <v>108</v>
      </c>
      <c r="G8" s="7" t="n">
        <v>22.2558490200211</v>
      </c>
      <c r="H8" s="9" t="n">
        <v>0.2</v>
      </c>
      <c r="I8" s="7" t="n">
        <f aca="false">G8*H8</f>
        <v>4.45116980400422</v>
      </c>
      <c r="J8" s="6" t="n">
        <v>4</v>
      </c>
      <c r="K8" s="6" t="n">
        <v>0</v>
      </c>
    </row>
    <row r="9" customFormat="false" ht="23.85" hidden="false" customHeight="false" outlineLevel="0" collapsed="false">
      <c r="A9" s="6" t="s">
        <v>109</v>
      </c>
      <c r="B9" s="6" t="s">
        <v>71</v>
      </c>
      <c r="C9" s="6" t="s">
        <v>110</v>
      </c>
      <c r="D9" s="6" t="s">
        <v>111</v>
      </c>
      <c r="E9" s="6" t="s">
        <v>112</v>
      </c>
      <c r="F9" s="6" t="s">
        <v>113</v>
      </c>
      <c r="G9" s="7" t="n">
        <v>22.2558490200211</v>
      </c>
      <c r="H9" s="9" t="n">
        <v>0.2</v>
      </c>
      <c r="I9" s="7" t="n">
        <f aca="false">G9*H9</f>
        <v>4.45116980400422</v>
      </c>
      <c r="J9" s="6" t="n">
        <v>4</v>
      </c>
      <c r="K9" s="6" t="n">
        <v>0</v>
      </c>
    </row>
    <row r="10" customFormat="false" ht="15" hidden="false" customHeight="false" outlineLevel="0" collapsed="false">
      <c r="A10" s="6" t="s">
        <v>114</v>
      </c>
      <c r="B10" s="6" t="s">
        <v>71</v>
      </c>
      <c r="C10" s="6" t="s">
        <v>115</v>
      </c>
      <c r="D10" s="6" t="s">
        <v>116</v>
      </c>
      <c r="E10" s="6" t="s">
        <v>117</v>
      </c>
      <c r="F10" s="6" t="s">
        <v>118</v>
      </c>
      <c r="G10" s="7" t="n">
        <v>22.2558490200211</v>
      </c>
      <c r="H10" s="9" t="n">
        <v>0.2</v>
      </c>
      <c r="I10" s="7" t="n">
        <f aca="false">G10*H10</f>
        <v>4.45116980400422</v>
      </c>
      <c r="J10" s="6" t="n">
        <v>4</v>
      </c>
      <c r="K10" s="6" t="n">
        <v>0</v>
      </c>
    </row>
    <row r="11" customFormat="false" ht="23.85" hidden="false" customHeight="false" outlineLevel="0" collapsed="false">
      <c r="A11" s="6" t="s">
        <v>119</v>
      </c>
      <c r="B11" s="6" t="s">
        <v>74</v>
      </c>
      <c r="C11" s="6" t="s">
        <v>120</v>
      </c>
      <c r="D11" s="6" t="s">
        <v>121</v>
      </c>
      <c r="E11" s="6" t="s">
        <v>122</v>
      </c>
      <c r="F11" s="6" t="s">
        <v>123</v>
      </c>
      <c r="G11" s="7" t="n">
        <v>22.9681996546453</v>
      </c>
      <c r="H11" s="9" t="n">
        <v>0.2</v>
      </c>
      <c r="I11" s="7" t="n">
        <f aca="false">G11*H11</f>
        <v>4.59363993092907</v>
      </c>
      <c r="J11" s="6" t="n">
        <v>4</v>
      </c>
      <c r="K11" s="6" t="n">
        <v>0</v>
      </c>
    </row>
    <row r="12" customFormat="false" ht="23.85" hidden="false" customHeight="false" outlineLevel="0" collapsed="false">
      <c r="A12" s="6" t="s">
        <v>124</v>
      </c>
      <c r="B12" s="6" t="s">
        <v>74</v>
      </c>
      <c r="C12" s="6" t="s">
        <v>125</v>
      </c>
      <c r="D12" s="6" t="s">
        <v>126</v>
      </c>
      <c r="E12" s="6" t="s">
        <v>127</v>
      </c>
      <c r="F12" s="6" t="s">
        <v>128</v>
      </c>
      <c r="G12" s="7" t="n">
        <v>22.9681996546453</v>
      </c>
      <c r="H12" s="9" t="n">
        <v>0.2</v>
      </c>
      <c r="I12" s="7" t="n">
        <f aca="false">G12*H12</f>
        <v>4.59363993092907</v>
      </c>
      <c r="J12" s="6" t="n">
        <v>4</v>
      </c>
      <c r="K12" s="6" t="n">
        <v>0</v>
      </c>
    </row>
    <row r="13" customFormat="false" ht="23.85" hidden="false" customHeight="false" outlineLevel="0" collapsed="false">
      <c r="A13" s="6" t="s">
        <v>129</v>
      </c>
      <c r="B13" s="6" t="s">
        <v>74</v>
      </c>
      <c r="C13" s="6" t="s">
        <v>130</v>
      </c>
      <c r="D13" s="6" t="s">
        <v>131</v>
      </c>
      <c r="E13" s="6" t="s">
        <v>132</v>
      </c>
      <c r="F13" s="6" t="s">
        <v>133</v>
      </c>
      <c r="G13" s="7" t="n">
        <v>22.9681996546453</v>
      </c>
      <c r="H13" s="9" t="n">
        <v>0.2</v>
      </c>
      <c r="I13" s="7" t="n">
        <f aca="false">G13*H13</f>
        <v>4.59363993092907</v>
      </c>
      <c r="J13" s="6" t="n">
        <v>4</v>
      </c>
      <c r="K13" s="6" t="n">
        <v>0</v>
      </c>
    </row>
    <row r="14" customFormat="false" ht="15" hidden="false" customHeight="false" outlineLevel="0" collapsed="false">
      <c r="A14" s="6" t="s">
        <v>134</v>
      </c>
      <c r="B14" s="6" t="s">
        <v>74</v>
      </c>
      <c r="C14" s="6" t="s">
        <v>135</v>
      </c>
      <c r="D14" s="6" t="s">
        <v>136</v>
      </c>
      <c r="E14" s="6" t="s">
        <v>137</v>
      </c>
      <c r="F14" s="6" t="s">
        <v>138</v>
      </c>
      <c r="G14" s="7" t="n">
        <v>22.9681996546453</v>
      </c>
      <c r="H14" s="9" t="n">
        <v>0.2</v>
      </c>
      <c r="I14" s="7" t="n">
        <f aca="false">G14*H14</f>
        <v>4.59363993092907</v>
      </c>
      <c r="J14" s="6" t="n">
        <v>4</v>
      </c>
      <c r="K14" s="6" t="n">
        <v>0</v>
      </c>
    </row>
    <row r="15" customFormat="false" ht="23.85" hidden="false" customHeight="false" outlineLevel="0" collapsed="false">
      <c r="A15" s="6" t="s">
        <v>139</v>
      </c>
      <c r="B15" s="6" t="s">
        <v>77</v>
      </c>
      <c r="C15" s="6" t="s">
        <v>140</v>
      </c>
      <c r="D15" s="6" t="s">
        <v>141</v>
      </c>
      <c r="E15" s="6" t="s">
        <v>142</v>
      </c>
      <c r="F15" s="6" t="s">
        <v>143</v>
      </c>
      <c r="G15" s="7" t="n">
        <v>13.6619890431308</v>
      </c>
      <c r="H15" s="9" t="n">
        <v>0.2</v>
      </c>
      <c r="I15" s="7" t="n">
        <f aca="false">G15*H15</f>
        <v>2.73239780862615</v>
      </c>
      <c r="J15" s="6" t="n">
        <v>4</v>
      </c>
      <c r="K15" s="6" t="n">
        <v>0</v>
      </c>
    </row>
    <row r="16" customFormat="false" ht="23.85" hidden="false" customHeight="false" outlineLevel="0" collapsed="false">
      <c r="A16" s="6" t="s">
        <v>144</v>
      </c>
      <c r="B16" s="6" t="s">
        <v>77</v>
      </c>
      <c r="C16" s="6" t="s">
        <v>145</v>
      </c>
      <c r="D16" s="6" t="s">
        <v>146</v>
      </c>
      <c r="E16" s="6" t="s">
        <v>147</v>
      </c>
      <c r="F16" s="6" t="s">
        <v>148</v>
      </c>
      <c r="G16" s="7" t="n">
        <v>13.6619890431308</v>
      </c>
      <c r="H16" s="9" t="n">
        <v>0.2</v>
      </c>
      <c r="I16" s="7" t="n">
        <f aca="false">G16*H16</f>
        <v>2.73239780862615</v>
      </c>
      <c r="J16" s="6" t="n">
        <v>4</v>
      </c>
      <c r="K16" s="6" t="n">
        <v>0</v>
      </c>
    </row>
    <row r="17" customFormat="false" ht="23.85" hidden="false" customHeight="false" outlineLevel="0" collapsed="false">
      <c r="A17" s="6" t="s">
        <v>149</v>
      </c>
      <c r="B17" s="6" t="s">
        <v>77</v>
      </c>
      <c r="C17" s="6" t="s">
        <v>150</v>
      </c>
      <c r="D17" s="6" t="s">
        <v>151</v>
      </c>
      <c r="E17" s="6" t="s">
        <v>152</v>
      </c>
      <c r="F17" s="6" t="s">
        <v>153</v>
      </c>
      <c r="G17" s="7" t="n">
        <v>13.6619890431308</v>
      </c>
      <c r="H17" s="9" t="n">
        <v>0.2</v>
      </c>
      <c r="I17" s="7" t="n">
        <f aca="false">G17*H17</f>
        <v>2.73239780862615</v>
      </c>
      <c r="J17" s="6" t="n">
        <v>4</v>
      </c>
      <c r="K17" s="6" t="n">
        <v>0</v>
      </c>
    </row>
    <row r="18" customFormat="false" ht="23.85" hidden="false" customHeight="false" outlineLevel="0" collapsed="false">
      <c r="A18" s="6" t="s">
        <v>154</v>
      </c>
      <c r="B18" s="6" t="s">
        <v>77</v>
      </c>
      <c r="C18" s="6" t="s">
        <v>155</v>
      </c>
      <c r="D18" s="6" t="s">
        <v>156</v>
      </c>
      <c r="E18" s="6" t="s">
        <v>157</v>
      </c>
      <c r="F18" s="6" t="s">
        <v>158</v>
      </c>
      <c r="G18" s="7" t="n">
        <v>13.6619890431308</v>
      </c>
      <c r="H18" s="9" t="n">
        <v>0.2</v>
      </c>
      <c r="I18" s="7" t="n">
        <f aca="false">G18*H18</f>
        <v>2.73239780862615</v>
      </c>
      <c r="J18" s="6" t="n">
        <v>4</v>
      </c>
      <c r="K18" s="6" t="n">
        <v>0</v>
      </c>
    </row>
    <row r="19" customFormat="false" ht="23.85" hidden="false" customHeight="false" outlineLevel="0" collapsed="false">
      <c r="A19" s="6" t="s">
        <v>159</v>
      </c>
      <c r="B19" s="6" t="s">
        <v>80</v>
      </c>
      <c r="C19" s="6" t="s">
        <v>160</v>
      </c>
      <c r="D19" s="6" t="s">
        <v>161</v>
      </c>
      <c r="E19" s="6" t="s">
        <v>162</v>
      </c>
      <c r="F19" s="6" t="s">
        <v>163</v>
      </c>
      <c r="G19" s="7" t="n">
        <v>17.9882563864113</v>
      </c>
      <c r="H19" s="9" t="n">
        <v>0.2</v>
      </c>
      <c r="I19" s="7" t="n">
        <f aca="false">G19*H19</f>
        <v>3.59765127728226</v>
      </c>
      <c r="J19" s="6" t="n">
        <v>4</v>
      </c>
      <c r="K19" s="6" t="n">
        <v>0</v>
      </c>
    </row>
    <row r="20" customFormat="false" ht="23.85" hidden="false" customHeight="false" outlineLevel="0" collapsed="false">
      <c r="A20" s="6" t="s">
        <v>164</v>
      </c>
      <c r="B20" s="6" t="s">
        <v>80</v>
      </c>
      <c r="C20" s="6" t="s">
        <v>165</v>
      </c>
      <c r="D20" s="6" t="s">
        <v>166</v>
      </c>
      <c r="E20" s="6" t="s">
        <v>167</v>
      </c>
      <c r="F20" s="6" t="s">
        <v>168</v>
      </c>
      <c r="G20" s="7" t="n">
        <v>17.9882563864113</v>
      </c>
      <c r="H20" s="9" t="n">
        <v>0.2</v>
      </c>
      <c r="I20" s="7" t="n">
        <f aca="false">G20*H20</f>
        <v>3.59765127728226</v>
      </c>
      <c r="J20" s="6" t="n">
        <v>4</v>
      </c>
      <c r="K20" s="6" t="n">
        <v>0</v>
      </c>
    </row>
    <row r="21" customFormat="false" ht="23.85" hidden="false" customHeight="false" outlineLevel="0" collapsed="false">
      <c r="A21" s="6" t="s">
        <v>169</v>
      </c>
      <c r="B21" s="6" t="s">
        <v>80</v>
      </c>
      <c r="C21" s="6" t="s">
        <v>170</v>
      </c>
      <c r="D21" s="6" t="s">
        <v>171</v>
      </c>
      <c r="E21" s="6" t="s">
        <v>172</v>
      </c>
      <c r="F21" s="6" t="s">
        <v>173</v>
      </c>
      <c r="G21" s="7" t="n">
        <v>17.9882563864113</v>
      </c>
      <c r="H21" s="9" t="n">
        <v>0.2</v>
      </c>
      <c r="I21" s="7" t="n">
        <f aca="false">G21*H21</f>
        <v>3.59765127728226</v>
      </c>
      <c r="J21" s="6" t="n">
        <v>4</v>
      </c>
      <c r="K21" s="6" t="n">
        <v>0</v>
      </c>
    </row>
    <row r="22" customFormat="false" ht="23.85" hidden="false" customHeight="false" outlineLevel="0" collapsed="false">
      <c r="A22" s="6" t="s">
        <v>174</v>
      </c>
      <c r="B22" s="6" t="s">
        <v>80</v>
      </c>
      <c r="C22" s="6" t="s">
        <v>175</v>
      </c>
      <c r="D22" s="6" t="s">
        <v>176</v>
      </c>
      <c r="E22" s="6" t="s">
        <v>177</v>
      </c>
      <c r="F22" s="6" t="s">
        <v>178</v>
      </c>
      <c r="G22" s="7" t="n">
        <v>17.9882563864113</v>
      </c>
      <c r="H22" s="9" t="n">
        <v>0.2</v>
      </c>
      <c r="I22" s="7" t="n">
        <f aca="false">G22*H22</f>
        <v>3.59765127728226</v>
      </c>
      <c r="J22" s="6" t="n">
        <v>4</v>
      </c>
      <c r="K22" s="6" t="n">
        <v>0</v>
      </c>
    </row>
    <row r="23" customFormat="false" ht="23.85" hidden="false" customHeight="false" outlineLevel="0" collapsed="false">
      <c r="A23" s="6" t="s">
        <v>179</v>
      </c>
      <c r="B23" s="6" t="s">
        <v>83</v>
      </c>
      <c r="C23" s="6" t="s">
        <v>180</v>
      </c>
      <c r="D23" s="6" t="s">
        <v>181</v>
      </c>
      <c r="E23" s="6" t="s">
        <v>182</v>
      </c>
      <c r="F23" s="6" t="s">
        <v>183</v>
      </c>
      <c r="G23" s="7" t="n">
        <v>38.275440372435</v>
      </c>
      <c r="H23" s="9" t="n">
        <v>0.2</v>
      </c>
      <c r="I23" s="7" t="n">
        <f aca="false">G23*H23</f>
        <v>7.65508807448701</v>
      </c>
      <c r="J23" s="6" t="n">
        <v>4</v>
      </c>
      <c r="K23" s="6" t="n">
        <v>0</v>
      </c>
    </row>
    <row r="24" customFormat="false" ht="23.85" hidden="false" customHeight="false" outlineLevel="0" collapsed="false">
      <c r="A24" s="6" t="s">
        <v>184</v>
      </c>
      <c r="B24" s="6" t="s">
        <v>83</v>
      </c>
      <c r="C24" s="6" t="s">
        <v>185</v>
      </c>
      <c r="D24" s="6" t="s">
        <v>186</v>
      </c>
      <c r="E24" s="6" t="s">
        <v>187</v>
      </c>
      <c r="F24" s="6" t="s">
        <v>188</v>
      </c>
      <c r="G24" s="7" t="n">
        <v>38.275440372435</v>
      </c>
      <c r="H24" s="9" t="n">
        <v>0.2</v>
      </c>
      <c r="I24" s="7" t="n">
        <f aca="false">G24*H24</f>
        <v>7.65508807448701</v>
      </c>
      <c r="J24" s="6" t="n">
        <v>4</v>
      </c>
      <c r="K24" s="6" t="n">
        <v>0</v>
      </c>
    </row>
    <row r="25" customFormat="false" ht="23.85" hidden="false" customHeight="false" outlineLevel="0" collapsed="false">
      <c r="A25" s="6" t="s">
        <v>189</v>
      </c>
      <c r="B25" s="6" t="s">
        <v>83</v>
      </c>
      <c r="C25" s="6" t="s">
        <v>190</v>
      </c>
      <c r="D25" s="6" t="s">
        <v>191</v>
      </c>
      <c r="E25" s="6" t="s">
        <v>192</v>
      </c>
      <c r="F25" s="6" t="s">
        <v>193</v>
      </c>
      <c r="G25" s="7" t="n">
        <v>38.275440372435</v>
      </c>
      <c r="H25" s="9" t="n">
        <v>0.2</v>
      </c>
      <c r="I25" s="7" t="n">
        <f aca="false">G25*H25</f>
        <v>7.65508807448701</v>
      </c>
      <c r="J25" s="6" t="n">
        <v>4</v>
      </c>
      <c r="K25" s="6" t="n">
        <v>0</v>
      </c>
    </row>
    <row r="26" customFormat="false" ht="23.85" hidden="false" customHeight="false" outlineLevel="0" collapsed="false">
      <c r="A26" s="6" t="s">
        <v>194</v>
      </c>
      <c r="B26" s="6" t="s">
        <v>83</v>
      </c>
      <c r="C26" s="6" t="s">
        <v>195</v>
      </c>
      <c r="D26" s="6" t="s">
        <v>196</v>
      </c>
      <c r="E26" s="6" t="s">
        <v>197</v>
      </c>
      <c r="F26" s="6" t="s">
        <v>198</v>
      </c>
      <c r="G26" s="7" t="n">
        <v>38.275440372435</v>
      </c>
      <c r="H26" s="9" t="n">
        <v>0.2</v>
      </c>
      <c r="I26" s="7" t="n">
        <f aca="false">G26*H26</f>
        <v>7.65508807448701</v>
      </c>
      <c r="J26" s="6" t="n">
        <v>4</v>
      </c>
      <c r="K26" s="6" t="n">
        <v>0</v>
      </c>
    </row>
    <row r="27" customFormat="false" ht="23.85" hidden="false" customHeight="false" outlineLevel="0" collapsed="false">
      <c r="A27" s="6" t="s">
        <v>199</v>
      </c>
      <c r="B27" s="6" t="s">
        <v>86</v>
      </c>
      <c r="C27" s="6" t="s">
        <v>200</v>
      </c>
      <c r="D27" s="6" t="s">
        <v>201</v>
      </c>
      <c r="E27" s="6" t="s">
        <v>202</v>
      </c>
      <c r="F27" s="6" t="s">
        <v>203</v>
      </c>
      <c r="G27" s="7" t="n">
        <v>22.3502655233565</v>
      </c>
      <c r="H27" s="9" t="n">
        <v>0.2</v>
      </c>
      <c r="I27" s="7" t="n">
        <f aca="false">G27*H27</f>
        <v>4.4700531046713</v>
      </c>
      <c r="J27" s="6" t="n">
        <v>4</v>
      </c>
      <c r="K27" s="6" t="n">
        <v>0</v>
      </c>
    </row>
    <row r="28" customFormat="false" ht="23.85" hidden="false" customHeight="false" outlineLevel="0" collapsed="false">
      <c r="A28" s="6" t="s">
        <v>204</v>
      </c>
      <c r="B28" s="6" t="s">
        <v>86</v>
      </c>
      <c r="C28" s="6" t="s">
        <v>205</v>
      </c>
      <c r="D28" s="6" t="s">
        <v>206</v>
      </c>
      <c r="E28" s="6" t="s">
        <v>207</v>
      </c>
      <c r="F28" s="6" t="s">
        <v>208</v>
      </c>
      <c r="G28" s="7" t="n">
        <v>22.3502655233565</v>
      </c>
      <c r="H28" s="9" t="n">
        <v>0.2</v>
      </c>
      <c r="I28" s="7" t="n">
        <f aca="false">G28*H28</f>
        <v>4.4700531046713</v>
      </c>
      <c r="J28" s="6" t="n">
        <v>4</v>
      </c>
      <c r="K28" s="6" t="n">
        <v>0</v>
      </c>
    </row>
    <row r="29" customFormat="false" ht="23.85" hidden="false" customHeight="false" outlineLevel="0" collapsed="false">
      <c r="A29" s="6" t="s">
        <v>209</v>
      </c>
      <c r="B29" s="6" t="s">
        <v>86</v>
      </c>
      <c r="C29" s="6" t="s">
        <v>210</v>
      </c>
      <c r="D29" s="6" t="s">
        <v>211</v>
      </c>
      <c r="E29" s="6" t="s">
        <v>212</v>
      </c>
      <c r="F29" s="6" t="s">
        <v>213</v>
      </c>
      <c r="G29" s="7" t="n">
        <v>22.3502655233565</v>
      </c>
      <c r="H29" s="9" t="n">
        <v>0.2</v>
      </c>
      <c r="I29" s="7" t="n">
        <f aca="false">G29*H29</f>
        <v>4.4700531046713</v>
      </c>
      <c r="J29" s="6" t="n">
        <v>4</v>
      </c>
      <c r="K29" s="6" t="n">
        <v>0</v>
      </c>
    </row>
    <row r="30" customFormat="false" ht="23.85" hidden="false" customHeight="false" outlineLevel="0" collapsed="false">
      <c r="A30" s="6" t="s">
        <v>214</v>
      </c>
      <c r="B30" s="6" t="s">
        <v>86</v>
      </c>
      <c r="C30" s="6" t="s">
        <v>215</v>
      </c>
      <c r="D30" s="6" t="s">
        <v>216</v>
      </c>
      <c r="E30" s="6" t="s">
        <v>217</v>
      </c>
      <c r="F30" s="6" t="s">
        <v>218</v>
      </c>
      <c r="G30" s="7" t="n">
        <v>22.3502655233565</v>
      </c>
      <c r="H30" s="9" t="n">
        <v>0.2</v>
      </c>
      <c r="I30" s="7" t="n">
        <f aca="false">G30*H30</f>
        <v>4.4700531046713</v>
      </c>
      <c r="J30" s="6" t="n">
        <v>4</v>
      </c>
      <c r="K30" s="6" t="n">
        <v>0</v>
      </c>
    </row>
    <row r="31" customFormat="false" ht="15" hidden="false" customHeight="false" outlineLevel="0" collapsed="false">
      <c r="A31" s="10" t="s">
        <v>89</v>
      </c>
      <c r="B31" s="10" t="s">
        <v>219</v>
      </c>
      <c r="C31" s="10" t="s">
        <v>220</v>
      </c>
      <c r="D31" s="10"/>
      <c r="E31" s="10"/>
      <c r="F31" s="10"/>
      <c r="G31" s="11" t="n">
        <f aca="false">SUM(G7:G30)</f>
        <v>550</v>
      </c>
      <c r="H31" s="12" t="n">
        <f aca="false">I31/G31</f>
        <v>0.2</v>
      </c>
      <c r="I31" s="11" t="n">
        <f aca="false">SUM(I7:I30)</f>
        <v>110</v>
      </c>
      <c r="J31" s="10" t="n">
        <f aca="false">SUM(J7:J30)</f>
        <v>96</v>
      </c>
      <c r="K31" s="10" t="n">
        <f aca="false">SUM(K7:K30)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2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0"/>
    <col collapsed="false" customWidth="true" hidden="false" outlineLevel="0" max="4" min="4" style="0" width="54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8" min="7" style="0" width="26"/>
    <col collapsed="false" customWidth="true" hidden="false" outlineLevel="0" max="9" min="9" style="0" width="18"/>
  </cols>
  <sheetData>
    <row r="2" customFormat="false" ht="24" hidden="false" customHeight="true" outlineLevel="0" collapsed="false">
      <c r="A2" s="1" t="s">
        <v>221</v>
      </c>
    </row>
    <row r="3" customFormat="false" ht="18" hidden="false" customHeight="true" outlineLevel="0" collapsed="false">
      <c r="A3" s="2" t="s">
        <v>222</v>
      </c>
      <c r="B3" s="2"/>
      <c r="C3" s="2"/>
      <c r="D3" s="2"/>
      <c r="E3" s="2"/>
      <c r="F3" s="2"/>
      <c r="G3" s="2"/>
      <c r="H3" s="2"/>
      <c r="I3" s="2"/>
    </row>
    <row r="6" customFormat="false" ht="15" hidden="false" customHeight="false" outlineLevel="0" collapsed="false">
      <c r="A6" s="5" t="s">
        <v>223</v>
      </c>
      <c r="B6" s="5" t="s">
        <v>224</v>
      </c>
      <c r="C6" s="5" t="s">
        <v>225</v>
      </c>
      <c r="D6" s="5" t="s">
        <v>226</v>
      </c>
      <c r="E6" s="5" t="s">
        <v>227</v>
      </c>
      <c r="F6" s="5" t="s">
        <v>228</v>
      </c>
      <c r="G6" s="5" t="s">
        <v>229</v>
      </c>
      <c r="H6" s="5" t="s">
        <v>230</v>
      </c>
      <c r="I6" s="5" t="s">
        <v>69</v>
      </c>
    </row>
    <row r="7" customFormat="false" ht="23.85" hidden="false" customHeight="false" outlineLevel="0" collapsed="false">
      <c r="A7" s="6" t="s">
        <v>231</v>
      </c>
      <c r="B7" s="7" t="n">
        <v>110</v>
      </c>
      <c r="C7" s="9" t="n">
        <f aca="false">B7/$B$12</f>
        <v>0.55</v>
      </c>
      <c r="D7" s="6" t="s">
        <v>232</v>
      </c>
      <c r="E7" s="6" t="s">
        <v>233</v>
      </c>
      <c r="F7" s="6" t="s">
        <v>234</v>
      </c>
      <c r="G7" s="6" t="s">
        <v>235</v>
      </c>
      <c r="H7" s="6" t="s">
        <v>236</v>
      </c>
      <c r="I7" s="6" t="n">
        <v>0</v>
      </c>
    </row>
    <row r="8" customFormat="false" ht="15" hidden="false" customHeight="false" outlineLevel="0" collapsed="false">
      <c r="A8" s="6" t="s">
        <v>237</v>
      </c>
      <c r="B8" s="7" t="n">
        <v>30</v>
      </c>
      <c r="C8" s="9" t="n">
        <f aca="false">B8/$B$12</f>
        <v>0.15</v>
      </c>
      <c r="D8" s="6" t="s">
        <v>238</v>
      </c>
      <c r="E8" s="6" t="s">
        <v>239</v>
      </c>
      <c r="F8" s="6" t="s">
        <v>240</v>
      </c>
      <c r="G8" s="6" t="s">
        <v>241</v>
      </c>
      <c r="H8" s="6" t="s">
        <v>242</v>
      </c>
      <c r="I8" s="6" t="n">
        <v>0</v>
      </c>
    </row>
    <row r="9" customFormat="false" ht="23.85" hidden="false" customHeight="false" outlineLevel="0" collapsed="false">
      <c r="A9" s="6" t="s">
        <v>243</v>
      </c>
      <c r="B9" s="7" t="n">
        <v>30</v>
      </c>
      <c r="C9" s="9" t="n">
        <f aca="false">B9/$B$12</f>
        <v>0.15</v>
      </c>
      <c r="D9" s="6" t="s">
        <v>244</v>
      </c>
      <c r="E9" s="6" t="s">
        <v>245</v>
      </c>
      <c r="F9" s="6" t="s">
        <v>246</v>
      </c>
      <c r="G9" s="6" t="s">
        <v>247</v>
      </c>
      <c r="H9" s="6" t="s">
        <v>248</v>
      </c>
      <c r="I9" s="6" t="n">
        <v>0</v>
      </c>
    </row>
    <row r="10" customFormat="false" ht="23.85" hidden="false" customHeight="false" outlineLevel="0" collapsed="false">
      <c r="A10" s="6" t="s">
        <v>249</v>
      </c>
      <c r="B10" s="7" t="n">
        <v>20</v>
      </c>
      <c r="C10" s="9" t="n">
        <f aca="false">B10/$B$12</f>
        <v>0.1</v>
      </c>
      <c r="D10" s="6" t="s">
        <v>250</v>
      </c>
      <c r="E10" s="6" t="s">
        <v>251</v>
      </c>
      <c r="F10" s="6" t="s">
        <v>252</v>
      </c>
      <c r="G10" s="6" t="s">
        <v>253</v>
      </c>
      <c r="H10" s="6" t="s">
        <v>254</v>
      </c>
      <c r="I10" s="6" t="n">
        <v>0</v>
      </c>
    </row>
    <row r="11" customFormat="false" ht="23.85" hidden="false" customHeight="false" outlineLevel="0" collapsed="false">
      <c r="A11" s="6" t="s">
        <v>38</v>
      </c>
      <c r="B11" s="7" t="n">
        <v>10</v>
      </c>
      <c r="C11" s="9" t="n">
        <f aca="false">B11/$B$12</f>
        <v>0.05</v>
      </c>
      <c r="D11" s="6" t="s">
        <v>255</v>
      </c>
      <c r="E11" s="6" t="s">
        <v>256</v>
      </c>
      <c r="F11" s="6" t="s">
        <v>257</v>
      </c>
      <c r="G11" s="6" t="s">
        <v>258</v>
      </c>
      <c r="H11" s="6" t="s">
        <v>259</v>
      </c>
      <c r="I11" s="6" t="n">
        <v>0</v>
      </c>
    </row>
    <row r="12" customFormat="false" ht="15" hidden="false" customHeight="false" outlineLevel="0" collapsed="false">
      <c r="A12" s="13" t="s">
        <v>89</v>
      </c>
      <c r="B12" s="14" t="n">
        <f aca="false">SUM(B7:B11)</f>
        <v>200</v>
      </c>
      <c r="C12" s="15" t="n">
        <f aca="false">SUM(C7:C11)</f>
        <v>1</v>
      </c>
      <c r="D12" s="13" t="s">
        <v>260</v>
      </c>
      <c r="E12" s="13"/>
      <c r="F12" s="13"/>
      <c r="G12" s="13"/>
      <c r="H12" s="13" t="s">
        <v>261</v>
      </c>
      <c r="I12" s="13" t="n">
        <f aca="false">SUM(I7:I11)</f>
        <v>0</v>
      </c>
    </row>
    <row r="14" customFormat="false" ht="15" hidden="false" customHeight="false" outlineLevel="0" collapsed="false">
      <c r="A14" s="3" t="s">
        <v>262</v>
      </c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5" t="s">
        <v>263</v>
      </c>
      <c r="B15" s="5" t="s">
        <v>224</v>
      </c>
      <c r="C15" s="5" t="s">
        <v>264</v>
      </c>
      <c r="D15" s="5" t="s">
        <v>265</v>
      </c>
      <c r="E15" s="5" t="s">
        <v>266</v>
      </c>
      <c r="F15" s="5" t="s">
        <v>267</v>
      </c>
    </row>
    <row r="16" customFormat="false" ht="15" hidden="false" customHeight="false" outlineLevel="0" collapsed="false">
      <c r="A16" s="6" t="s">
        <v>268</v>
      </c>
      <c r="B16" s="7" t="n">
        <v>43</v>
      </c>
      <c r="C16" s="6" t="s">
        <v>269</v>
      </c>
      <c r="D16" s="6" t="s">
        <v>270</v>
      </c>
      <c r="E16" s="6" t="s">
        <v>271</v>
      </c>
      <c r="F16" s="6" t="s">
        <v>272</v>
      </c>
    </row>
    <row r="17" customFormat="false" ht="23.85" hidden="false" customHeight="false" outlineLevel="0" collapsed="false">
      <c r="A17" s="6" t="s">
        <v>273</v>
      </c>
      <c r="B17" s="7" t="n">
        <v>14.390605109129</v>
      </c>
      <c r="C17" s="6" t="s">
        <v>269</v>
      </c>
      <c r="D17" s="6" t="s">
        <v>274</v>
      </c>
      <c r="E17" s="6" t="s">
        <v>275</v>
      </c>
      <c r="F17" s="6" t="s">
        <v>276</v>
      </c>
    </row>
    <row r="18" customFormat="false" ht="23.85" hidden="false" customHeight="false" outlineLevel="0" collapsed="false">
      <c r="A18" s="6" t="s">
        <v>277</v>
      </c>
      <c r="B18" s="7" t="n">
        <f aca="false">$B$7-SUM(B16:B17)</f>
        <v>52.609394890871</v>
      </c>
      <c r="C18" s="6" t="s">
        <v>278</v>
      </c>
      <c r="D18" s="6" t="s">
        <v>279</v>
      </c>
      <c r="E18" s="6" t="s">
        <v>280</v>
      </c>
      <c r="F18" s="6" t="s">
        <v>281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45"/>
    <col collapsed="false" customWidth="true" hidden="false" outlineLevel="0" max="5" min="5" style="0" width="28"/>
    <col collapsed="false" customWidth="true" hidden="false" outlineLevel="0" max="6" min="6" style="0" width="36"/>
    <col collapsed="false" customWidth="true" hidden="false" outlineLevel="0" max="7" min="7" style="0" width="32"/>
    <col collapsed="false" customWidth="true" hidden="false" outlineLevel="0" max="8" min="8" style="0" width="30"/>
  </cols>
  <sheetData>
    <row r="2" customFormat="false" ht="24" hidden="false" customHeight="true" outlineLevel="0" collapsed="false">
      <c r="A2" s="1" t="s">
        <v>282</v>
      </c>
    </row>
    <row r="3" customFormat="false" ht="18" hidden="false" customHeight="true" outlineLevel="0" collapsed="false">
      <c r="A3" s="2" t="s">
        <v>283</v>
      </c>
      <c r="B3" s="2"/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A6" s="5" t="s">
        <v>284</v>
      </c>
      <c r="B6" s="5" t="s">
        <v>285</v>
      </c>
      <c r="C6" s="5" t="s">
        <v>286</v>
      </c>
      <c r="D6" s="5" t="s">
        <v>287</v>
      </c>
      <c r="E6" s="5" t="s">
        <v>288</v>
      </c>
      <c r="F6" s="5" t="s">
        <v>289</v>
      </c>
      <c r="G6" s="5" t="s">
        <v>290</v>
      </c>
      <c r="H6" s="5" t="s">
        <v>291</v>
      </c>
    </row>
    <row r="7" customFormat="false" ht="23.85" hidden="false" customHeight="false" outlineLevel="0" collapsed="false">
      <c r="A7" s="6" t="s">
        <v>292</v>
      </c>
      <c r="B7" s="6" t="s">
        <v>293</v>
      </c>
      <c r="C7" s="6" t="s">
        <v>294</v>
      </c>
      <c r="D7" s="6" t="s">
        <v>295</v>
      </c>
      <c r="E7" s="6" t="s">
        <v>296</v>
      </c>
      <c r="F7" s="6" t="s">
        <v>297</v>
      </c>
      <c r="G7" s="6" t="s">
        <v>298</v>
      </c>
      <c r="H7" s="6" t="s">
        <v>299</v>
      </c>
    </row>
    <row r="8" customFormat="false" ht="15" hidden="false" customHeight="false" outlineLevel="0" collapsed="false">
      <c r="A8" s="6" t="s">
        <v>300</v>
      </c>
      <c r="B8" s="6" t="s">
        <v>299</v>
      </c>
      <c r="C8" s="6" t="s">
        <v>301</v>
      </c>
      <c r="D8" s="6" t="s">
        <v>302</v>
      </c>
      <c r="E8" s="6" t="s">
        <v>303</v>
      </c>
      <c r="F8" s="6" t="s">
        <v>304</v>
      </c>
      <c r="G8" s="6" t="s">
        <v>305</v>
      </c>
      <c r="H8" s="6" t="s">
        <v>306</v>
      </c>
    </row>
    <row r="9" customFormat="false" ht="23.85" hidden="false" customHeight="false" outlineLevel="0" collapsed="false">
      <c r="A9" s="6" t="s">
        <v>307</v>
      </c>
      <c r="B9" s="6" t="s">
        <v>306</v>
      </c>
      <c r="C9" s="6" t="s">
        <v>308</v>
      </c>
      <c r="D9" s="6" t="s">
        <v>309</v>
      </c>
      <c r="E9" s="6" t="s">
        <v>310</v>
      </c>
      <c r="F9" s="6" t="s">
        <v>311</v>
      </c>
      <c r="G9" s="6" t="s">
        <v>312</v>
      </c>
      <c r="H9" s="6" t="s">
        <v>313</v>
      </c>
    </row>
    <row r="10" customFormat="false" ht="23.85" hidden="false" customHeight="false" outlineLevel="0" collapsed="false">
      <c r="A10" s="6" t="s">
        <v>314</v>
      </c>
      <c r="B10" s="6" t="s">
        <v>313</v>
      </c>
      <c r="C10" s="6" t="s">
        <v>315</v>
      </c>
      <c r="D10" s="6" t="s">
        <v>316</v>
      </c>
      <c r="E10" s="6" t="s">
        <v>317</v>
      </c>
      <c r="F10" s="6" t="s">
        <v>318</v>
      </c>
      <c r="G10" s="6" t="s">
        <v>319</v>
      </c>
      <c r="H10" s="6" t="s">
        <v>320</v>
      </c>
    </row>
    <row r="11" customFormat="false" ht="23.85" hidden="false" customHeight="false" outlineLevel="0" collapsed="false">
      <c r="A11" s="6" t="s">
        <v>321</v>
      </c>
      <c r="B11" s="6" t="s">
        <v>322</v>
      </c>
      <c r="C11" s="6" t="s">
        <v>323</v>
      </c>
      <c r="D11" s="6" t="s">
        <v>324</v>
      </c>
      <c r="E11" s="6" t="s">
        <v>325</v>
      </c>
      <c r="F11" s="6" t="s">
        <v>326</v>
      </c>
      <c r="G11" s="6" t="s">
        <v>327</v>
      </c>
      <c r="H11" s="6" t="s">
        <v>328</v>
      </c>
    </row>
    <row r="12" customFormat="false" ht="23.85" hidden="false" customHeight="false" outlineLevel="0" collapsed="false">
      <c r="A12" s="6" t="s">
        <v>329</v>
      </c>
      <c r="B12" s="6" t="s">
        <v>330</v>
      </c>
      <c r="C12" s="6" t="s">
        <v>331</v>
      </c>
      <c r="D12" s="6" t="s">
        <v>332</v>
      </c>
      <c r="E12" s="6" t="s">
        <v>333</v>
      </c>
      <c r="F12" s="6" t="s">
        <v>334</v>
      </c>
      <c r="G12" s="6" t="s">
        <v>335</v>
      </c>
      <c r="H12" s="6" t="s">
        <v>336</v>
      </c>
    </row>
    <row r="13" customFormat="false" ht="23.85" hidden="false" customHeight="false" outlineLevel="0" collapsed="false">
      <c r="A13" s="6" t="s">
        <v>337</v>
      </c>
      <c r="B13" s="6" t="s">
        <v>336</v>
      </c>
      <c r="C13" s="6" t="s">
        <v>338</v>
      </c>
      <c r="D13" s="6" t="s">
        <v>339</v>
      </c>
      <c r="E13" s="6" t="s">
        <v>340</v>
      </c>
      <c r="F13" s="6" t="s">
        <v>341</v>
      </c>
      <c r="G13" s="6" t="s">
        <v>342</v>
      </c>
      <c r="H13" s="6" t="s">
        <v>343</v>
      </c>
    </row>
    <row r="14" customFormat="false" ht="15" hidden="false" customHeight="false" outlineLevel="0" collapsed="false">
      <c r="A14" s="6" t="s">
        <v>344</v>
      </c>
      <c r="B14" s="6" t="s">
        <v>345</v>
      </c>
      <c r="C14" s="6" t="s">
        <v>346</v>
      </c>
      <c r="D14" s="6" t="s">
        <v>347</v>
      </c>
      <c r="E14" s="6" t="s">
        <v>348</v>
      </c>
      <c r="F14" s="6" t="s">
        <v>349</v>
      </c>
      <c r="G14" s="6" t="s">
        <v>350</v>
      </c>
      <c r="H14" s="6" t="s">
        <v>351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7" min="7" style="0" width="45"/>
    <col collapsed="false" customWidth="true" hidden="false" outlineLevel="0" max="8" min="8" style="0" width="43"/>
  </cols>
  <sheetData>
    <row r="2" customFormat="false" ht="24" hidden="false" customHeight="true" outlineLevel="0" collapsed="false">
      <c r="A2" s="1" t="s">
        <v>352</v>
      </c>
    </row>
    <row r="3" customFormat="false" ht="18" hidden="false" customHeight="true" outlineLevel="0" collapsed="false">
      <c r="A3" s="2" t="s">
        <v>353</v>
      </c>
      <c r="B3" s="2"/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A6" s="5" t="s">
        <v>354</v>
      </c>
      <c r="B6" s="5" t="s">
        <v>355</v>
      </c>
      <c r="C6" s="5" t="s">
        <v>356</v>
      </c>
      <c r="D6" s="5" t="s">
        <v>357</v>
      </c>
      <c r="E6" s="5" t="s">
        <v>358</v>
      </c>
      <c r="F6" s="5" t="s">
        <v>224</v>
      </c>
      <c r="G6" s="5" t="s">
        <v>359</v>
      </c>
      <c r="H6" s="5" t="s">
        <v>360</v>
      </c>
    </row>
    <row r="7" customFormat="false" ht="15" hidden="false" customHeight="false" outlineLevel="0" collapsed="false">
      <c r="A7" s="6" t="s">
        <v>361</v>
      </c>
      <c r="B7" s="6" t="n">
        <v>20</v>
      </c>
      <c r="C7" s="6" t="s">
        <v>362</v>
      </c>
      <c r="D7" s="6" t="n">
        <v>240</v>
      </c>
      <c r="E7" s="6" t="n">
        <v>1200</v>
      </c>
      <c r="F7" s="6" t="n">
        <v>43</v>
      </c>
      <c r="G7" s="6" t="s">
        <v>363</v>
      </c>
      <c r="H7" s="6" t="s">
        <v>364</v>
      </c>
    </row>
    <row r="8" customFormat="false" ht="15" hidden="false" customHeight="false" outlineLevel="0" collapsed="false">
      <c r="A8" s="6" t="s">
        <v>365</v>
      </c>
      <c r="B8" s="6" t="n">
        <v>4</v>
      </c>
      <c r="C8" s="6" t="s">
        <v>366</v>
      </c>
      <c r="D8" s="6" t="n">
        <v>168</v>
      </c>
      <c r="E8" s="6" t="n">
        <v>636</v>
      </c>
      <c r="F8" s="6" t="n">
        <v>36</v>
      </c>
      <c r="G8" s="6" t="s">
        <v>367</v>
      </c>
      <c r="H8" s="6" t="s">
        <v>368</v>
      </c>
    </row>
    <row r="9" customFormat="false" ht="15" hidden="false" customHeight="false" outlineLevel="0" collapsed="false">
      <c r="A9" s="6" t="s">
        <v>369</v>
      </c>
      <c r="B9" s="6" t="n">
        <v>24</v>
      </c>
      <c r="C9" s="6" t="s">
        <v>370</v>
      </c>
      <c r="D9" s="6" t="n">
        <v>408</v>
      </c>
      <c r="E9" s="6" t="n">
        <v>1836</v>
      </c>
      <c r="F9" s="6" t="n">
        <v>79</v>
      </c>
      <c r="G9" s="6" t="s">
        <v>371</v>
      </c>
      <c r="H9" s="6" t="s">
        <v>372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9"/>
    <col collapsed="false" customWidth="true" hidden="false" outlineLevel="0" max="3" min="3" style="0" width="52"/>
    <col collapsed="false" customWidth="true" hidden="false" outlineLevel="0" max="4" min="4" style="0" width="35"/>
    <col collapsed="false" customWidth="true" hidden="false" outlineLevel="0" max="5" min="5" style="0" width="28"/>
    <col collapsed="false" customWidth="true" hidden="false" outlineLevel="0" max="6" min="6" style="0" width="39"/>
    <col collapsed="false" customWidth="true" hidden="false" outlineLevel="0" max="7" min="7" style="0" width="38"/>
    <col collapsed="false" customWidth="true" hidden="false" outlineLevel="0" max="8" min="8" style="0" width="15"/>
  </cols>
  <sheetData>
    <row r="2" customFormat="false" ht="24" hidden="false" customHeight="true" outlineLevel="0" collapsed="false">
      <c r="A2" s="1" t="s">
        <v>373</v>
      </c>
    </row>
    <row r="3" customFormat="false" ht="18" hidden="false" customHeight="true" outlineLevel="0" collapsed="false">
      <c r="A3" s="2" t="s">
        <v>374</v>
      </c>
      <c r="B3" s="2"/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A6" s="5" t="s">
        <v>375</v>
      </c>
      <c r="B6" s="5" t="s">
        <v>376</v>
      </c>
      <c r="C6" s="5" t="s">
        <v>377</v>
      </c>
      <c r="D6" s="5" t="s">
        <v>378</v>
      </c>
      <c r="E6" s="5" t="s">
        <v>379</v>
      </c>
      <c r="F6" s="5" t="s">
        <v>380</v>
      </c>
      <c r="G6" s="5" t="s">
        <v>381</v>
      </c>
      <c r="H6" s="5" t="s">
        <v>382</v>
      </c>
    </row>
    <row r="7" customFormat="false" ht="23.85" hidden="false" customHeight="false" outlineLevel="0" collapsed="false">
      <c r="A7" s="6" t="s">
        <v>383</v>
      </c>
      <c r="B7" s="6" t="s">
        <v>384</v>
      </c>
      <c r="C7" s="6" t="s">
        <v>385</v>
      </c>
      <c r="D7" s="6" t="s">
        <v>386</v>
      </c>
      <c r="E7" s="6" t="s">
        <v>387</v>
      </c>
      <c r="F7" s="6" t="s">
        <v>388</v>
      </c>
      <c r="G7" s="6" t="s">
        <v>389</v>
      </c>
      <c r="H7" s="6" t="n">
        <v>0</v>
      </c>
    </row>
    <row r="8" customFormat="false" ht="15" hidden="false" customHeight="false" outlineLevel="0" collapsed="false">
      <c r="A8" s="6" t="s">
        <v>390</v>
      </c>
      <c r="B8" s="6" t="s">
        <v>391</v>
      </c>
      <c r="C8" s="6" t="s">
        <v>392</v>
      </c>
      <c r="D8" s="6" t="s">
        <v>298</v>
      </c>
      <c r="E8" s="6" t="s">
        <v>393</v>
      </c>
      <c r="F8" s="6" t="s">
        <v>394</v>
      </c>
      <c r="G8" s="6" t="s">
        <v>395</v>
      </c>
      <c r="H8" s="6" t="n">
        <v>0</v>
      </c>
    </row>
    <row r="9" customFormat="false" ht="23.85" hidden="false" customHeight="false" outlineLevel="0" collapsed="false">
      <c r="A9" s="6" t="s">
        <v>396</v>
      </c>
      <c r="B9" s="6" t="s">
        <v>397</v>
      </c>
      <c r="C9" s="6" t="s">
        <v>398</v>
      </c>
      <c r="D9" s="6" t="s">
        <v>399</v>
      </c>
      <c r="E9" s="6" t="s">
        <v>400</v>
      </c>
      <c r="F9" s="6" t="s">
        <v>401</v>
      </c>
      <c r="G9" s="6" t="s">
        <v>402</v>
      </c>
      <c r="H9" s="6" t="n">
        <v>0</v>
      </c>
    </row>
    <row r="10" customFormat="false" ht="15" hidden="false" customHeight="false" outlineLevel="0" collapsed="false">
      <c r="A10" s="6" t="s">
        <v>403</v>
      </c>
      <c r="B10" s="6" t="s">
        <v>404</v>
      </c>
      <c r="C10" s="6" t="s">
        <v>405</v>
      </c>
      <c r="D10" s="6" t="s">
        <v>406</v>
      </c>
      <c r="E10" s="6" t="s">
        <v>407</v>
      </c>
      <c r="F10" s="6" t="s">
        <v>408</v>
      </c>
      <c r="G10" s="6" t="s">
        <v>409</v>
      </c>
      <c r="H10" s="6" t="n">
        <v>0</v>
      </c>
    </row>
    <row r="11" customFormat="false" ht="15" hidden="false" customHeight="false" outlineLevel="0" collapsed="false">
      <c r="A11" s="6" t="s">
        <v>410</v>
      </c>
      <c r="B11" s="6" t="s">
        <v>411</v>
      </c>
      <c r="C11" s="6" t="s">
        <v>412</v>
      </c>
      <c r="D11" s="6" t="s">
        <v>413</v>
      </c>
      <c r="E11" s="6" t="s">
        <v>414</v>
      </c>
      <c r="F11" s="6" t="s">
        <v>415</v>
      </c>
      <c r="G11" s="6" t="s">
        <v>416</v>
      </c>
      <c r="H11" s="6" t="n">
        <v>0</v>
      </c>
    </row>
    <row r="12" customFormat="false" ht="23.85" hidden="false" customHeight="false" outlineLevel="0" collapsed="false">
      <c r="A12" s="6" t="s">
        <v>417</v>
      </c>
      <c r="B12" s="6" t="s">
        <v>418</v>
      </c>
      <c r="C12" s="6" t="s">
        <v>419</v>
      </c>
      <c r="D12" s="6" t="s">
        <v>420</v>
      </c>
      <c r="E12" s="6" t="s">
        <v>421</v>
      </c>
      <c r="F12" s="6" t="s">
        <v>422</v>
      </c>
      <c r="G12" s="6" t="s">
        <v>423</v>
      </c>
      <c r="H12" s="6" t="n">
        <v>0</v>
      </c>
    </row>
    <row r="13" customFormat="false" ht="23.85" hidden="false" customHeight="false" outlineLevel="0" collapsed="false">
      <c r="A13" s="6" t="s">
        <v>424</v>
      </c>
      <c r="B13" s="6" t="s">
        <v>425</v>
      </c>
      <c r="C13" s="6" t="s">
        <v>426</v>
      </c>
      <c r="D13" s="6" t="s">
        <v>427</v>
      </c>
      <c r="E13" s="6" t="s">
        <v>428</v>
      </c>
      <c r="F13" s="6" t="s">
        <v>429</v>
      </c>
      <c r="G13" s="6" t="s">
        <v>430</v>
      </c>
      <c r="H13" s="6" t="n">
        <v>0</v>
      </c>
    </row>
    <row r="14" customFormat="false" ht="23.85" hidden="false" customHeight="false" outlineLevel="0" collapsed="false">
      <c r="A14" s="6" t="s">
        <v>431</v>
      </c>
      <c r="B14" s="6" t="s">
        <v>432</v>
      </c>
      <c r="C14" s="6" t="s">
        <v>433</v>
      </c>
      <c r="D14" s="6" t="s">
        <v>434</v>
      </c>
      <c r="E14" s="6" t="s">
        <v>435</v>
      </c>
      <c r="F14" s="6" t="s">
        <v>436</v>
      </c>
      <c r="G14" s="6" t="s">
        <v>437</v>
      </c>
      <c r="H14" s="6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6" min="5" style="0" width="18"/>
    <col collapsed="false" customWidth="true" hidden="false" outlineLevel="0" max="7" min="7" style="0" width="56"/>
    <col collapsed="false" customWidth="true" hidden="false" outlineLevel="0" max="8" min="8" style="0" width="20"/>
    <col collapsed="false" customWidth="true" hidden="false" outlineLevel="0" max="9" min="9" style="0" width="38"/>
    <col collapsed="false" customWidth="true" hidden="false" outlineLevel="0" max="10" min="10" style="0" width="42"/>
  </cols>
  <sheetData>
    <row r="2" customFormat="false" ht="24" hidden="false" customHeight="true" outlineLevel="0" collapsed="false">
      <c r="A2" s="1" t="s">
        <v>438</v>
      </c>
    </row>
    <row r="3" customFormat="false" ht="18" hidden="false" customHeight="true" outlineLevel="0" collapsed="false">
      <c r="A3" s="2" t="s">
        <v>439</v>
      </c>
      <c r="B3" s="2"/>
      <c r="C3" s="2"/>
      <c r="D3" s="2"/>
      <c r="E3" s="2"/>
      <c r="F3" s="2"/>
      <c r="G3" s="2"/>
      <c r="H3" s="2"/>
      <c r="I3" s="2"/>
      <c r="J3" s="2"/>
    </row>
    <row r="6" customFormat="false" ht="23.85" hidden="false" customHeight="false" outlineLevel="0" collapsed="false">
      <c r="A6" s="5" t="s">
        <v>440</v>
      </c>
      <c r="B6" s="5" t="s">
        <v>441</v>
      </c>
      <c r="C6" s="5" t="s">
        <v>442</v>
      </c>
      <c r="D6" s="5" t="s">
        <v>443</v>
      </c>
      <c r="E6" s="5" t="s">
        <v>444</v>
      </c>
      <c r="F6" s="5" t="s">
        <v>445</v>
      </c>
      <c r="G6" s="5" t="s">
        <v>446</v>
      </c>
      <c r="H6" s="5" t="s">
        <v>447</v>
      </c>
      <c r="I6" s="5" t="s">
        <v>448</v>
      </c>
      <c r="J6" s="5" t="s">
        <v>449</v>
      </c>
    </row>
    <row r="7" customFormat="false" ht="15" hidden="false" customHeight="false" outlineLevel="0" collapsed="false">
      <c r="A7" s="6" t="s">
        <v>450</v>
      </c>
      <c r="B7" s="6" t="s">
        <v>451</v>
      </c>
      <c r="C7" s="7" t="n">
        <v>200</v>
      </c>
      <c r="D7" s="7" t="n">
        <f aca="false">C7</f>
        <v>200</v>
      </c>
      <c r="E7" s="6" t="s">
        <v>383</v>
      </c>
      <c r="F7" s="6" t="s">
        <v>390</v>
      </c>
      <c r="G7" s="6" t="s">
        <v>452</v>
      </c>
      <c r="H7" s="16" t="n">
        <v>0</v>
      </c>
      <c r="I7" s="6" t="s">
        <v>453</v>
      </c>
      <c r="J7" s="6" t="s">
        <v>454</v>
      </c>
    </row>
    <row r="8" customFormat="false" ht="15" hidden="false" customHeight="false" outlineLevel="0" collapsed="false">
      <c r="A8" s="6" t="s">
        <v>455</v>
      </c>
      <c r="B8" s="6" t="s">
        <v>456</v>
      </c>
      <c r="C8" s="7" t="n">
        <v>300</v>
      </c>
      <c r="D8" s="7" t="n">
        <f aca="false">D7+C8</f>
        <v>500</v>
      </c>
      <c r="E8" s="6" t="s">
        <v>390</v>
      </c>
      <c r="F8" s="6" t="s">
        <v>457</v>
      </c>
      <c r="G8" s="6" t="s">
        <v>458</v>
      </c>
      <c r="H8" s="16" t="n">
        <v>0</v>
      </c>
      <c r="I8" s="6" t="s">
        <v>459</v>
      </c>
      <c r="J8" s="6" t="s">
        <v>460</v>
      </c>
    </row>
    <row r="9" customFormat="false" ht="15" hidden="false" customHeight="false" outlineLevel="0" collapsed="false">
      <c r="A9" s="6" t="s">
        <v>461</v>
      </c>
      <c r="B9" s="6" t="s">
        <v>462</v>
      </c>
      <c r="C9" s="7" t="n">
        <v>250</v>
      </c>
      <c r="D9" s="7" t="n">
        <f aca="false">D8+C9</f>
        <v>750</v>
      </c>
      <c r="E9" s="6" t="s">
        <v>403</v>
      </c>
      <c r="F9" s="6" t="s">
        <v>410</v>
      </c>
      <c r="G9" s="6" t="s">
        <v>463</v>
      </c>
      <c r="H9" s="16" t="n">
        <v>0</v>
      </c>
      <c r="I9" s="6" t="s">
        <v>464</v>
      </c>
      <c r="J9" s="6" t="s">
        <v>465</v>
      </c>
    </row>
    <row r="10" customFormat="false" ht="15" hidden="false" customHeight="false" outlineLevel="0" collapsed="false">
      <c r="A10" s="6" t="s">
        <v>466</v>
      </c>
      <c r="B10" s="6" t="s">
        <v>467</v>
      </c>
      <c r="C10" s="7" t="n">
        <v>150</v>
      </c>
      <c r="D10" s="7" t="n">
        <f aca="false">D9+C10</f>
        <v>900</v>
      </c>
      <c r="E10" s="6" t="s">
        <v>410</v>
      </c>
      <c r="F10" s="6" t="s">
        <v>468</v>
      </c>
      <c r="G10" s="6" t="s">
        <v>469</v>
      </c>
      <c r="H10" s="16"/>
      <c r="I10" s="6" t="s">
        <v>470</v>
      </c>
      <c r="J10" s="6" t="s">
        <v>471</v>
      </c>
    </row>
    <row r="11" customFormat="false" ht="15" hidden="false" customHeight="false" outlineLevel="0" collapsed="false">
      <c r="A11" s="6" t="s">
        <v>472</v>
      </c>
      <c r="B11" s="6" t="s">
        <v>473</v>
      </c>
      <c r="C11" s="7" t="n">
        <v>100</v>
      </c>
      <c r="D11" s="7" t="n">
        <f aca="false">D10+C11</f>
        <v>1000</v>
      </c>
      <c r="E11" s="6" t="s">
        <v>424</v>
      </c>
      <c r="F11" s="6" t="s">
        <v>431</v>
      </c>
      <c r="G11" s="6" t="s">
        <v>474</v>
      </c>
      <c r="H11" s="16"/>
      <c r="I11" s="6" t="s">
        <v>351</v>
      </c>
      <c r="J11" s="6" t="s">
        <v>475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9"/>
    <col collapsed="false" customWidth="true" hidden="false" outlineLevel="0" max="6" min="6" style="0" width="35"/>
    <col collapsed="false" customWidth="true" hidden="false" outlineLevel="0" max="7" min="7" style="0" width="27"/>
    <col collapsed="false" customWidth="true" hidden="false" outlineLevel="0" max="8" min="8" style="0" width="30"/>
  </cols>
  <sheetData>
    <row r="2" customFormat="false" ht="24" hidden="false" customHeight="true" outlineLevel="0" collapsed="false">
      <c r="A2" s="1" t="s">
        <v>476</v>
      </c>
    </row>
    <row r="3" customFormat="false" ht="18" hidden="false" customHeight="true" outlineLevel="0" collapsed="false">
      <c r="A3" s="2" t="s">
        <v>477</v>
      </c>
      <c r="B3" s="2"/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A6" s="5" t="s">
        <v>476</v>
      </c>
      <c r="B6" s="5" t="s">
        <v>478</v>
      </c>
      <c r="C6" s="5" t="s">
        <v>479</v>
      </c>
      <c r="D6" s="5" t="s">
        <v>480</v>
      </c>
      <c r="E6" s="5" t="s">
        <v>481</v>
      </c>
      <c r="F6" s="5" t="s">
        <v>482</v>
      </c>
      <c r="G6" s="5" t="s">
        <v>483</v>
      </c>
      <c r="H6" s="5" t="s">
        <v>484</v>
      </c>
    </row>
    <row r="7" customFormat="false" ht="15" hidden="false" customHeight="false" outlineLevel="0" collapsed="false">
      <c r="A7" s="6" t="s">
        <v>485</v>
      </c>
      <c r="B7" s="6" t="s">
        <v>486</v>
      </c>
      <c r="C7" s="6" t="s">
        <v>487</v>
      </c>
      <c r="D7" s="6" t="s">
        <v>488</v>
      </c>
      <c r="E7" s="6" t="s">
        <v>489</v>
      </c>
      <c r="F7" s="6" t="s">
        <v>490</v>
      </c>
      <c r="G7" s="6" t="s">
        <v>491</v>
      </c>
      <c r="H7" s="6" t="s">
        <v>492</v>
      </c>
    </row>
    <row r="8" customFormat="false" ht="15" hidden="false" customHeight="false" outlineLevel="0" collapsed="false">
      <c r="A8" s="6" t="s">
        <v>234</v>
      </c>
      <c r="B8" s="6" t="s">
        <v>493</v>
      </c>
      <c r="C8" s="6" t="s">
        <v>494</v>
      </c>
      <c r="D8" s="6" t="s">
        <v>495</v>
      </c>
      <c r="E8" s="6" t="s">
        <v>496</v>
      </c>
      <c r="F8" s="6" t="s">
        <v>497</v>
      </c>
      <c r="G8" s="6" t="s">
        <v>498</v>
      </c>
      <c r="H8" s="6" t="s">
        <v>499</v>
      </c>
    </row>
    <row r="9" customFormat="false" ht="15" hidden="false" customHeight="false" outlineLevel="0" collapsed="false">
      <c r="A9" s="6" t="s">
        <v>240</v>
      </c>
      <c r="B9" s="6" t="s">
        <v>500</v>
      </c>
      <c r="C9" s="6" t="s">
        <v>501</v>
      </c>
      <c r="D9" s="6" t="s">
        <v>502</v>
      </c>
      <c r="E9" s="6" t="s">
        <v>503</v>
      </c>
      <c r="F9" s="6" t="s">
        <v>504</v>
      </c>
      <c r="G9" s="6" t="s">
        <v>505</v>
      </c>
      <c r="H9" s="6" t="s">
        <v>506</v>
      </c>
    </row>
    <row r="10" customFormat="false" ht="15" hidden="false" customHeight="false" outlineLevel="0" collapsed="false">
      <c r="A10" s="6" t="s">
        <v>507</v>
      </c>
      <c r="B10" s="6" t="s">
        <v>508</v>
      </c>
      <c r="C10" s="6" t="s">
        <v>509</v>
      </c>
      <c r="D10" s="6" t="s">
        <v>510</v>
      </c>
      <c r="E10" s="6" t="s">
        <v>511</v>
      </c>
      <c r="F10" s="6" t="s">
        <v>512</v>
      </c>
      <c r="G10" s="6" t="s">
        <v>513</v>
      </c>
      <c r="H10" s="6" t="s">
        <v>514</v>
      </c>
    </row>
    <row r="11" customFormat="false" ht="23.85" hidden="false" customHeight="false" outlineLevel="0" collapsed="false">
      <c r="A11" s="6" t="s">
        <v>252</v>
      </c>
      <c r="B11" s="6" t="s">
        <v>515</v>
      </c>
      <c r="C11" s="6" t="s">
        <v>516</v>
      </c>
      <c r="D11" s="6" t="s">
        <v>517</v>
      </c>
      <c r="E11" s="6" t="s">
        <v>518</v>
      </c>
      <c r="F11" s="6" t="s">
        <v>519</v>
      </c>
      <c r="G11" s="6" t="s">
        <v>520</v>
      </c>
      <c r="H11" s="6" t="s">
        <v>521</v>
      </c>
    </row>
    <row r="12" customFormat="false" ht="15" hidden="false" customHeight="false" outlineLevel="0" collapsed="false">
      <c r="A12" s="6" t="s">
        <v>406</v>
      </c>
      <c r="B12" s="6" t="s">
        <v>522</v>
      </c>
      <c r="C12" s="6" t="s">
        <v>523</v>
      </c>
      <c r="D12" s="6" t="s">
        <v>310</v>
      </c>
      <c r="E12" s="6" t="s">
        <v>524</v>
      </c>
      <c r="F12" s="6" t="s">
        <v>525</v>
      </c>
      <c r="G12" s="6" t="s">
        <v>526</v>
      </c>
      <c r="H12" s="6" t="s">
        <v>527</v>
      </c>
    </row>
    <row r="13" customFormat="false" ht="15" hidden="false" customHeight="false" outlineLevel="0" collapsed="false">
      <c r="A13" s="6" t="s">
        <v>528</v>
      </c>
      <c r="B13" s="6" t="s">
        <v>529</v>
      </c>
      <c r="C13" s="6" t="s">
        <v>530</v>
      </c>
      <c r="D13" s="6" t="s">
        <v>531</v>
      </c>
      <c r="E13" s="6" t="s">
        <v>532</v>
      </c>
      <c r="F13" s="6" t="s">
        <v>533</v>
      </c>
      <c r="G13" s="6" t="s">
        <v>534</v>
      </c>
      <c r="H13" s="6" t="s">
        <v>535</v>
      </c>
    </row>
    <row r="14" customFormat="false" ht="15" hidden="false" customHeight="false" outlineLevel="0" collapsed="false">
      <c r="A14" s="6" t="s">
        <v>342</v>
      </c>
      <c r="B14" s="6" t="s">
        <v>536</v>
      </c>
      <c r="C14" s="6" t="s">
        <v>537</v>
      </c>
      <c r="D14" s="6" t="s">
        <v>538</v>
      </c>
      <c r="E14" s="6" t="s">
        <v>539</v>
      </c>
      <c r="F14" s="6" t="s">
        <v>540</v>
      </c>
      <c r="G14" s="6" t="s">
        <v>541</v>
      </c>
      <c r="H14" s="6" t="s">
        <v>542</v>
      </c>
    </row>
    <row r="15" customFormat="false" ht="23.85" hidden="false" customHeight="false" outlineLevel="0" collapsed="false">
      <c r="A15" s="6" t="s">
        <v>543</v>
      </c>
      <c r="B15" s="6" t="s">
        <v>544</v>
      </c>
      <c r="C15" s="6" t="s">
        <v>545</v>
      </c>
      <c r="D15" s="6" t="s">
        <v>546</v>
      </c>
      <c r="E15" s="6" t="s">
        <v>547</v>
      </c>
      <c r="F15" s="6" t="s">
        <v>548</v>
      </c>
      <c r="G15" s="6" t="s">
        <v>549</v>
      </c>
      <c r="H15" s="6" t="s">
        <v>550</v>
      </c>
    </row>
    <row r="16" customFormat="false" ht="15" hidden="false" customHeight="false" outlineLevel="0" collapsed="false">
      <c r="A16" s="6" t="s">
        <v>551</v>
      </c>
      <c r="B16" s="6" t="s">
        <v>552</v>
      </c>
      <c r="C16" s="6" t="s">
        <v>553</v>
      </c>
      <c r="D16" s="6" t="s">
        <v>554</v>
      </c>
      <c r="E16" s="6" t="s">
        <v>555</v>
      </c>
      <c r="F16" s="6" t="s">
        <v>556</v>
      </c>
      <c r="G16" s="6" t="s">
        <v>557</v>
      </c>
      <c r="H16" s="6" t="s">
        <v>558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48"/>
    <col collapsed="false" customWidth="true" hidden="false" outlineLevel="0" max="4" min="4" style="0" width="33"/>
    <col collapsed="false" customWidth="true" hidden="false" outlineLevel="0" max="5" min="5" style="0" width="38"/>
    <col collapsed="false" customWidth="true" hidden="false" outlineLevel="0" max="6" min="6" style="0" width="45"/>
    <col collapsed="false" customWidth="true" hidden="false" outlineLevel="0" max="7" min="7" style="0" width="34"/>
    <col collapsed="false" customWidth="true" hidden="false" outlineLevel="0" max="8" min="8" style="0" width="31"/>
  </cols>
  <sheetData>
    <row r="2" customFormat="false" ht="24" hidden="false" customHeight="true" outlineLevel="0" collapsed="false">
      <c r="A2" s="1" t="s">
        <v>559</v>
      </c>
    </row>
    <row r="3" customFormat="false" ht="18" hidden="false" customHeight="true" outlineLevel="0" collapsed="false">
      <c r="A3" s="2" t="s">
        <v>560</v>
      </c>
      <c r="B3" s="2"/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A6" s="5" t="s">
        <v>561</v>
      </c>
      <c r="B6" s="5" t="s">
        <v>562</v>
      </c>
      <c r="C6" s="5" t="s">
        <v>563</v>
      </c>
      <c r="D6" s="5" t="s">
        <v>564</v>
      </c>
      <c r="E6" s="5" t="s">
        <v>565</v>
      </c>
      <c r="F6" s="5" t="s">
        <v>566</v>
      </c>
      <c r="G6" s="5" t="s">
        <v>567</v>
      </c>
      <c r="H6" s="5" t="s">
        <v>568</v>
      </c>
    </row>
    <row r="7" customFormat="false" ht="15" hidden="false" customHeight="false" outlineLevel="0" collapsed="false">
      <c r="A7" s="6" t="s">
        <v>569</v>
      </c>
      <c r="B7" s="6" t="n">
        <v>96</v>
      </c>
      <c r="C7" s="6" t="s">
        <v>570</v>
      </c>
      <c r="D7" s="6" t="s">
        <v>571</v>
      </c>
      <c r="E7" s="6" t="s">
        <v>572</v>
      </c>
      <c r="F7" s="6" t="s">
        <v>573</v>
      </c>
      <c r="G7" s="6" t="s">
        <v>574</v>
      </c>
      <c r="H7" s="6" t="s">
        <v>575</v>
      </c>
    </row>
    <row r="8" customFormat="false" ht="15" hidden="false" customHeight="false" outlineLevel="0" collapsed="false">
      <c r="A8" s="6" t="s">
        <v>576</v>
      </c>
      <c r="B8" s="6" t="n">
        <v>24</v>
      </c>
      <c r="C8" s="6" t="s">
        <v>577</v>
      </c>
      <c r="D8" s="6" t="s">
        <v>578</v>
      </c>
      <c r="E8" s="6" t="s">
        <v>579</v>
      </c>
      <c r="F8" s="6" t="s">
        <v>580</v>
      </c>
      <c r="G8" s="6" t="s">
        <v>581</v>
      </c>
      <c r="H8" s="6" t="s">
        <v>582</v>
      </c>
    </row>
    <row r="9" customFormat="false" ht="15" hidden="false" customHeight="false" outlineLevel="0" collapsed="false">
      <c r="A9" s="6" t="s">
        <v>583</v>
      </c>
      <c r="B9" s="6" t="n">
        <v>15</v>
      </c>
      <c r="C9" s="6" t="s">
        <v>584</v>
      </c>
      <c r="D9" s="6" t="s">
        <v>585</v>
      </c>
      <c r="E9" s="6" t="s">
        <v>586</v>
      </c>
      <c r="F9" s="6" t="s">
        <v>587</v>
      </c>
      <c r="G9" s="6" t="s">
        <v>588</v>
      </c>
      <c r="H9" s="6" t="s">
        <v>589</v>
      </c>
    </row>
    <row r="10" customFormat="false" ht="15" hidden="false" customHeight="false" outlineLevel="0" collapsed="false">
      <c r="A10" s="6" t="s">
        <v>590</v>
      </c>
      <c r="B10" s="6" t="n">
        <v>12</v>
      </c>
      <c r="C10" s="6" t="s">
        <v>591</v>
      </c>
      <c r="D10" s="6" t="s">
        <v>592</v>
      </c>
      <c r="E10" s="6" t="s">
        <v>593</v>
      </c>
      <c r="F10" s="6" t="s">
        <v>594</v>
      </c>
      <c r="G10" s="6" t="s">
        <v>595</v>
      </c>
      <c r="H10" s="6" t="s">
        <v>596</v>
      </c>
    </row>
    <row r="11" customFormat="false" ht="15" hidden="false" customHeight="false" outlineLevel="0" collapsed="false">
      <c r="A11" s="6" t="s">
        <v>597</v>
      </c>
      <c r="B11" s="6" t="n">
        <v>24</v>
      </c>
      <c r="C11" s="6" t="s">
        <v>598</v>
      </c>
      <c r="D11" s="6" t="s">
        <v>599</v>
      </c>
      <c r="E11" s="6" t="s">
        <v>600</v>
      </c>
      <c r="F11" s="6" t="s">
        <v>601</v>
      </c>
      <c r="G11" s="6" t="s">
        <v>602</v>
      </c>
      <c r="H11" s="6" t="s">
        <v>603</v>
      </c>
    </row>
    <row r="12" customFormat="false" ht="23.85" hidden="false" customHeight="false" outlineLevel="0" collapsed="false">
      <c r="A12" s="6" t="s">
        <v>604</v>
      </c>
      <c r="B12" s="6" t="s">
        <v>605</v>
      </c>
      <c r="C12" s="6" t="s">
        <v>606</v>
      </c>
      <c r="D12" s="6" t="s">
        <v>607</v>
      </c>
      <c r="E12" s="6" t="s">
        <v>608</v>
      </c>
      <c r="F12" s="6" t="s">
        <v>609</v>
      </c>
      <c r="G12" s="6" t="s">
        <v>610</v>
      </c>
      <c r="H12" s="6" t="s">
        <v>611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2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10" min="3" style="0" width="22"/>
  </cols>
  <sheetData>
    <row r="2" customFormat="false" ht="24" hidden="false" customHeight="true" outlineLevel="0" collapsed="false">
      <c r="A2" s="1" t="s">
        <v>612</v>
      </c>
    </row>
    <row r="3" customFormat="false" ht="18" hidden="false" customHeight="true" outlineLevel="0" collapsed="false">
      <c r="A3" s="2" t="s">
        <v>613</v>
      </c>
      <c r="B3" s="2"/>
      <c r="C3" s="2"/>
      <c r="D3" s="2"/>
      <c r="E3" s="2"/>
      <c r="F3" s="2"/>
      <c r="G3" s="2"/>
      <c r="H3" s="2"/>
      <c r="I3" s="2"/>
      <c r="J3" s="2"/>
    </row>
    <row r="6" customFormat="false" ht="23.85" hidden="false" customHeight="false" outlineLevel="0" collapsed="false">
      <c r="A6" s="5" t="s">
        <v>614</v>
      </c>
      <c r="B6" s="5" t="s">
        <v>615</v>
      </c>
      <c r="C6" s="5" t="s">
        <v>231</v>
      </c>
      <c r="D6" s="5" t="s">
        <v>237</v>
      </c>
      <c r="E6" s="5" t="s">
        <v>243</v>
      </c>
      <c r="F6" s="5" t="s">
        <v>249</v>
      </c>
      <c r="G6" s="5" t="s">
        <v>38</v>
      </c>
      <c r="H6" s="5" t="s">
        <v>616</v>
      </c>
      <c r="I6" s="5" t="s">
        <v>617</v>
      </c>
      <c r="J6" s="5" t="s">
        <v>618</v>
      </c>
    </row>
    <row r="7" customFormat="false" ht="15" hidden="false" customHeight="false" outlineLevel="0" collapsed="false">
      <c r="A7" s="6" t="n">
        <v>1</v>
      </c>
      <c r="B7" s="6" t="n">
        <v>1</v>
      </c>
      <c r="C7" s="7" t="n">
        <v>22</v>
      </c>
      <c r="D7" s="7" t="n">
        <v>6</v>
      </c>
      <c r="E7" s="7" t="n">
        <v>6</v>
      </c>
      <c r="F7" s="7" t="n">
        <v>4</v>
      </c>
      <c r="G7" s="7" t="n">
        <v>2</v>
      </c>
      <c r="H7" s="7" t="n">
        <f aca="false">SUM(C7:G7)</f>
        <v>40</v>
      </c>
      <c r="I7" s="7" t="n">
        <f aca="false">H7</f>
        <v>40</v>
      </c>
      <c r="J7" s="6" t="s">
        <v>619</v>
      </c>
    </row>
    <row r="8" customFormat="false" ht="15" hidden="false" customHeight="false" outlineLevel="0" collapsed="false">
      <c r="A8" s="6" t="n">
        <v>2</v>
      </c>
      <c r="B8" s="6" t="n">
        <v>1</v>
      </c>
      <c r="C8" s="7" t="n">
        <v>22</v>
      </c>
      <c r="D8" s="7" t="n">
        <v>6</v>
      </c>
      <c r="E8" s="7" t="n">
        <v>6</v>
      </c>
      <c r="F8" s="7" t="n">
        <v>4</v>
      </c>
      <c r="G8" s="7" t="n">
        <v>2</v>
      </c>
      <c r="H8" s="7" t="n">
        <f aca="false">SUM(C8:G8)</f>
        <v>40</v>
      </c>
      <c r="I8" s="7" t="n">
        <f aca="false">I7+H8</f>
        <v>80</v>
      </c>
      <c r="J8" s="6" t="s">
        <v>619</v>
      </c>
    </row>
    <row r="9" customFormat="false" ht="15" hidden="false" customHeight="false" outlineLevel="0" collapsed="false">
      <c r="A9" s="6" t="n">
        <v>3</v>
      </c>
      <c r="B9" s="6" t="n">
        <v>1</v>
      </c>
      <c r="C9" s="7" t="n">
        <v>22</v>
      </c>
      <c r="D9" s="7" t="n">
        <v>6</v>
      </c>
      <c r="E9" s="7" t="n">
        <v>6</v>
      </c>
      <c r="F9" s="7" t="n">
        <v>4</v>
      </c>
      <c r="G9" s="7" t="n">
        <v>2</v>
      </c>
      <c r="H9" s="7" t="n">
        <f aca="false">SUM(C9:G9)</f>
        <v>40</v>
      </c>
      <c r="I9" s="7" t="n">
        <f aca="false">I8+H9</f>
        <v>120</v>
      </c>
      <c r="J9" s="6" t="s">
        <v>619</v>
      </c>
    </row>
    <row r="10" customFormat="false" ht="15" hidden="false" customHeight="false" outlineLevel="0" collapsed="false">
      <c r="A10" s="6" t="n">
        <v>4</v>
      </c>
      <c r="B10" s="6" t="n">
        <v>1</v>
      </c>
      <c r="C10" s="7" t="n">
        <v>22</v>
      </c>
      <c r="D10" s="7" t="n">
        <v>6</v>
      </c>
      <c r="E10" s="7" t="n">
        <v>6</v>
      </c>
      <c r="F10" s="7" t="n">
        <v>4</v>
      </c>
      <c r="G10" s="7" t="n">
        <v>2</v>
      </c>
      <c r="H10" s="7" t="n">
        <f aca="false">SUM(C10:G10)</f>
        <v>40</v>
      </c>
      <c r="I10" s="7" t="n">
        <f aca="false">I9+H10</f>
        <v>160</v>
      </c>
      <c r="J10" s="6" t="s">
        <v>619</v>
      </c>
    </row>
    <row r="11" customFormat="false" ht="15" hidden="false" customHeight="false" outlineLevel="0" collapsed="false">
      <c r="A11" s="6" t="n">
        <v>5</v>
      </c>
      <c r="B11" s="6" t="n">
        <v>1</v>
      </c>
      <c r="C11" s="7" t="n">
        <v>22</v>
      </c>
      <c r="D11" s="7" t="n">
        <v>6</v>
      </c>
      <c r="E11" s="7" t="n">
        <v>6</v>
      </c>
      <c r="F11" s="7" t="n">
        <v>4</v>
      </c>
      <c r="G11" s="7" t="n">
        <v>2</v>
      </c>
      <c r="H11" s="7" t="n">
        <f aca="false">SUM(C11:G11)</f>
        <v>40</v>
      </c>
      <c r="I11" s="7" t="n">
        <f aca="false">I10+H11</f>
        <v>200</v>
      </c>
      <c r="J11" s="6" t="s">
        <v>619</v>
      </c>
    </row>
    <row r="12" customFormat="false" ht="15" hidden="false" customHeight="false" outlineLevel="0" collapsed="false">
      <c r="A12" s="6" t="n">
        <v>6</v>
      </c>
      <c r="B12" s="6" t="n">
        <v>2</v>
      </c>
      <c r="C12" s="7" t="n">
        <v>33</v>
      </c>
      <c r="D12" s="7" t="n">
        <v>9</v>
      </c>
      <c r="E12" s="7" t="n">
        <v>9</v>
      </c>
      <c r="F12" s="7" t="n">
        <v>6</v>
      </c>
      <c r="G12" s="7" t="n">
        <v>3</v>
      </c>
      <c r="H12" s="7" t="n">
        <f aca="false">SUM(C12:G12)</f>
        <v>60</v>
      </c>
      <c r="I12" s="7" t="n">
        <f aca="false">I11+H12</f>
        <v>260</v>
      </c>
      <c r="J12" s="6" t="s">
        <v>619</v>
      </c>
    </row>
    <row r="13" customFormat="false" ht="15" hidden="false" customHeight="false" outlineLevel="0" collapsed="false">
      <c r="A13" s="6" t="n">
        <v>7</v>
      </c>
      <c r="B13" s="6" t="n">
        <v>2</v>
      </c>
      <c r="C13" s="7" t="n">
        <v>33</v>
      </c>
      <c r="D13" s="7" t="n">
        <v>9</v>
      </c>
      <c r="E13" s="7" t="n">
        <v>9</v>
      </c>
      <c r="F13" s="7" t="n">
        <v>6</v>
      </c>
      <c r="G13" s="7" t="n">
        <v>3</v>
      </c>
      <c r="H13" s="7" t="n">
        <f aca="false">SUM(C13:G13)</f>
        <v>60</v>
      </c>
      <c r="I13" s="7" t="n">
        <f aca="false">I12+H13</f>
        <v>320</v>
      </c>
      <c r="J13" s="6" t="s">
        <v>619</v>
      </c>
    </row>
    <row r="14" customFormat="false" ht="15" hidden="false" customHeight="false" outlineLevel="0" collapsed="false">
      <c r="A14" s="6" t="n">
        <v>8</v>
      </c>
      <c r="B14" s="6" t="n">
        <v>2</v>
      </c>
      <c r="C14" s="7" t="n">
        <v>33</v>
      </c>
      <c r="D14" s="7" t="n">
        <v>9</v>
      </c>
      <c r="E14" s="7" t="n">
        <v>9</v>
      </c>
      <c r="F14" s="7" t="n">
        <v>6</v>
      </c>
      <c r="G14" s="7" t="n">
        <v>3</v>
      </c>
      <c r="H14" s="7" t="n">
        <f aca="false">SUM(C14:G14)</f>
        <v>60</v>
      </c>
      <c r="I14" s="7" t="n">
        <f aca="false">I13+H14</f>
        <v>380</v>
      </c>
      <c r="J14" s="6" t="s">
        <v>619</v>
      </c>
    </row>
    <row r="15" customFormat="false" ht="15" hidden="false" customHeight="false" outlineLevel="0" collapsed="false">
      <c r="A15" s="6" t="n">
        <v>9</v>
      </c>
      <c r="B15" s="6" t="n">
        <v>2</v>
      </c>
      <c r="C15" s="7" t="n">
        <v>33</v>
      </c>
      <c r="D15" s="7" t="n">
        <v>9</v>
      </c>
      <c r="E15" s="7" t="n">
        <v>9</v>
      </c>
      <c r="F15" s="7" t="n">
        <v>6</v>
      </c>
      <c r="G15" s="7" t="n">
        <v>3</v>
      </c>
      <c r="H15" s="7" t="n">
        <f aca="false">SUM(C15:G15)</f>
        <v>60</v>
      </c>
      <c r="I15" s="7" t="n">
        <f aca="false">I14+H15</f>
        <v>440</v>
      </c>
      <c r="J15" s="6" t="s">
        <v>619</v>
      </c>
    </row>
    <row r="16" customFormat="false" ht="15" hidden="false" customHeight="false" outlineLevel="0" collapsed="false">
      <c r="A16" s="6" t="n">
        <v>10</v>
      </c>
      <c r="B16" s="6" t="n">
        <v>2</v>
      </c>
      <c r="C16" s="7" t="n">
        <v>33</v>
      </c>
      <c r="D16" s="7" t="n">
        <v>9</v>
      </c>
      <c r="E16" s="7" t="n">
        <v>9</v>
      </c>
      <c r="F16" s="7" t="n">
        <v>6</v>
      </c>
      <c r="G16" s="7" t="n">
        <v>3</v>
      </c>
      <c r="H16" s="7" t="n">
        <f aca="false">SUM(C16:G16)</f>
        <v>60</v>
      </c>
      <c r="I16" s="7" t="n">
        <f aca="false">I15+H16</f>
        <v>500</v>
      </c>
      <c r="J16" s="6" t="s">
        <v>619</v>
      </c>
    </row>
    <row r="17" customFormat="false" ht="15" hidden="false" customHeight="false" outlineLevel="0" collapsed="false">
      <c r="A17" s="6" t="n">
        <v>11</v>
      </c>
      <c r="B17" s="6" t="n">
        <v>3</v>
      </c>
      <c r="C17" s="7" t="n">
        <v>27.5</v>
      </c>
      <c r="D17" s="7" t="n">
        <v>7.5</v>
      </c>
      <c r="E17" s="7" t="n">
        <v>7.5</v>
      </c>
      <c r="F17" s="7" t="n">
        <v>5</v>
      </c>
      <c r="G17" s="7" t="n">
        <v>2.5</v>
      </c>
      <c r="H17" s="7" t="n">
        <f aca="false">SUM(C17:G17)</f>
        <v>50</v>
      </c>
      <c r="I17" s="7" t="n">
        <f aca="false">I16+H17</f>
        <v>550</v>
      </c>
      <c r="J17" s="6" t="s">
        <v>619</v>
      </c>
    </row>
    <row r="18" customFormat="false" ht="15" hidden="false" customHeight="false" outlineLevel="0" collapsed="false">
      <c r="A18" s="6" t="n">
        <v>12</v>
      </c>
      <c r="B18" s="6" t="n">
        <v>3</v>
      </c>
      <c r="C18" s="7" t="n">
        <v>27.5</v>
      </c>
      <c r="D18" s="7" t="n">
        <v>7.5</v>
      </c>
      <c r="E18" s="7" t="n">
        <v>7.5</v>
      </c>
      <c r="F18" s="7" t="n">
        <v>5</v>
      </c>
      <c r="G18" s="7" t="n">
        <v>2.5</v>
      </c>
      <c r="H18" s="7" t="n">
        <f aca="false">SUM(C18:G18)</f>
        <v>50</v>
      </c>
      <c r="I18" s="7" t="n">
        <f aca="false">I17+H18</f>
        <v>600</v>
      </c>
      <c r="J18" s="6" t="s">
        <v>619</v>
      </c>
    </row>
    <row r="19" customFormat="false" ht="15" hidden="false" customHeight="false" outlineLevel="0" collapsed="false">
      <c r="A19" s="6" t="n">
        <v>13</v>
      </c>
      <c r="B19" s="6" t="n">
        <v>3</v>
      </c>
      <c r="C19" s="7" t="n">
        <v>27.5</v>
      </c>
      <c r="D19" s="7" t="n">
        <v>7.5</v>
      </c>
      <c r="E19" s="7" t="n">
        <v>7.5</v>
      </c>
      <c r="F19" s="7" t="n">
        <v>5</v>
      </c>
      <c r="G19" s="7" t="n">
        <v>2.5</v>
      </c>
      <c r="H19" s="7" t="n">
        <f aca="false">SUM(C19:G19)</f>
        <v>50</v>
      </c>
      <c r="I19" s="7" t="n">
        <f aca="false">I18+H19</f>
        <v>650</v>
      </c>
      <c r="J19" s="6" t="s">
        <v>619</v>
      </c>
    </row>
    <row r="20" customFormat="false" ht="15" hidden="false" customHeight="false" outlineLevel="0" collapsed="false">
      <c r="A20" s="6" t="n">
        <v>14</v>
      </c>
      <c r="B20" s="6" t="n">
        <v>3</v>
      </c>
      <c r="C20" s="7" t="n">
        <v>27.5</v>
      </c>
      <c r="D20" s="7" t="n">
        <v>7.5</v>
      </c>
      <c r="E20" s="7" t="n">
        <v>7.5</v>
      </c>
      <c r="F20" s="7" t="n">
        <v>5</v>
      </c>
      <c r="G20" s="7" t="n">
        <v>2.5</v>
      </c>
      <c r="H20" s="7" t="n">
        <f aca="false">SUM(C20:G20)</f>
        <v>50</v>
      </c>
      <c r="I20" s="7" t="n">
        <f aca="false">I19+H20</f>
        <v>700</v>
      </c>
      <c r="J20" s="6" t="s">
        <v>619</v>
      </c>
    </row>
    <row r="21" customFormat="false" ht="15" hidden="false" customHeight="false" outlineLevel="0" collapsed="false">
      <c r="A21" s="6" t="n">
        <v>15</v>
      </c>
      <c r="B21" s="6" t="n">
        <v>3</v>
      </c>
      <c r="C21" s="7" t="n">
        <v>27.5</v>
      </c>
      <c r="D21" s="7" t="n">
        <v>7.5</v>
      </c>
      <c r="E21" s="7" t="n">
        <v>7.5</v>
      </c>
      <c r="F21" s="7" t="n">
        <v>5</v>
      </c>
      <c r="G21" s="7" t="n">
        <v>2.5</v>
      </c>
      <c r="H21" s="7" t="n">
        <f aca="false">SUM(C21:G21)</f>
        <v>50</v>
      </c>
      <c r="I21" s="7" t="n">
        <f aca="false">I20+H21</f>
        <v>750</v>
      </c>
      <c r="J21" s="6" t="s">
        <v>619</v>
      </c>
    </row>
    <row r="22" customFormat="false" ht="15" hidden="false" customHeight="false" outlineLevel="0" collapsed="false">
      <c r="A22" s="6" t="n">
        <v>16</v>
      </c>
      <c r="B22" s="6" t="n">
        <v>4</v>
      </c>
      <c r="C22" s="7" t="n">
        <v>16.5</v>
      </c>
      <c r="D22" s="7" t="n">
        <v>4.5</v>
      </c>
      <c r="E22" s="7" t="n">
        <v>4.5</v>
      </c>
      <c r="F22" s="7" t="n">
        <v>3</v>
      </c>
      <c r="G22" s="7" t="n">
        <v>1.5</v>
      </c>
      <c r="H22" s="7" t="n">
        <f aca="false">SUM(C22:G22)</f>
        <v>30</v>
      </c>
      <c r="I22" s="7" t="n">
        <f aca="false">I21+H22</f>
        <v>780</v>
      </c>
      <c r="J22" s="6" t="s">
        <v>620</v>
      </c>
    </row>
    <row r="23" customFormat="false" ht="15" hidden="false" customHeight="false" outlineLevel="0" collapsed="false">
      <c r="A23" s="6" t="n">
        <v>17</v>
      </c>
      <c r="B23" s="6" t="n">
        <v>4</v>
      </c>
      <c r="C23" s="7" t="n">
        <v>16.5</v>
      </c>
      <c r="D23" s="7" t="n">
        <v>4.5</v>
      </c>
      <c r="E23" s="7" t="n">
        <v>4.5</v>
      </c>
      <c r="F23" s="7" t="n">
        <v>3</v>
      </c>
      <c r="G23" s="7" t="n">
        <v>1.5</v>
      </c>
      <c r="H23" s="7" t="n">
        <f aca="false">SUM(C23:G23)</f>
        <v>30</v>
      </c>
      <c r="I23" s="7" t="n">
        <f aca="false">I22+H23</f>
        <v>810</v>
      </c>
      <c r="J23" s="6" t="s">
        <v>620</v>
      </c>
    </row>
    <row r="24" customFormat="false" ht="15" hidden="false" customHeight="false" outlineLevel="0" collapsed="false">
      <c r="A24" s="6" t="n">
        <v>18</v>
      </c>
      <c r="B24" s="6" t="n">
        <v>4</v>
      </c>
      <c r="C24" s="7" t="n">
        <v>16.5</v>
      </c>
      <c r="D24" s="7" t="n">
        <v>4.5</v>
      </c>
      <c r="E24" s="7" t="n">
        <v>4.5</v>
      </c>
      <c r="F24" s="7" t="n">
        <v>3</v>
      </c>
      <c r="G24" s="7" t="n">
        <v>1.5</v>
      </c>
      <c r="H24" s="7" t="n">
        <f aca="false">SUM(C24:G24)</f>
        <v>30</v>
      </c>
      <c r="I24" s="7" t="n">
        <f aca="false">I23+H24</f>
        <v>840</v>
      </c>
      <c r="J24" s="6" t="s">
        <v>620</v>
      </c>
    </row>
    <row r="25" customFormat="false" ht="15" hidden="false" customHeight="false" outlineLevel="0" collapsed="false">
      <c r="A25" s="6" t="n">
        <v>19</v>
      </c>
      <c r="B25" s="6" t="n">
        <v>4</v>
      </c>
      <c r="C25" s="7" t="n">
        <v>16.5</v>
      </c>
      <c r="D25" s="7" t="n">
        <v>4.5</v>
      </c>
      <c r="E25" s="7" t="n">
        <v>4.5</v>
      </c>
      <c r="F25" s="7" t="n">
        <v>3</v>
      </c>
      <c r="G25" s="7" t="n">
        <v>1.5</v>
      </c>
      <c r="H25" s="7" t="n">
        <f aca="false">SUM(C25:G25)</f>
        <v>30</v>
      </c>
      <c r="I25" s="7" t="n">
        <f aca="false">I24+H25</f>
        <v>870</v>
      </c>
      <c r="J25" s="6" t="s">
        <v>620</v>
      </c>
    </row>
    <row r="26" customFormat="false" ht="15" hidden="false" customHeight="false" outlineLevel="0" collapsed="false">
      <c r="A26" s="6" t="n">
        <v>20</v>
      </c>
      <c r="B26" s="6" t="n">
        <v>4</v>
      </c>
      <c r="C26" s="7" t="n">
        <v>16.5</v>
      </c>
      <c r="D26" s="7" t="n">
        <v>4.5</v>
      </c>
      <c r="E26" s="7" t="n">
        <v>4.5</v>
      </c>
      <c r="F26" s="7" t="n">
        <v>3</v>
      </c>
      <c r="G26" s="7" t="n">
        <v>1.5</v>
      </c>
      <c r="H26" s="7" t="n">
        <f aca="false">SUM(C26:G26)</f>
        <v>30</v>
      </c>
      <c r="I26" s="7" t="n">
        <f aca="false">I25+H26</f>
        <v>900</v>
      </c>
      <c r="J26" s="6" t="s">
        <v>620</v>
      </c>
    </row>
    <row r="27" customFormat="false" ht="15" hidden="false" customHeight="false" outlineLevel="0" collapsed="false">
      <c r="A27" s="6" t="n">
        <v>21</v>
      </c>
      <c r="B27" s="6" t="n">
        <v>5</v>
      </c>
      <c r="C27" s="7" t="n">
        <v>11</v>
      </c>
      <c r="D27" s="7" t="n">
        <v>3</v>
      </c>
      <c r="E27" s="7" t="n">
        <v>3</v>
      </c>
      <c r="F27" s="7" t="n">
        <v>2</v>
      </c>
      <c r="G27" s="7" t="n">
        <v>1</v>
      </c>
      <c r="H27" s="7" t="n">
        <f aca="false">SUM(C27:G27)</f>
        <v>20</v>
      </c>
      <c r="I27" s="7" t="n">
        <f aca="false">I26+H27</f>
        <v>920</v>
      </c>
      <c r="J27" s="6" t="s">
        <v>620</v>
      </c>
    </row>
    <row r="28" customFormat="false" ht="15" hidden="false" customHeight="false" outlineLevel="0" collapsed="false">
      <c r="A28" s="6" t="n">
        <v>22</v>
      </c>
      <c r="B28" s="6" t="n">
        <v>5</v>
      </c>
      <c r="C28" s="7" t="n">
        <v>11</v>
      </c>
      <c r="D28" s="7" t="n">
        <v>3</v>
      </c>
      <c r="E28" s="7" t="n">
        <v>3</v>
      </c>
      <c r="F28" s="7" t="n">
        <v>2</v>
      </c>
      <c r="G28" s="7" t="n">
        <v>1</v>
      </c>
      <c r="H28" s="7" t="n">
        <f aca="false">SUM(C28:G28)</f>
        <v>20</v>
      </c>
      <c r="I28" s="7" t="n">
        <f aca="false">I27+H28</f>
        <v>940</v>
      </c>
      <c r="J28" s="6" t="s">
        <v>620</v>
      </c>
    </row>
    <row r="29" customFormat="false" ht="15" hidden="false" customHeight="false" outlineLevel="0" collapsed="false">
      <c r="A29" s="6" t="n">
        <v>23</v>
      </c>
      <c r="B29" s="6" t="n">
        <v>5</v>
      </c>
      <c r="C29" s="7" t="n">
        <v>11</v>
      </c>
      <c r="D29" s="7" t="n">
        <v>3</v>
      </c>
      <c r="E29" s="7" t="n">
        <v>3</v>
      </c>
      <c r="F29" s="7" t="n">
        <v>2</v>
      </c>
      <c r="G29" s="7" t="n">
        <v>1</v>
      </c>
      <c r="H29" s="7" t="n">
        <f aca="false">SUM(C29:G29)</f>
        <v>20</v>
      </c>
      <c r="I29" s="7" t="n">
        <f aca="false">I28+H29</f>
        <v>960</v>
      </c>
      <c r="J29" s="6" t="s">
        <v>620</v>
      </c>
    </row>
    <row r="30" customFormat="false" ht="15" hidden="false" customHeight="false" outlineLevel="0" collapsed="false">
      <c r="A30" s="6" t="n">
        <v>24</v>
      </c>
      <c r="B30" s="6" t="n">
        <v>5</v>
      </c>
      <c r="C30" s="7" t="n">
        <v>11</v>
      </c>
      <c r="D30" s="7" t="n">
        <v>3</v>
      </c>
      <c r="E30" s="7" t="n">
        <v>3</v>
      </c>
      <c r="F30" s="7" t="n">
        <v>2</v>
      </c>
      <c r="G30" s="7" t="n">
        <v>1</v>
      </c>
      <c r="H30" s="7" t="n">
        <f aca="false">SUM(C30:G30)</f>
        <v>20</v>
      </c>
      <c r="I30" s="7" t="n">
        <f aca="false">I29+H30</f>
        <v>980</v>
      </c>
      <c r="J30" s="6" t="s">
        <v>620</v>
      </c>
    </row>
    <row r="31" customFormat="false" ht="15" hidden="false" customHeight="false" outlineLevel="0" collapsed="false">
      <c r="A31" s="6" t="n">
        <v>25</v>
      </c>
      <c r="B31" s="6" t="n">
        <v>5</v>
      </c>
      <c r="C31" s="7" t="n">
        <v>11</v>
      </c>
      <c r="D31" s="7" t="n">
        <v>3</v>
      </c>
      <c r="E31" s="7" t="n">
        <v>3</v>
      </c>
      <c r="F31" s="7" t="n">
        <v>2</v>
      </c>
      <c r="G31" s="7" t="n">
        <v>1</v>
      </c>
      <c r="H31" s="7" t="n">
        <f aca="false">SUM(C31:G31)</f>
        <v>20</v>
      </c>
      <c r="I31" s="7" t="n">
        <f aca="false">I30+H31</f>
        <v>1000</v>
      </c>
      <c r="J31" s="6" t="s">
        <v>620</v>
      </c>
    </row>
    <row r="32" customFormat="false" ht="15" hidden="false" customHeight="false" outlineLevel="0" collapsed="false">
      <c r="A32" s="13" t="s">
        <v>89</v>
      </c>
      <c r="B32" s="13"/>
      <c r="C32" s="14" t="n">
        <f aca="false">SUM(C7:C31)</f>
        <v>550</v>
      </c>
      <c r="D32" s="14" t="n">
        <f aca="false">SUM(D7:D31)</f>
        <v>150</v>
      </c>
      <c r="E32" s="14" t="n">
        <f aca="false">SUM(E7:E31)</f>
        <v>150</v>
      </c>
      <c r="F32" s="14" t="n">
        <f aca="false">SUM(F7:F31)</f>
        <v>100</v>
      </c>
      <c r="G32" s="14" t="n">
        <f aca="false">SUM(G7:G31)</f>
        <v>50</v>
      </c>
      <c r="H32" s="14" t="n">
        <f aca="false">SUM(H7:H31)</f>
        <v>1000</v>
      </c>
      <c r="I32" s="14" t="n">
        <f aca="false">I31</f>
        <v>1000</v>
      </c>
      <c r="J32" s="13" t="s">
        <v>621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34"/>
  </cols>
  <sheetData>
    <row r="2" customFormat="false" ht="24" hidden="false" customHeight="true" outlineLevel="0" collapsed="false">
      <c r="A2" s="1" t="s">
        <v>622</v>
      </c>
    </row>
    <row r="3" customFormat="false" ht="18" hidden="false" customHeight="true" outlineLevel="0" collapsed="false">
      <c r="A3" s="2" t="s">
        <v>623</v>
      </c>
      <c r="B3" s="2"/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A6" s="5" t="s">
        <v>624</v>
      </c>
      <c r="B6" s="5" t="s">
        <v>625</v>
      </c>
      <c r="C6" s="5" t="s">
        <v>626</v>
      </c>
      <c r="D6" s="5" t="s">
        <v>627</v>
      </c>
      <c r="E6" s="5" t="s">
        <v>628</v>
      </c>
      <c r="F6" s="5" t="s">
        <v>629</v>
      </c>
      <c r="G6" s="5" t="s">
        <v>42</v>
      </c>
      <c r="H6" s="5" t="s">
        <v>630</v>
      </c>
    </row>
    <row r="7" customFormat="false" ht="15" hidden="false" customHeight="false" outlineLevel="0" collapsed="false">
      <c r="A7" s="6" t="n">
        <v>1</v>
      </c>
      <c r="B7" s="6" t="s">
        <v>631</v>
      </c>
      <c r="C7" s="6" t="s">
        <v>632</v>
      </c>
      <c r="D7" s="6" t="s">
        <v>410</v>
      </c>
      <c r="E7" s="6" t="n">
        <v>150</v>
      </c>
      <c r="F7" s="6" t="s">
        <v>633</v>
      </c>
      <c r="G7" s="6" t="s">
        <v>634</v>
      </c>
      <c r="H7" s="6" t="s">
        <v>635</v>
      </c>
    </row>
    <row r="8" customFormat="false" ht="15" hidden="false" customHeight="false" outlineLevel="0" collapsed="false">
      <c r="A8" s="6" t="n">
        <v>2</v>
      </c>
      <c r="B8" s="6" t="s">
        <v>636</v>
      </c>
      <c r="C8" s="6" t="s">
        <v>637</v>
      </c>
      <c r="D8" s="6" t="s">
        <v>410</v>
      </c>
      <c r="E8" s="6" t="n">
        <v>250</v>
      </c>
      <c r="F8" s="6" t="s">
        <v>638</v>
      </c>
      <c r="G8" s="6" t="s">
        <v>634</v>
      </c>
      <c r="H8" s="6" t="s">
        <v>639</v>
      </c>
    </row>
    <row r="9" customFormat="false" ht="15" hidden="false" customHeight="false" outlineLevel="0" collapsed="false">
      <c r="A9" s="6" t="n">
        <v>3</v>
      </c>
      <c r="B9" s="6" t="s">
        <v>640</v>
      </c>
      <c r="C9" s="6" t="s">
        <v>641</v>
      </c>
      <c r="D9" s="6" t="s">
        <v>396</v>
      </c>
      <c r="E9" s="6"/>
      <c r="F9" s="6" t="s">
        <v>642</v>
      </c>
      <c r="G9" s="6" t="s">
        <v>634</v>
      </c>
      <c r="H9" s="6" t="s">
        <v>643</v>
      </c>
    </row>
    <row r="10" customFormat="false" ht="15" hidden="false" customHeight="false" outlineLevel="0" collapsed="false">
      <c r="A10" s="6" t="n">
        <v>4</v>
      </c>
      <c r="B10" s="6" t="s">
        <v>644</v>
      </c>
      <c r="C10" s="6" t="s">
        <v>645</v>
      </c>
      <c r="D10" s="6" t="s">
        <v>390</v>
      </c>
      <c r="E10" s="6"/>
      <c r="F10" s="6" t="s">
        <v>646</v>
      </c>
      <c r="G10" s="6" t="s">
        <v>634</v>
      </c>
      <c r="H10" s="6" t="s">
        <v>647</v>
      </c>
    </row>
    <row r="11" customFormat="false" ht="15" hidden="false" customHeight="false" outlineLevel="0" collapsed="false">
      <c r="A11" s="6" t="n">
        <v>5</v>
      </c>
      <c r="B11" s="6" t="s">
        <v>648</v>
      </c>
      <c r="C11" s="6" t="s">
        <v>649</v>
      </c>
      <c r="D11" s="6" t="s">
        <v>396</v>
      </c>
      <c r="E11" s="6"/>
      <c r="F11" s="6" t="s">
        <v>650</v>
      </c>
      <c r="G11" s="6" t="s">
        <v>634</v>
      </c>
      <c r="H11" s="6" t="s">
        <v>651</v>
      </c>
    </row>
    <row r="12" customFormat="false" ht="15" hidden="false" customHeight="false" outlineLevel="0" collapsed="false">
      <c r="A12" s="6" t="n">
        <v>6</v>
      </c>
      <c r="B12" s="6" t="s">
        <v>652</v>
      </c>
      <c r="C12" s="6" t="s">
        <v>653</v>
      </c>
      <c r="D12" s="6" t="s">
        <v>390</v>
      </c>
      <c r="E12" s="6"/>
      <c r="F12" s="6" t="s">
        <v>654</v>
      </c>
      <c r="G12" s="6" t="s">
        <v>634</v>
      </c>
      <c r="H12" s="6" t="s">
        <v>655</v>
      </c>
    </row>
    <row r="13" customFormat="false" ht="15" hidden="false" customHeight="false" outlineLevel="0" collapsed="false">
      <c r="A13" s="6" t="n">
        <v>7</v>
      </c>
      <c r="B13" s="6" t="s">
        <v>656</v>
      </c>
      <c r="C13" s="6" t="s">
        <v>657</v>
      </c>
      <c r="D13" s="6" t="s">
        <v>396</v>
      </c>
      <c r="E13" s="6"/>
      <c r="F13" s="6" t="s">
        <v>658</v>
      </c>
      <c r="G13" s="6" t="s">
        <v>634</v>
      </c>
      <c r="H13" s="6" t="s">
        <v>659</v>
      </c>
    </row>
    <row r="14" customFormat="false" ht="15" hidden="false" customHeight="false" outlineLevel="0" collapsed="false">
      <c r="A14" s="6" t="n">
        <v>8</v>
      </c>
      <c r="B14" s="6" t="s">
        <v>660</v>
      </c>
      <c r="C14" s="6" t="s">
        <v>661</v>
      </c>
      <c r="D14" s="6" t="s">
        <v>424</v>
      </c>
      <c r="E14" s="6"/>
      <c r="F14" s="6" t="s">
        <v>662</v>
      </c>
      <c r="G14" s="6" t="s">
        <v>634</v>
      </c>
      <c r="H14" s="6" t="s">
        <v>663</v>
      </c>
    </row>
    <row r="15" customFormat="false" ht="15" hidden="false" customHeight="false" outlineLevel="0" collapsed="false">
      <c r="A15" s="6" t="n">
        <v>9</v>
      </c>
      <c r="B15" s="6" t="s">
        <v>664</v>
      </c>
      <c r="C15" s="6" t="s">
        <v>665</v>
      </c>
      <c r="D15" s="6" t="s">
        <v>417</v>
      </c>
      <c r="E15" s="6" t="n">
        <v>150</v>
      </c>
      <c r="F15" s="6" t="s">
        <v>666</v>
      </c>
      <c r="G15" s="6" t="s">
        <v>634</v>
      </c>
      <c r="H15" s="6" t="s">
        <v>667</v>
      </c>
    </row>
    <row r="16" customFormat="false" ht="15" hidden="false" customHeight="false" outlineLevel="0" collapsed="false">
      <c r="A16" s="6" t="n">
        <v>10</v>
      </c>
      <c r="B16" s="6" t="s">
        <v>668</v>
      </c>
      <c r="C16" s="6" t="s">
        <v>669</v>
      </c>
      <c r="D16" s="6" t="s">
        <v>424</v>
      </c>
      <c r="E16" s="6"/>
      <c r="F16" s="6" t="s">
        <v>670</v>
      </c>
      <c r="G16" s="6" t="s">
        <v>634</v>
      </c>
      <c r="H16" s="6" t="s">
        <v>671</v>
      </c>
    </row>
    <row r="17" customFormat="false" ht="15" hidden="false" customHeight="false" outlineLevel="0" collapsed="false">
      <c r="A17" s="6" t="n">
        <v>11</v>
      </c>
      <c r="B17" s="6" t="s">
        <v>672</v>
      </c>
      <c r="C17" s="6" t="s">
        <v>673</v>
      </c>
      <c r="D17" s="6" t="s">
        <v>410</v>
      </c>
      <c r="E17" s="6" t="n">
        <v>250</v>
      </c>
      <c r="F17" s="6" t="s">
        <v>674</v>
      </c>
      <c r="G17" s="6" t="s">
        <v>634</v>
      </c>
      <c r="H17" s="6" t="s">
        <v>675</v>
      </c>
    </row>
    <row r="18" customFormat="false" ht="15" hidden="false" customHeight="false" outlineLevel="0" collapsed="false">
      <c r="A18" s="6" t="n">
        <v>12</v>
      </c>
      <c r="B18" s="6" t="s">
        <v>676</v>
      </c>
      <c r="C18" s="6" t="s">
        <v>677</v>
      </c>
      <c r="D18" s="6" t="s">
        <v>678</v>
      </c>
      <c r="E18" s="6"/>
      <c r="F18" s="6" t="s">
        <v>679</v>
      </c>
      <c r="G18" s="6" t="s">
        <v>634</v>
      </c>
      <c r="H18" s="6" t="s">
        <v>680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39"/>
    <col collapsed="false" customWidth="true" hidden="false" outlineLevel="0" max="7" min="7" style="0" width="13"/>
    <col collapsed="false" customWidth="true" hidden="false" outlineLevel="0" max="8" min="8" style="0" width="20"/>
  </cols>
  <sheetData>
    <row r="2" customFormat="false" ht="24" hidden="false" customHeight="true" outlineLevel="0" collapsed="false">
      <c r="A2" s="1" t="s">
        <v>681</v>
      </c>
    </row>
    <row r="3" customFormat="false" ht="18" hidden="false" customHeight="true" outlineLevel="0" collapsed="false">
      <c r="A3" s="2" t="s">
        <v>682</v>
      </c>
      <c r="B3" s="2"/>
      <c r="C3" s="2"/>
      <c r="D3" s="2"/>
      <c r="E3" s="2"/>
      <c r="F3" s="2"/>
      <c r="G3" s="2"/>
      <c r="H3" s="2"/>
    </row>
    <row r="6" customFormat="false" ht="15" hidden="false" customHeight="false" outlineLevel="0" collapsed="false">
      <c r="A6" s="5" t="s">
        <v>624</v>
      </c>
      <c r="B6" s="5" t="s">
        <v>683</v>
      </c>
      <c r="C6" s="5" t="s">
        <v>684</v>
      </c>
      <c r="D6" s="5" t="s">
        <v>685</v>
      </c>
      <c r="E6" s="5" t="s">
        <v>686</v>
      </c>
      <c r="F6" s="5" t="s">
        <v>687</v>
      </c>
      <c r="G6" s="5" t="s">
        <v>688</v>
      </c>
      <c r="H6" s="5" t="s">
        <v>69</v>
      </c>
    </row>
    <row r="7" customFormat="false" ht="15" hidden="false" customHeight="false" outlineLevel="0" collapsed="false">
      <c r="A7" s="6" t="n">
        <v>1</v>
      </c>
      <c r="B7" s="6" t="s">
        <v>689</v>
      </c>
      <c r="C7" s="6" t="s">
        <v>33</v>
      </c>
      <c r="D7" s="6" t="s">
        <v>690</v>
      </c>
      <c r="E7" s="6" t="s">
        <v>690</v>
      </c>
      <c r="F7" s="6" t="s">
        <v>691</v>
      </c>
      <c r="G7" s="6" t="s">
        <v>620</v>
      </c>
      <c r="H7" s="6" t="n">
        <v>0</v>
      </c>
    </row>
    <row r="8" customFormat="false" ht="15" hidden="false" customHeight="false" outlineLevel="0" collapsed="false">
      <c r="A8" s="6" t="n">
        <v>2</v>
      </c>
      <c r="B8" s="6" t="s">
        <v>692</v>
      </c>
      <c r="C8" s="6" t="s">
        <v>693</v>
      </c>
      <c r="D8" s="6" t="s">
        <v>690</v>
      </c>
      <c r="E8" s="6" t="s">
        <v>690</v>
      </c>
      <c r="F8" s="6" t="s">
        <v>694</v>
      </c>
      <c r="G8" s="6" t="s">
        <v>620</v>
      </c>
      <c r="H8" s="6" t="n">
        <v>0</v>
      </c>
    </row>
    <row r="9" customFormat="false" ht="15" hidden="false" customHeight="false" outlineLevel="0" collapsed="false">
      <c r="A9" s="6" t="n">
        <v>3</v>
      </c>
      <c r="B9" s="6" t="s">
        <v>695</v>
      </c>
      <c r="C9" s="6" t="s">
        <v>696</v>
      </c>
      <c r="D9" s="6" t="s">
        <v>690</v>
      </c>
      <c r="E9" s="6" t="s">
        <v>690</v>
      </c>
      <c r="F9" s="6" t="s">
        <v>697</v>
      </c>
      <c r="G9" s="6" t="s">
        <v>620</v>
      </c>
      <c r="H9" s="6" t="n">
        <v>0</v>
      </c>
    </row>
    <row r="10" customFormat="false" ht="15" hidden="false" customHeight="false" outlineLevel="0" collapsed="false">
      <c r="A10" s="6" t="n">
        <v>4</v>
      </c>
      <c r="B10" s="6" t="s">
        <v>698</v>
      </c>
      <c r="C10" s="6" t="s">
        <v>699</v>
      </c>
      <c r="D10" s="6" t="s">
        <v>690</v>
      </c>
      <c r="E10" s="6" t="s">
        <v>690</v>
      </c>
      <c r="F10" s="6" t="s">
        <v>700</v>
      </c>
      <c r="G10" s="6" t="s">
        <v>620</v>
      </c>
      <c r="H10" s="6" t="n">
        <v>0</v>
      </c>
    </row>
    <row r="11" customFormat="false" ht="15" hidden="false" customHeight="false" outlineLevel="0" collapsed="false">
      <c r="A11" s="6" t="n">
        <v>5</v>
      </c>
      <c r="B11" s="6" t="s">
        <v>701</v>
      </c>
      <c r="C11" s="6" t="s">
        <v>702</v>
      </c>
      <c r="D11" s="6" t="s">
        <v>690</v>
      </c>
      <c r="E11" s="6" t="s">
        <v>690</v>
      </c>
      <c r="F11" s="6" t="s">
        <v>703</v>
      </c>
      <c r="G11" s="6" t="s">
        <v>620</v>
      </c>
      <c r="H11" s="6" t="n">
        <v>0</v>
      </c>
    </row>
    <row r="12" customFormat="false" ht="15" hidden="false" customHeight="false" outlineLevel="0" collapsed="false">
      <c r="A12" s="6" t="n">
        <v>6</v>
      </c>
      <c r="B12" s="6" t="s">
        <v>704</v>
      </c>
      <c r="C12" s="6" t="s">
        <v>705</v>
      </c>
      <c r="D12" s="6" t="s">
        <v>690</v>
      </c>
      <c r="E12" s="6" t="s">
        <v>690</v>
      </c>
      <c r="F12" s="6" t="s">
        <v>706</v>
      </c>
      <c r="G12" s="6" t="s">
        <v>620</v>
      </c>
      <c r="H12" s="6" t="n">
        <v>0</v>
      </c>
    </row>
    <row r="13" customFormat="false" ht="15" hidden="false" customHeight="false" outlineLevel="0" collapsed="false">
      <c r="A13" s="6" t="n">
        <v>7</v>
      </c>
      <c r="B13" s="6" t="s">
        <v>707</v>
      </c>
      <c r="C13" s="6" t="s">
        <v>46</v>
      </c>
      <c r="D13" s="6" t="s">
        <v>690</v>
      </c>
      <c r="E13" s="6" t="s">
        <v>690</v>
      </c>
      <c r="F13" s="6" t="s">
        <v>708</v>
      </c>
      <c r="G13" s="6" t="s">
        <v>620</v>
      </c>
      <c r="H13" s="6" t="n">
        <v>0</v>
      </c>
    </row>
    <row r="14" customFormat="false" ht="15" hidden="false" customHeight="false" outlineLevel="0" collapsed="false">
      <c r="A14" s="6" t="n">
        <v>8</v>
      </c>
      <c r="B14" s="6" t="s">
        <v>709</v>
      </c>
      <c r="C14" s="6" t="s">
        <v>710</v>
      </c>
      <c r="D14" s="6" t="s">
        <v>690</v>
      </c>
      <c r="E14" s="6" t="s">
        <v>690</v>
      </c>
      <c r="F14" s="6" t="s">
        <v>711</v>
      </c>
      <c r="G14" s="6" t="s">
        <v>620</v>
      </c>
      <c r="H14" s="6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2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4" min="3" style="0" width="20"/>
    <col collapsed="false" customWidth="true" hidden="false" outlineLevel="0" max="5" min="5" style="0" width="13"/>
    <col collapsed="false" customWidth="true" hidden="false" outlineLevel="0" max="6" min="6" style="0" width="38"/>
  </cols>
  <sheetData>
    <row r="2" customFormat="false" ht="24" hidden="false" customHeight="true" outlineLevel="0" collapsed="false">
      <c r="A2" s="1" t="s">
        <v>712</v>
      </c>
    </row>
    <row r="3" customFormat="false" ht="18" hidden="false" customHeight="true" outlineLevel="0" collapsed="false">
      <c r="A3" s="2" t="s">
        <v>713</v>
      </c>
      <c r="B3" s="2"/>
      <c r="C3" s="2"/>
      <c r="D3" s="2"/>
      <c r="E3" s="2"/>
      <c r="F3" s="2"/>
    </row>
    <row r="6" customFormat="false" ht="15" hidden="false" customHeight="false" outlineLevel="0" collapsed="false">
      <c r="A6" s="5" t="s">
        <v>624</v>
      </c>
      <c r="B6" s="5" t="s">
        <v>714</v>
      </c>
      <c r="C6" s="5" t="s">
        <v>715</v>
      </c>
      <c r="D6" s="5" t="s">
        <v>716</v>
      </c>
      <c r="E6" s="5" t="s">
        <v>264</v>
      </c>
      <c r="F6" s="5" t="s">
        <v>717</v>
      </c>
    </row>
    <row r="7" customFormat="false" ht="15" hidden="false" customHeight="false" outlineLevel="0" collapsed="false">
      <c r="A7" s="6" t="n">
        <v>1</v>
      </c>
      <c r="B7" s="6" t="s">
        <v>718</v>
      </c>
      <c r="C7" s="17" t="n">
        <f aca="false">'Portfolio Test'!K7</f>
        <v>9</v>
      </c>
      <c r="D7" s="17" t="n">
        <v>9</v>
      </c>
      <c r="E7" s="6" t="str">
        <f aca="false">IF(ABS(C7-D7)&lt;0.01,"PASS","FAIL")</f>
        <v>PASS</v>
      </c>
      <c r="F7" s="6" t="s">
        <v>719</v>
      </c>
    </row>
    <row r="8" customFormat="false" ht="15" hidden="false" customHeight="false" outlineLevel="0" collapsed="false">
      <c r="A8" s="6" t="n">
        <v>2</v>
      </c>
      <c r="B8" s="6" t="s">
        <v>720</v>
      </c>
      <c r="C8" s="17" t="n">
        <f aca="false">COUNTIFS('Portfolio Test'!L7:L11,"SELECT")</f>
        <v>1</v>
      </c>
      <c r="D8" s="17" t="n">
        <v>1</v>
      </c>
      <c r="E8" s="6" t="str">
        <f aca="false">IF(ABS(C8-D8)&lt;0.01,"PASS","FAIL")</f>
        <v>PASS</v>
      </c>
      <c r="F8" s="6" t="s">
        <v>721</v>
      </c>
    </row>
    <row r="9" customFormat="false" ht="15" hidden="false" customHeight="false" outlineLevel="0" collapsed="false">
      <c r="A9" s="6" t="n">
        <v>3</v>
      </c>
      <c r="B9" s="6" t="s">
        <v>13</v>
      </c>
      <c r="C9" s="17" t="n">
        <f aca="false">COUNTA('Mission Systems'!A7:A12)</f>
        <v>6</v>
      </c>
      <c r="D9" s="17" t="n">
        <v>6</v>
      </c>
      <c r="E9" s="6" t="str">
        <f aca="false">IF(ABS(C9-D9)&lt;0.01,"PASS","FAIL")</f>
        <v>PASS</v>
      </c>
      <c r="F9" s="6" t="s">
        <v>33</v>
      </c>
    </row>
    <row r="10" customFormat="false" ht="15" hidden="false" customHeight="false" outlineLevel="0" collapsed="false">
      <c r="A10" s="6" t="n">
        <v>4</v>
      </c>
      <c r="B10" s="6" t="s">
        <v>722</v>
      </c>
      <c r="C10" s="17" t="n">
        <f aca="false">'Mission Systems'!C13</f>
        <v>48</v>
      </c>
      <c r="D10" s="17" t="n">
        <v>48</v>
      </c>
      <c r="E10" s="6" t="str">
        <f aca="false">IF(ABS(C10-D10)&lt;0.01,"PASS","FAIL")</f>
        <v>PASS</v>
      </c>
      <c r="F10" s="6" t="s">
        <v>723</v>
      </c>
    </row>
    <row r="11" customFormat="false" ht="15" hidden="false" customHeight="false" outlineLevel="0" collapsed="false">
      <c r="A11" s="6" t="n">
        <v>5</v>
      </c>
      <c r="B11" s="6" t="s">
        <v>63</v>
      </c>
      <c r="C11" s="17" t="n">
        <f aca="false">'Mission Systems'!D13</f>
        <v>2420</v>
      </c>
      <c r="D11" s="17" t="n">
        <v>2420</v>
      </c>
      <c r="E11" s="6" t="str">
        <f aca="false">IF(ABS(C11-D11)&lt;0.01,"PASS","FAIL")</f>
        <v>PASS</v>
      </c>
      <c r="F11" s="6" t="s">
        <v>724</v>
      </c>
    </row>
    <row r="12" customFormat="false" ht="15" hidden="false" customHeight="false" outlineLevel="0" collapsed="false">
      <c r="A12" s="6" t="n">
        <v>6</v>
      </c>
      <c r="B12" s="6" t="s">
        <v>725</v>
      </c>
      <c r="C12" s="17" t="n">
        <f aca="false">'Mission Systems'!E13</f>
        <v>5251</v>
      </c>
      <c r="D12" s="17" t="n">
        <v>5251</v>
      </c>
      <c r="E12" s="6" t="str">
        <f aca="false">IF(ABS(C12-D12)&lt;0.01,"PASS","FAIL")</f>
        <v>PASS</v>
      </c>
      <c r="F12" s="6" t="s">
        <v>726</v>
      </c>
    </row>
    <row r="13" customFormat="false" ht="15" hidden="false" customHeight="false" outlineLevel="0" collapsed="false">
      <c r="A13" s="6" t="n">
        <v>7</v>
      </c>
      <c r="B13" s="6" t="s">
        <v>727</v>
      </c>
      <c r="C13" s="17" t="n">
        <f aca="false">'Mission Systems'!F13</f>
        <v>550</v>
      </c>
      <c r="D13" s="17" t="n">
        <v>550</v>
      </c>
      <c r="E13" s="6" t="str">
        <f aca="false">IF(ABS(C13-D13)&lt;0.01,"PASS","FAIL")</f>
        <v>PASS</v>
      </c>
      <c r="F13" s="6" t="s">
        <v>728</v>
      </c>
    </row>
    <row r="14" customFormat="false" ht="15" hidden="false" customHeight="false" outlineLevel="0" collapsed="false">
      <c r="A14" s="6" t="n">
        <v>8</v>
      </c>
      <c r="B14" s="6" t="s">
        <v>66</v>
      </c>
      <c r="C14" s="17" t="n">
        <f aca="false">'Mission Systems'!G13</f>
        <v>0.2</v>
      </c>
      <c r="D14" s="17" t="n">
        <v>0.2</v>
      </c>
      <c r="E14" s="6" t="str">
        <f aca="false">IF(ABS(C14-D14)&lt;0.01,"PASS","FAIL")</f>
        <v>PASS</v>
      </c>
      <c r="F14" s="6" t="s">
        <v>729</v>
      </c>
    </row>
    <row r="15" customFormat="false" ht="15" hidden="false" customHeight="false" outlineLevel="0" collapsed="false">
      <c r="A15" s="6" t="n">
        <v>9</v>
      </c>
      <c r="B15" s="6" t="s">
        <v>730</v>
      </c>
      <c r="C15" s="17" t="n">
        <f aca="false">'Mission Systems'!H13</f>
        <v>110</v>
      </c>
      <c r="D15" s="17" t="n">
        <v>110</v>
      </c>
      <c r="E15" s="6" t="str">
        <f aca="false">IF(ABS(C15-D15)&lt;0.01,"PASS","FAIL")</f>
        <v>PASS</v>
      </c>
      <c r="F15" s="6" t="s">
        <v>731</v>
      </c>
    </row>
    <row r="16" customFormat="false" ht="15" hidden="false" customHeight="false" outlineLevel="0" collapsed="false">
      <c r="A16" s="6" t="n">
        <v>10</v>
      </c>
      <c r="B16" s="6" t="s">
        <v>732</v>
      </c>
      <c r="C16" s="17" t="n">
        <f aca="false">'Mission Systems'!J13</f>
        <v>0</v>
      </c>
      <c r="D16" s="17" t="n">
        <v>0</v>
      </c>
      <c r="E16" s="6" t="str">
        <f aca="false">IF(ABS(C16-D16)&lt;0.01,"PASS","FAIL")</f>
        <v>PASS</v>
      </c>
      <c r="F16" s="6" t="s">
        <v>733</v>
      </c>
    </row>
    <row r="17" customFormat="false" ht="15" hidden="false" customHeight="false" outlineLevel="0" collapsed="false">
      <c r="A17" s="6" t="n">
        <v>11</v>
      </c>
      <c r="B17" s="6" t="s">
        <v>16</v>
      </c>
      <c r="C17" s="17" t="n">
        <f aca="false">COUNTA('Problem Fields'!A7:A30)</f>
        <v>24</v>
      </c>
      <c r="D17" s="17" t="n">
        <v>24</v>
      </c>
      <c r="E17" s="6" t="str">
        <f aca="false">IF(ABS(C17-D17)&lt;0.01,"PASS","FAIL")</f>
        <v>PASS</v>
      </c>
      <c r="F17" s="6" t="s">
        <v>734</v>
      </c>
    </row>
    <row r="18" customFormat="false" ht="15" hidden="false" customHeight="false" outlineLevel="0" collapsed="false">
      <c r="A18" s="6" t="n">
        <v>12</v>
      </c>
      <c r="B18" s="6" t="s">
        <v>735</v>
      </c>
      <c r="C18" s="17" t="n">
        <f aca="false">'Problem Fields'!J31</f>
        <v>96</v>
      </c>
      <c r="D18" s="17" t="n">
        <v>96</v>
      </c>
      <c r="E18" s="6" t="str">
        <f aca="false">IF(ABS(C18-D18)&lt;0.01,"PASS","FAIL")</f>
        <v>PASS</v>
      </c>
      <c r="F18" s="6" t="s">
        <v>571</v>
      </c>
    </row>
    <row r="19" customFormat="false" ht="15" hidden="false" customHeight="false" outlineLevel="0" collapsed="false">
      <c r="A19" s="6" t="n">
        <v>13</v>
      </c>
      <c r="B19" s="6" t="s">
        <v>736</v>
      </c>
      <c r="C19" s="17" t="n">
        <f aca="false">'Problem Fields'!K31</f>
        <v>0</v>
      </c>
      <c r="D19" s="17" t="n">
        <v>0</v>
      </c>
      <c r="E19" s="6" t="str">
        <f aca="false">IF(ABS(C19-D19)&lt;0.01,"PASS","FAIL")</f>
        <v>PASS</v>
      </c>
      <c r="F19" s="6" t="s">
        <v>737</v>
      </c>
    </row>
    <row r="20" customFormat="false" ht="15" hidden="false" customHeight="false" outlineLevel="0" collapsed="false">
      <c r="A20" s="6" t="n">
        <v>14</v>
      </c>
      <c r="B20" s="6" t="s">
        <v>738</v>
      </c>
      <c r="C20" s="17" t="n">
        <f aca="false">COUNTA('First Tranche'!A7:A11)</f>
        <v>5</v>
      </c>
      <c r="D20" s="17" t="n">
        <v>5</v>
      </c>
      <c r="E20" s="6" t="str">
        <f aca="false">IF(ABS(C20-D20)&lt;0.01,"PASS","FAIL")</f>
        <v>PASS</v>
      </c>
      <c r="F20" s="6" t="s">
        <v>739</v>
      </c>
    </row>
    <row r="21" customFormat="false" ht="15" hidden="false" customHeight="false" outlineLevel="0" collapsed="false">
      <c r="A21" s="6" t="n">
        <v>15</v>
      </c>
      <c r="B21" s="6" t="s">
        <v>740</v>
      </c>
      <c r="C21" s="17" t="n">
        <f aca="false">'First Tranche'!B12</f>
        <v>200</v>
      </c>
      <c r="D21" s="17" t="n">
        <v>200</v>
      </c>
      <c r="E21" s="6" t="str">
        <f aca="false">IF(ABS(C21-D21)&lt;0.01,"PASS","FAIL")</f>
        <v>PASS</v>
      </c>
      <c r="F21" s="6" t="s">
        <v>741</v>
      </c>
    </row>
    <row r="22" customFormat="false" ht="15" hidden="false" customHeight="false" outlineLevel="0" collapsed="false">
      <c r="A22" s="6" t="n">
        <v>16</v>
      </c>
      <c r="B22" s="6" t="s">
        <v>742</v>
      </c>
      <c r="C22" s="17" t="n">
        <f aca="false">'First Tranche'!C12</f>
        <v>1</v>
      </c>
      <c r="D22" s="17" t="n">
        <v>1</v>
      </c>
      <c r="E22" s="6" t="str">
        <f aca="false">IF(ABS(C22-D22)&lt;0.01,"PASS","FAIL")</f>
        <v>PASS</v>
      </c>
      <c r="F22" s="6" t="s">
        <v>743</v>
      </c>
    </row>
    <row r="23" customFormat="false" ht="15" hidden="false" customHeight="false" outlineLevel="0" collapsed="false">
      <c r="A23" s="6" t="n">
        <v>17</v>
      </c>
      <c r="B23" s="6" t="s">
        <v>744</v>
      </c>
      <c r="C23" s="17" t="n">
        <f aca="false">'First Tranche'!I12</f>
        <v>0</v>
      </c>
      <c r="D23" s="17" t="n">
        <v>0</v>
      </c>
      <c r="E23" s="6" t="str">
        <f aca="false">IF(ABS(C23-D23)&lt;0.01,"PASS","FAIL")</f>
        <v>PASS</v>
      </c>
      <c r="F23" s="6" t="s">
        <v>733</v>
      </c>
    </row>
    <row r="24" customFormat="false" ht="15" hidden="false" customHeight="false" outlineLevel="0" collapsed="false">
      <c r="A24" s="6" t="n">
        <v>18</v>
      </c>
      <c r="B24" s="6" t="s">
        <v>745</v>
      </c>
      <c r="C24" s="17" t="n">
        <f aca="false">'First Tranche'!B16</f>
        <v>43</v>
      </c>
      <c r="D24" s="17" t="n">
        <v>43</v>
      </c>
      <c r="E24" s="6" t="str">
        <f aca="false">IF(ABS(C24-D24)&lt;0.01,"PASS","FAIL")</f>
        <v>PASS</v>
      </c>
      <c r="F24" s="6" t="s">
        <v>746</v>
      </c>
    </row>
    <row r="25" customFormat="false" ht="15" hidden="false" customHeight="false" outlineLevel="0" collapsed="false">
      <c r="A25" s="6" t="n">
        <v>19</v>
      </c>
      <c r="B25" s="6" t="s">
        <v>273</v>
      </c>
      <c r="C25" s="17" t="n">
        <f aca="false">'First Tranche'!B17</f>
        <v>14.390605109129</v>
      </c>
      <c r="D25" s="17" t="n">
        <v>14.390605109129</v>
      </c>
      <c r="E25" s="6" t="str">
        <f aca="false">IF(ABS(C25-D25)&lt;0.01,"PASS","FAIL")</f>
        <v>PASS</v>
      </c>
      <c r="F25" s="6" t="s">
        <v>747</v>
      </c>
    </row>
    <row r="26" customFormat="false" ht="15" hidden="false" customHeight="false" outlineLevel="0" collapsed="false">
      <c r="A26" s="6" t="n">
        <v>20</v>
      </c>
      <c r="B26" s="6" t="s">
        <v>748</v>
      </c>
      <c r="C26" s="17" t="n">
        <f aca="false">'First Tranche'!B18</f>
        <v>52.609394890871</v>
      </c>
      <c r="D26" s="17" t="n">
        <v>52.609394890871</v>
      </c>
      <c r="E26" s="6" t="str">
        <f aca="false">IF(ABS(C26-D26)&lt;0.01,"PASS","FAIL")</f>
        <v>PASS</v>
      </c>
      <c r="F26" s="6" t="s">
        <v>749</v>
      </c>
    </row>
    <row r="27" customFormat="false" ht="15" hidden="false" customHeight="false" outlineLevel="0" collapsed="false">
      <c r="A27" s="6" t="n">
        <v>21</v>
      </c>
      <c r="B27" s="6" t="s">
        <v>750</v>
      </c>
      <c r="C27" s="17" t="n">
        <f aca="false">'Root Triage'!B9</f>
        <v>24</v>
      </c>
      <c r="D27" s="17" t="n">
        <v>24</v>
      </c>
      <c r="E27" s="6" t="str">
        <f aca="false">IF(ABS(C27-D27)&lt;0.01,"PASS","FAIL")</f>
        <v>PASS</v>
      </c>
      <c r="F27" s="6" t="s">
        <v>751</v>
      </c>
    </row>
    <row r="28" customFormat="false" ht="15" hidden="false" customHeight="false" outlineLevel="0" collapsed="false">
      <c r="A28" s="6" t="n">
        <v>22</v>
      </c>
      <c r="B28" s="6" t="s">
        <v>357</v>
      </c>
      <c r="C28" s="17" t="n">
        <f aca="false">'Root Triage'!D9</f>
        <v>408</v>
      </c>
      <c r="D28" s="17" t="n">
        <v>408</v>
      </c>
      <c r="E28" s="6" t="str">
        <f aca="false">IF(ABS(C28-D28)&lt;0.01,"PASS","FAIL")</f>
        <v>PASS</v>
      </c>
      <c r="F28" s="6" t="s">
        <v>752</v>
      </c>
    </row>
    <row r="29" customFormat="false" ht="15" hidden="false" customHeight="false" outlineLevel="0" collapsed="false">
      <c r="A29" s="6" t="n">
        <v>23</v>
      </c>
      <c r="B29" s="6" t="s">
        <v>358</v>
      </c>
      <c r="C29" s="17" t="n">
        <f aca="false">'Root Triage'!E9</f>
        <v>1836</v>
      </c>
      <c r="D29" s="17" t="n">
        <v>1836</v>
      </c>
      <c r="E29" s="6" t="str">
        <f aca="false">IF(ABS(C29-D29)&lt;0.01,"PASS","FAIL")</f>
        <v>PASS</v>
      </c>
      <c r="F29" s="6" t="s">
        <v>752</v>
      </c>
    </row>
    <row r="30" customFormat="false" ht="15" hidden="false" customHeight="false" outlineLevel="0" collapsed="false">
      <c r="A30" s="6" t="n">
        <v>24</v>
      </c>
      <c r="B30" s="6" t="s">
        <v>753</v>
      </c>
      <c r="C30" s="17" t="n">
        <f aca="false">COUNTA('Evidence Gates'!A7:A14)</f>
        <v>8</v>
      </c>
      <c r="D30" s="17" t="n">
        <v>8</v>
      </c>
      <c r="E30" s="6" t="str">
        <f aca="false">IF(ABS(C30-D30)&lt;0.01,"PASS","FAIL")</f>
        <v>PASS</v>
      </c>
      <c r="F30" s="6" t="s">
        <v>754</v>
      </c>
    </row>
    <row r="31" customFormat="false" ht="15" hidden="false" customHeight="false" outlineLevel="0" collapsed="false">
      <c r="A31" s="6" t="n">
        <v>25</v>
      </c>
      <c r="B31" s="6" t="s">
        <v>755</v>
      </c>
      <c r="C31" s="17" t="n">
        <f aca="false">COUNTIFS('Production Release'!H7:H9,0)</f>
        <v>3</v>
      </c>
      <c r="D31" s="17" t="n">
        <v>3</v>
      </c>
      <c r="E31" s="6" t="str">
        <f aca="false">IF(ABS(C31-D31)&lt;0.01,"PASS","FAIL")</f>
        <v>PASS</v>
      </c>
      <c r="F31" s="6" t="s">
        <v>756</v>
      </c>
    </row>
    <row r="32" customFormat="false" ht="15" hidden="false" customHeight="false" outlineLevel="0" collapsed="false">
      <c r="A32" s="6" t="n">
        <v>26</v>
      </c>
      <c r="B32" s="6" t="s">
        <v>757</v>
      </c>
      <c r="C32" s="17" t="n">
        <f aca="false">'25-Year Path'!H32</f>
        <v>1000</v>
      </c>
      <c r="D32" s="17" t="n">
        <v>1000</v>
      </c>
      <c r="E32" s="6" t="str">
        <f aca="false">IF(ABS(C32-D32)&lt;0.01,"PASS","FAIL")</f>
        <v>PASS</v>
      </c>
      <c r="F32" s="6" t="s">
        <v>758</v>
      </c>
    </row>
    <row r="33" customFormat="false" ht="15" hidden="false" customHeight="false" outlineLevel="0" collapsed="false">
      <c r="A33" s="6" t="n">
        <v>27</v>
      </c>
      <c r="B33" s="6" t="s">
        <v>759</v>
      </c>
      <c r="C33" s="17" t="n">
        <f aca="false">'25-Year Path'!C32</f>
        <v>550</v>
      </c>
      <c r="D33" s="17" t="n">
        <v>550</v>
      </c>
      <c r="E33" s="6" t="str">
        <f aca="false">IF(ABS(C33-D33)&lt;0.01,"PASS","FAIL")</f>
        <v>PASS</v>
      </c>
      <c r="F33" s="6" t="s">
        <v>760</v>
      </c>
    </row>
    <row r="34" customFormat="false" ht="15" hidden="false" customHeight="false" outlineLevel="0" collapsed="false">
      <c r="A34" s="6" t="n">
        <v>28</v>
      </c>
      <c r="B34" s="6" t="s">
        <v>761</v>
      </c>
      <c r="C34" s="17" t="n">
        <f aca="false">SUM('Production Release'!C7:C9)</f>
        <v>750</v>
      </c>
      <c r="D34" s="17" t="n">
        <v>750</v>
      </c>
      <c r="E34" s="6" t="str">
        <f aca="false">IF(ABS(C34-D34)&lt;0.01,"PASS","FAIL")</f>
        <v>PASS</v>
      </c>
      <c r="F34" s="6" t="s">
        <v>762</v>
      </c>
    </row>
    <row r="35" customFormat="false" ht="15" hidden="false" customHeight="false" outlineLevel="0" collapsed="false">
      <c r="A35" s="6" t="n">
        <v>29</v>
      </c>
      <c r="B35" s="6" t="s">
        <v>763</v>
      </c>
      <c r="C35" s="17" t="n">
        <f aca="false">COUNTIFS('Stress Tests'!G7:G18,"PASS")</f>
        <v>12</v>
      </c>
      <c r="D35" s="17" t="n">
        <v>12</v>
      </c>
      <c r="E35" s="6" t="str">
        <f aca="false">IF(ABS(C35-D35)&lt;0.01,"PASS","FAIL")</f>
        <v>PASS</v>
      </c>
      <c r="F35" s="6" t="s">
        <v>764</v>
      </c>
    </row>
    <row r="36" customFormat="false" ht="15" hidden="false" customHeight="false" outlineLevel="0" collapsed="false">
      <c r="A36" s="6" t="n">
        <v>30</v>
      </c>
      <c r="B36" s="6" t="s">
        <v>765</v>
      </c>
      <c r="C36" s="17" t="n">
        <f aca="false">COUNTIFS(Mutations!E7:E14,"FAIL")</f>
        <v>8</v>
      </c>
      <c r="D36" s="17" t="n">
        <v>8</v>
      </c>
      <c r="E36" s="6" t="str">
        <f aca="false">IF(ABS(C36-D36)&lt;0.01,"PASS","FAIL")</f>
        <v>PASS</v>
      </c>
      <c r="F36" s="6" t="s">
        <v>766</v>
      </c>
    </row>
    <row r="37" customFormat="false" ht="15" hidden="false" customHeight="false" outlineLevel="0" collapsed="false">
      <c r="A37" s="6" t="n">
        <v>31</v>
      </c>
      <c r="B37" s="6" t="s">
        <v>767</v>
      </c>
      <c r="C37" s="17" t="n">
        <f aca="false">COUNTIFS(Mutations!G7:G14,"YES")</f>
        <v>8</v>
      </c>
      <c r="D37" s="17" t="n">
        <v>8</v>
      </c>
      <c r="E37" s="6" t="str">
        <f aca="false">IF(ABS(C37-D37)&lt;0.01,"PASS","FAIL")</f>
        <v>PASS</v>
      </c>
      <c r="F37" s="6" t="s">
        <v>768</v>
      </c>
    </row>
    <row r="38" customFormat="false" ht="15" hidden="false" customHeight="false" outlineLevel="0" collapsed="false">
      <c r="A38" s="6" t="n">
        <v>32</v>
      </c>
      <c r="B38" s="6" t="s">
        <v>769</v>
      </c>
      <c r="C38" s="17" t="n">
        <f aca="false">SUM(Mutations!H7:H14)</f>
        <v>0</v>
      </c>
      <c r="D38" s="17" t="n">
        <v>0</v>
      </c>
      <c r="E38" s="6" t="str">
        <f aca="false">IF(ABS(C38-D38)&lt;0.01,"PASS","FAIL")</f>
        <v>PASS</v>
      </c>
      <c r="F38" s="6" t="s">
        <v>770</v>
      </c>
    </row>
  </sheetData>
  <conditionalFormatting sqref="E7:E38">
    <cfRule type="containsText" priority="2" operator="containsText" aboveAverage="0" equalAverage="0" bottom="0" percent="0" rank="0" text="FAIL" dxfId="3">
      <formula>NOT(ISERROR(SEARCH("FAIL",E7)))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72"/>
    <col collapsed="false" customWidth="true" hidden="false" outlineLevel="0" max="4" min="4" style="0" width="18"/>
  </cols>
  <sheetData>
    <row r="2" customFormat="false" ht="24" hidden="false" customHeight="true" outlineLevel="0" collapsed="false">
      <c r="A2" s="1" t="s">
        <v>771</v>
      </c>
    </row>
    <row r="3" customFormat="false" ht="18" hidden="false" customHeight="true" outlineLevel="0" collapsed="false">
      <c r="A3" s="2" t="s">
        <v>772</v>
      </c>
      <c r="B3" s="2"/>
      <c r="C3" s="2"/>
      <c r="D3" s="2"/>
    </row>
    <row r="6" customFormat="false" ht="15" hidden="false" customHeight="false" outlineLevel="0" collapsed="false">
      <c r="A6" s="5" t="s">
        <v>773</v>
      </c>
      <c r="B6" s="5" t="s">
        <v>774</v>
      </c>
      <c r="C6" s="5" t="s">
        <v>775</v>
      </c>
      <c r="D6" s="5" t="s">
        <v>264</v>
      </c>
    </row>
    <row r="7" customFormat="false" ht="15" hidden="false" customHeight="false" outlineLevel="0" collapsed="false">
      <c r="A7" s="6" t="s">
        <v>776</v>
      </c>
      <c r="B7" s="6" t="s">
        <v>777</v>
      </c>
      <c r="C7" s="6" t="s">
        <v>778</v>
      </c>
      <c r="D7" s="6" t="s">
        <v>779</v>
      </c>
    </row>
    <row r="8" customFormat="false" ht="15" hidden="false" customHeight="false" outlineLevel="0" collapsed="false">
      <c r="A8" s="6" t="s">
        <v>780</v>
      </c>
      <c r="B8" s="6" t="s">
        <v>781</v>
      </c>
      <c r="C8" s="6" t="s">
        <v>782</v>
      </c>
      <c r="D8" s="6" t="s">
        <v>779</v>
      </c>
    </row>
    <row r="9" customFormat="false" ht="15" hidden="false" customHeight="false" outlineLevel="0" collapsed="false">
      <c r="A9" s="6" t="s">
        <v>783</v>
      </c>
      <c r="B9" s="6" t="s">
        <v>784</v>
      </c>
      <c r="C9" s="6" t="s">
        <v>785</v>
      </c>
      <c r="D9" s="6" t="s">
        <v>779</v>
      </c>
    </row>
    <row r="10" customFormat="false" ht="15" hidden="false" customHeight="false" outlineLevel="0" collapsed="false">
      <c r="A10" s="6" t="s">
        <v>786</v>
      </c>
      <c r="B10" s="6" t="s">
        <v>787</v>
      </c>
      <c r="C10" s="6" t="s">
        <v>788</v>
      </c>
      <c r="D10" s="6" t="s">
        <v>779</v>
      </c>
    </row>
    <row r="11" customFormat="false" ht="15" hidden="false" customHeight="false" outlineLevel="0" collapsed="false">
      <c r="A11" s="6" t="s">
        <v>789</v>
      </c>
      <c r="B11" s="6" t="s">
        <v>790</v>
      </c>
      <c r="C11" s="6" t="s">
        <v>791</v>
      </c>
      <c r="D11" s="6" t="s">
        <v>779</v>
      </c>
    </row>
    <row r="12" customFormat="false" ht="15" hidden="false" customHeight="false" outlineLevel="0" collapsed="false">
      <c r="A12" s="6" t="s">
        <v>792</v>
      </c>
      <c r="B12" s="6" t="s">
        <v>793</v>
      </c>
      <c r="C12" s="6" t="s">
        <v>794</v>
      </c>
      <c r="D12" s="6" t="s">
        <v>779</v>
      </c>
    </row>
    <row r="13" customFormat="false" ht="15" hidden="false" customHeight="false" outlineLevel="0" collapsed="false">
      <c r="A13" s="6" t="s">
        <v>795</v>
      </c>
      <c r="B13" s="6" t="s">
        <v>796</v>
      </c>
      <c r="C13" s="6" t="s">
        <v>797</v>
      </c>
      <c r="D13" s="6" t="s">
        <v>798</v>
      </c>
    </row>
    <row r="14" customFormat="false" ht="15" hidden="false" customHeight="false" outlineLevel="0" collapsed="false">
      <c r="A14" s="6" t="s">
        <v>799</v>
      </c>
      <c r="B14" s="6" t="s">
        <v>800</v>
      </c>
      <c r="C14" s="6" t="s">
        <v>801</v>
      </c>
      <c r="D14" s="6" t="s">
        <v>798</v>
      </c>
    </row>
    <row r="15" customFormat="false" ht="15" hidden="false" customHeight="false" outlineLevel="0" collapsed="false">
      <c r="A15" s="6" t="s">
        <v>802</v>
      </c>
      <c r="B15" s="6" t="s">
        <v>803</v>
      </c>
      <c r="C15" s="6" t="s">
        <v>804</v>
      </c>
      <c r="D15" s="6" t="s">
        <v>805</v>
      </c>
    </row>
    <row r="16" customFormat="false" ht="15" hidden="false" customHeight="false" outlineLevel="0" collapsed="false">
      <c r="A16" s="6" t="s">
        <v>806</v>
      </c>
      <c r="B16" s="6" t="s">
        <v>807</v>
      </c>
      <c r="C16" s="6" t="s">
        <v>808</v>
      </c>
      <c r="D16" s="6" t="s">
        <v>809</v>
      </c>
    </row>
    <row r="17" customFormat="false" ht="15" hidden="false" customHeight="false" outlineLevel="0" collapsed="false">
      <c r="A17" s="6" t="s">
        <v>810</v>
      </c>
      <c r="B17" s="6" t="s">
        <v>811</v>
      </c>
      <c r="C17" s="6" t="s">
        <v>812</v>
      </c>
      <c r="D17" s="6" t="s">
        <v>813</v>
      </c>
    </row>
    <row r="18" customFormat="false" ht="15" hidden="false" customHeight="false" outlineLevel="0" collapsed="false">
      <c r="A18" s="6" t="s">
        <v>814</v>
      </c>
      <c r="B18" s="6" t="s">
        <v>815</v>
      </c>
      <c r="C18" s="6" t="s">
        <v>816</v>
      </c>
      <c r="D18" s="6" t="s">
        <v>278</v>
      </c>
    </row>
    <row r="19" customFormat="false" ht="15" hidden="false" customHeight="false" outlineLevel="0" collapsed="false">
      <c r="A19" s="6" t="s">
        <v>817</v>
      </c>
      <c r="B19" s="6" t="s">
        <v>818</v>
      </c>
      <c r="C19" s="6" t="s">
        <v>819</v>
      </c>
      <c r="D19" s="6" t="s">
        <v>820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