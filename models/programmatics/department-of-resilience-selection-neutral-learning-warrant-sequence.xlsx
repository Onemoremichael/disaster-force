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0467dfb60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386ae46624400b"/>
    <x:sheet xmlns:r="http://schemas.openxmlformats.org/officeDocument/2006/relationships" name="Controls" sheetId="2" r:id="R15f5cb96c819485d"/>
    <x:sheet xmlns:r="http://schemas.openxmlformats.org/officeDocument/2006/relationships" name="Sequence Candidates" sheetId="3" r:id="R50436d7542264be7"/>
    <x:sheet xmlns:r="http://schemas.openxmlformats.org/officeDocument/2006/relationships" name="Warrant Registry" sheetId="4" r:id="R876ae5e908944540"/>
    <x:sheet xmlns:r="http://schemas.openxmlformats.org/officeDocument/2006/relationships" name="Cohort Schedule" sheetId="5" r:id="R647d4bf4123b4921"/>
    <x:sheet xmlns:r="http://schemas.openxmlformats.org/officeDocument/2006/relationships" name="Package Schedule" sheetId="6" r:id="R703e39cf980e4ba9"/>
    <x:sheet xmlns:r="http://schemas.openxmlformats.org/officeDocument/2006/relationships" name="Root Reservations" sheetId="7" r:id="Re5132da97eed46f0"/>
    <x:sheet xmlns:r="http://schemas.openxmlformats.org/officeDocument/2006/relationships" name="Escrow Rules" sheetId="8" r:id="R5544f05189274869"/>
    <x:sheet xmlns:r="http://schemas.openxmlformats.org/officeDocument/2006/relationships" name="Timeline Stress" sheetId="9" r:id="Re851a163a3db40cc"/>
    <x:sheet xmlns:r="http://schemas.openxmlformats.org/officeDocument/2006/relationships" name="Mutations" sheetId="10" r:id="R5747c59d96dd48cd"/>
    <x:sheet xmlns:r="http://schemas.openxmlformats.org/officeDocument/2006/relationships" name="Audit" sheetId="11" r:id="Ra9bb1677ee5249c9"/>
    <x:sheet xmlns:r="http://schemas.openxmlformats.org/officeDocument/2006/relationships" name="Sources &amp; Limits" sheetId="12" r:id="R94c8c1a05586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0.000"/>
    <x:numFmt numFmtId="203" formatCode="0.0%"/>
  </x:numFmts>
  <x:fonts count="6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263746"/>
      <x:name val="Arial"/>
    </x:font>
    <x:font>
      <x:sz val="10"/>
      <x:color rgb="FF0066CC"/>
      <x:name val="Arial"/>
    </x:font>
    <x:font>
      <x:sz val="11"/>
      <x:color rgb="FF26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B"/>
      </x:bottom>
    </x:border>
    <x:border>
      <x:top style="thin">
        <x:color rgb="FFD8E1EB"/>
      </x:top>
      <x:bottom style="thin">
        <x:color rgb="FFD8E1EB"/>
      </x:bottom>
    </x:border>
    <x:border>
      <x:top style="thin">
        <x:color rgb="FFD8E1EB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7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1" fontId="4" fillId="3" borderId="7" xfId="0" applyNumberFormat="1" applyFont="1" applyFill="1" applyBorder="1" applyAlignment="1">
      <x:alignment vertical="top" wrapText="1"/>
    </x:xf>
    <x:xf numFmtId="200" fontId="3" fillId="0" borderId="7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7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203" fontId="3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202" fontId="3" fillId="4" borderId="7" xfId="0" applyNumberFormat="1" applyFont="1" applyFill="1" applyBorder="1" applyAlignment="1">
      <x:alignment vertical="top" wrapText="1"/>
    </x:xf>
    <x:xf numFmtId="200" fontId="3" fillId="4" borderId="7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202" fontId="2" fillId="4" borderId="7" xfId="0" applyNumberFormat="1" applyFont="1" applyFill="1" applyBorder="1" applyAlignment="1">
      <x:alignment vertical="top" wrapText="1"/>
    </x:xf>
    <x:xf numFmtId="200" fontId="2" fillId="4" borderId="7" xfId="0" applyNumberFormat="1" applyFont="1" applyFill="1" applyBorder="1" applyAlignment="1">
      <x:alignment vertical="top" wrapText="1"/>
    </x:xf>
    <x:xf numFmtId="203" fontId="3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1" fontId="4" fillId="3" borderId="6" xfId="0" applyNumberFormat="1" applyFont="1" applyFill="1" applyBorder="1" applyAlignment="1">
      <x:alignment vertical="center" wrapText="1"/>
    </x:xf>
    <x:xf numFmtId="201" fontId="4" fillId="3" borderId="7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vertical="center" wrapText="1"/>
    </x:xf>
    <x:xf numFmtId="202" fontId="3" fillId="0" borderId="7" xfId="0" applyNumberFormat="1" applyFont="1" applyFill="1" applyBorder="1" applyAlignment="1">
      <x:alignment vertical="center" wrapText="1"/>
    </x:xf>
    <x:xf numFmtId="203" fontId="3" fillId="0" borderId="5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center" wrapText="1"/>
    </x:xf>
    <x:xf numFmtId="203" fontId="3" fillId="0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202" fontId="2" fillId="4" borderId="7" xfId="0" applyNumberFormat="1" applyFont="1" applyFill="1" applyBorder="1" applyAlignment="1">
      <x:alignment vertical="center" wrapText="1"/>
    </x:xf>
    <x:xf numFmtId="200" fontId="2" fillId="4" borderId="7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f0be7efe44e67" /><Relationship Type="http://schemas.openxmlformats.org/officeDocument/2006/relationships/theme" Target="/xl/theme/theme1.xml" Id="Rc4c62ac21a69424f" /><Relationship Type="http://schemas.openxmlformats.org/officeDocument/2006/relationships/sharedStrings" Target="/xl/sharedStrings.xml" Id="R17ffa60b39614ab5" /><Relationship Type="http://schemas.openxmlformats.org/officeDocument/2006/relationships/worksheet" Target="/xl/worksheets/sheet1.xml" Id="R1d386ae46624400b" /><Relationship Type="http://schemas.openxmlformats.org/officeDocument/2006/relationships/worksheet" Target="/xl/worksheets/sheet2.xml" Id="R15f5cb96c819485d" /><Relationship Type="http://schemas.openxmlformats.org/officeDocument/2006/relationships/worksheet" Target="/xl/worksheets/sheet3.xml" Id="R50436d7542264be7" /><Relationship Type="http://schemas.openxmlformats.org/officeDocument/2006/relationships/worksheet" Target="/xl/worksheets/sheet4.xml" Id="R876ae5e908944540" /><Relationship Type="http://schemas.openxmlformats.org/officeDocument/2006/relationships/worksheet" Target="/xl/worksheets/sheet5.xml" Id="R647d4bf4123b4921" /><Relationship Type="http://schemas.openxmlformats.org/officeDocument/2006/relationships/worksheet" Target="/xl/worksheets/sheet6.xml" Id="R703e39cf980e4ba9" /><Relationship Type="http://schemas.openxmlformats.org/officeDocument/2006/relationships/worksheet" Target="/xl/worksheets/sheet7.xml" Id="Re5132da97eed46f0" /><Relationship Type="http://schemas.openxmlformats.org/officeDocument/2006/relationships/worksheet" Target="/xl/worksheets/sheet8.xml" Id="R5544f05189274869" /><Relationship Type="http://schemas.openxmlformats.org/officeDocument/2006/relationships/worksheet" Target="/xl/worksheets/sheet9.xml" Id="Re851a163a3db40cc" /><Relationship Type="http://schemas.openxmlformats.org/officeDocument/2006/relationships/worksheet" Target="/xl/worksheets/sheet10.xml" Id="R5747c59d96dd48cd" /><Relationship Type="http://schemas.openxmlformats.org/officeDocument/2006/relationships/worksheet" Target="/xl/worksheets/sheet11.xml" Id="Ra9bb1677ee5249c9" /><Relationship Type="http://schemas.openxmlformats.org/officeDocument/2006/relationships/worksheet" Target="/xl/worksheets/sheet12.xml" Id="R94c8c1a0558647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05f66f87740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Cohort activation windows (weeks)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Start week</c:v>
          </c:tx>
          <c:cat>
            <c:strRef>
              <c:f>'Summary'!$M$5:$M$7</c:f>
              <c:strCache>
                <c:ptCount val="0"/>
              </c:strCache>
            </c:strRef>
          </c:cat>
          <c:val>
            <c:numRef>
              <c:f>'Summary'!$N$5:$N$7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End week</c:v>
          </c:tx>
          <c:cat>
            <c:strRef>
              <c:f>'Summary'!$M$5:$M$7</c:f>
              <c:strCache>
                <c:ptCount val="0"/>
              </c:strCache>
            </c:strRef>
          </c:cat>
          <c:val>
            <c:numRef>
              <c:f>'Summary'!$O$5:$O$7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05f66f87740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6475d49c5a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24" hidden="0" customWidth="1"/>
    <x:col min="4" max="4" width="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" hidden="0" customWidth="1"/>
    <x:col min="12" max="12" width="4" hidden="0" customWidth="1"/>
    <x:col min="13" max="13" width="16" hidden="0" customWidth="1"/>
    <x:col min="14" max="14" width="18" hidden="0" customWidth="1"/>
    <x:col min="15" max="15" width="18" hidden="0" customWidth="1"/>
    <x:col min="16" max="16" width="4" hidden="0" customWidth="1"/>
    <x:col min="17" max="17" width="4" hidden="0" customWidth="1"/>
    <x:col min="18" max="18" width="4" hidden="0" customWidth="1"/>
  </x:cols>
  <x:sheetData>
    <x:row r="2">
      <x:c r="A2" s="56" t="str">
        <x:v>Selection-neutral learning-warrant sequence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</x:row>
    <x:row r="4" ht="32" customHeight="1">
      <x:c r="A4" s="14" t="str">
        <x:v>Decision measure</x:v>
      </x:c>
      <x:c r="B4" s="15" t="str">
        <x:v>Value</x:v>
      </x:c>
      <x:c r="C4" s="16" t="str">
        <x:v>State</x:v>
      </x:c>
      <x:c r="D4" s="57"/>
      <x:c r="E4" s="57"/>
      <x:c r="F4" s="57"/>
      <x:c r="G4" s="57"/>
      <x:c r="H4" s="57"/>
      <x:c r="I4" s="57"/>
      <x:c r="J4" s="57"/>
      <x:c r="K4" s="57"/>
      <x:c r="L4" s="57"/>
      <x:c r="M4" s="14" t="str">
        <x:v>Cohort</x:v>
      </x:c>
      <x:c r="N4" s="15" t="str">
        <x:v>Start week</x:v>
      </x:c>
      <x:c r="O4" s="16" t="str">
        <x:v>End week</x:v>
      </x:c>
      <x:c r="P4" s="57"/>
      <x:c r="Q4" s="57"/>
      <x:c r="R4" s="57"/>
    </x:row>
    <x:row r="5">
      <x:c r="A5" s="59" t="str">
        <x:v>legal warrants issued</x:v>
      </x:c>
      <x:c r="B5" s="60" t="n">
        <x:f>SUM('Warrant Registry'!H5:H22)</x:f>
        <x:v>18</x:v>
      </x:c>
      <x:c r="C5" s="59" t="str">
        <x:v>ALL</x:v>
      </x:c>
      <x:c r="D5" s="57"/>
      <x:c r="E5" s="61" t="str">
        <x:v>DECISION
All eighteen learning warrants issue together at week 0. Work activates through three twenty-four-week cohorts of six, one form per root in each cohort. The rotating order places two A, two B and two C variants in every cohort and gives every cohort the same USD 179M ceiling. Sibling money is reserved at issue. Configuration freezes before activation. Outputs remain in role-separated escrow through cohort 3, except symmetric safety orders. The schedule reduces peak active forms from eighteen to six without making an early or inexpensive form selectable.</x:v>
      </x:c>
      <x:c r="F5" s="57"/>
      <x:c r="G5" s="57"/>
      <x:c r="H5" s="57"/>
      <x:c r="I5" s="57"/>
      <x:c r="J5" s="57"/>
      <x:c r="K5" s="57"/>
      <x:c r="L5" s="57"/>
      <x:c r="M5" s="60" t="n">
        <x:v>1</x:v>
      </x:c>
      <x:c r="N5" s="60" t="n">
        <x:f>'Cohort Schedule'!B5</x:f>
        <x:v>0</x:v>
      </x:c>
      <x:c r="O5" s="60" t="n">
        <x:f>'Cohort Schedule'!C5</x:f>
        <x:v>24</x:v>
      </x:c>
      <x:c r="P5" s="57"/>
      <x:c r="Q5" s="57"/>
      <x:c r="R5" s="57"/>
    </x:row>
    <x:row r="6">
      <x:c r="A6" s="62" t="str">
        <x:v>activation cohorts</x:v>
      </x:c>
      <x:c r="B6" s="63" t="n">
        <x:f>COUNTA('Cohort Schedule'!A5:A7)</x:f>
        <x:v>3</x:v>
      </x:c>
      <x:c r="C6" s="62" t="str">
        <x:v>THREE</x:v>
      </x:c>
      <x:c r="D6" s="57"/>
      <x:c r="E6" s="57"/>
      <x:c r="F6" s="57"/>
      <x:c r="G6" s="57"/>
      <x:c r="H6" s="57"/>
      <x:c r="I6" s="57"/>
      <x:c r="J6" s="57"/>
      <x:c r="K6" s="57"/>
      <x:c r="L6" s="57"/>
      <x:c r="M6" s="63" t="n">
        <x:v>2</x:v>
      </x:c>
      <x:c r="N6" s="63" t="n">
        <x:f>'Cohort Schedule'!B6</x:f>
        <x:v>24</x:v>
      </x:c>
      <x:c r="O6" s="63" t="n">
        <x:f>'Cohort Schedule'!C6</x:f>
        <x:v>48</x:v>
      </x:c>
      <x:c r="P6" s="57"/>
      <x:c r="Q6" s="57"/>
      <x:c r="R6" s="57"/>
    </x:row>
    <x:row r="7">
      <x:c r="A7" s="62" t="str">
        <x:v>forms per cohort</x:v>
      </x:c>
      <x:c r="B7" s="63" t="n">
        <x:f>MIN('Cohort Schedule'!D5:D7)</x:f>
        <x:v>6</x:v>
      </x:c>
      <x:c r="C7" s="62" t="str">
        <x:v>SIX</x:v>
      </x:c>
      <x:c r="D7" s="57"/>
      <x:c r="E7" s="57"/>
      <x:c r="F7" s="57"/>
      <x:c r="G7" s="57"/>
      <x:c r="H7" s="57"/>
      <x:c r="I7" s="57"/>
      <x:c r="J7" s="57"/>
      <x:c r="K7" s="57"/>
      <x:c r="L7" s="57"/>
      <x:c r="M7" s="64" t="n">
        <x:v>3</x:v>
      </x:c>
      <x:c r="N7" s="64" t="n">
        <x:f>'Cohort Schedule'!B7</x:f>
        <x:v>48</x:v>
      </x:c>
      <x:c r="O7" s="64" t="n">
        <x:f>'Cohort Schedule'!C7</x:f>
        <x:v>72</x:v>
      </x:c>
      <x:c r="P7" s="57"/>
      <x:c r="Q7" s="57"/>
      <x:c r="R7" s="57"/>
    </x:row>
    <x:row r="8">
      <x:c r="A8" s="62" t="str">
        <x:v>peak active forms</x:v>
      </x:c>
      <x:c r="B8" s="63" t="n">
        <x:f>MAX('Cohort Schedule'!D5:D7)</x:f>
        <x:v>6</x:v>
      </x:c>
      <x:c r="C8" s="62" t="str">
        <x:v>WITHIN CAP</x:v>
      </x:c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</x:row>
    <x:row r="9">
      <x:c r="A9" s="62" t="str">
        <x:v>planning wall clock weeks</x:v>
      </x:c>
      <x:c r="B9" s="63" t="n">
        <x:f>MAX('Cohort Schedule'!C5:C7)</x:f>
        <x:v>72</x:v>
      </x:c>
      <x:c r="C9" s="62" t="str">
        <x:v>DECLARED</x:v>
      </x:c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</x:row>
    <x:row r="10">
      <x:c r="A10" s="62" t="str">
        <x:v>root-cohort records</x:v>
      </x:c>
      <x:c r="B10" s="63" t="n">
        <x:f>SUM('Cohort Schedule'!L5:L7)</x:f>
        <x:v>18</x:v>
      </x:c>
      <x:c r="C10" s="62" t="str">
        <x:v>ONE PER ROOT</x:v>
      </x:c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</x:row>
    <x:row r="11">
      <x:c r="A11" s="62" t="str">
        <x:v>balanced variant cells</x:v>
      </x:c>
      <x:c r="B11" s="63" t="n">
        <x:f>COUNTIFS('Cohort Schedule'!N5:N7,"PASS")</x:f>
        <x:v>3</x:v>
      </x:c>
      <x:c r="C11" s="62" t="str">
        <x:v>THREE COHORTS</x:v>
      </x:c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</x:row>
    <x:row r="12">
      <x:c r="A12" s="62" t="str">
        <x:v>FRAME ceiling issued USD B</x:v>
      </x:c>
      <x:c r="B12" s="63" t="n">
        <x:f>'Root Reservations'!I11</x:f>
        <x:v>0.5380369228980849</x:v>
      </x:c>
      <x:c r="C12" s="62" t="str">
        <x:v>RESERVATIONS</x:v>
      </x:c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</x:row>
    <x:row r="13">
      <x:c r="A13" s="62" t="str">
        <x:v>obligated USD B</x:v>
      </x:c>
      <x:c r="B13" s="65" t="n">
        <x:f>'Root Reservations'!J11</x:f>
        <x:v>0</x:v>
      </x:c>
      <x:c r="C13" s="62" t="str">
        <x:v>ZERO</x:v>
      </x:c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</x:row>
    <x:row r="14">
      <x:c r="A14" s="62" t="str">
        <x:v>paid USD B</x:v>
      </x:c>
      <x:c r="B14" s="65" t="n">
        <x:f>'Root Reservations'!K11</x:f>
        <x:v>0</x:v>
      </x:c>
      <x:c r="C14" s="62" t="str">
        <x:v>ZERO</x:v>
      </x:c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</x:row>
    <x:row r="15">
      <x:c r="A15" s="62" t="str">
        <x:v>accepted observations</x:v>
      </x:c>
      <x:c r="B15" s="65" t="n">
        <x:f>Controls!B16</x:f>
        <x:v>0</x:v>
      </x:c>
      <x:c r="C15" s="62" t="str">
        <x:v>ZERO</x:v>
      </x:c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</x:row>
    <x:row r="16">
      <x:c r="A16" s="66" t="str">
        <x:v>selected forms</x:v>
      </x:c>
      <x:c r="B16" s="64" t="n">
        <x:f>Controls!B17</x:f>
        <x:v>0</x:v>
      </x:c>
      <x:c r="C16" s="66" t="str">
        <x:v>ZERO</x:v>
      </x:c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</x:row>
  </x:sheetData>
  <x:mergeCells>
    <x:mergeCell ref="A2:R2"/>
    <x:mergeCell ref="E5:J14"/>
  </x:mergeCells>
  <x:pageMargins left="0.7" right="0.7" top="0.75" bottom="0.75" header="0.3" footer="0.3"/>
  <x:drawing xmlns:r="http://schemas.openxmlformats.org/officeDocument/2006/relationships" r:id="R326475d49c5a458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18" hidden="0" customWidth="1"/>
    <x:col min="4" max="4" width="38" hidden="0" customWidth="1"/>
  </x:cols>
  <x:sheetData>
    <x:row r="2">
      <x:c r="A2" s="56" t="str">
        <x:v>Selection-neutral sequence controls</x:v>
      </x:c>
      <x:c r="B2" s="57"/>
      <x:c r="C2" s="57"/>
      <x:c r="D2" s="57"/>
    </x:row>
    <x:row r="3">
      <x:c r="A3" s="58"/>
      <x:c r="B3" s="58"/>
      <x:c r="C3" s="58"/>
      <x:c r="D3" s="58"/>
    </x:row>
    <x:row r="4">
      <x:c r="A4" s="57"/>
      <x:c r="B4" s="57"/>
      <x:c r="C4" s="57"/>
      <x:c r="D4" s="57"/>
    </x:row>
    <x:row r="5" ht="32" customHeight="1">
      <x:c r="A5" s="14" t="str">
        <x:v>Control</x:v>
      </x:c>
      <x:c r="B5" s="15" t="str">
        <x:v>Value</x:v>
      </x:c>
      <x:c r="C5" s="15" t="str">
        <x:v>Unit</x:v>
      </x:c>
      <x:c r="D5" s="16" t="str">
        <x:v>Authority</x:v>
      </x:c>
    </x:row>
    <x:row r="6">
      <x:c r="A6" s="59" t="str">
        <x:v>roots</x:v>
      </x:c>
      <x:c r="B6" s="67" t="n">
        <x:v>6</x:v>
      </x:c>
      <x:c r="C6" s="59" t="str">
        <x:v>count</x:v>
      </x:c>
      <x:c r="D6" s="59" t="str">
        <x:v>Pass 211</x:v>
      </x:c>
    </x:row>
    <x:row r="7">
      <x:c r="A7" s="62" t="str">
        <x:v>forms</x:v>
      </x:c>
      <x:c r="B7" s="68" t="n">
        <x:v>18</x:v>
      </x:c>
      <x:c r="C7" s="62" t="str">
        <x:v>count</x:v>
      </x:c>
      <x:c r="D7" s="62" t="str">
        <x:v>Pass 223</x:v>
      </x:c>
    </x:row>
    <x:row r="8">
      <x:c r="A8" s="62" t="str">
        <x:v>cohorts</x:v>
      </x:c>
      <x:c r="B8" s="68" t="n">
        <x:v>3</x:v>
      </x:c>
      <x:c r="C8" s="62" t="str">
        <x:v>count</x:v>
      </x:c>
      <x:c r="D8" s="62" t="str">
        <x:v>Pass 227</x:v>
      </x:c>
    </x:row>
    <x:row r="9">
      <x:c r="A9" s="62" t="str">
        <x:v>maximum active forms</x:v>
      </x:c>
      <x:c r="B9" s="68" t="n">
        <x:v>6</x:v>
      </x:c>
      <x:c r="C9" s="62" t="str">
        <x:v>count</x:v>
      </x:c>
      <x:c r="D9" s="62" t="str">
        <x:v>Pass 227</x:v>
      </x:c>
    </x:row>
    <x:row r="10">
      <x:c r="A10" s="62" t="str">
        <x:v>cohort duration</x:v>
      </x:c>
      <x:c r="B10" s="68" t="n">
        <x:v>24</x:v>
      </x:c>
      <x:c r="C10" s="62" t="str">
        <x:v>weeks</x:v>
      </x:c>
      <x:c r="D10" s="62" t="str">
        <x:v>planning hypothesis</x:v>
      </x:c>
    </x:row>
    <x:row r="11">
      <x:c r="A11" s="62" t="str">
        <x:v>cohort start interval</x:v>
      </x:c>
      <x:c r="B11" s="68" t="n">
        <x:v>24</x:v>
      </x:c>
      <x:c r="C11" s="62" t="str">
        <x:v>weeks</x:v>
      </x:c>
      <x:c r="D11" s="62" t="str">
        <x:v>Pass 227</x:v>
      </x:c>
    </x:row>
    <x:row r="12">
      <x:c r="A12" s="62" t="str">
        <x:v>legal issue week</x:v>
      </x:c>
      <x:c r="B12" s="68" t="n">
        <x:v>0</x:v>
      </x:c>
      <x:c r="C12" s="62" t="str">
        <x:v>week</x:v>
      </x:c>
      <x:c r="D12" s="62" t="str">
        <x:v>Pass 227</x:v>
      </x:c>
    </x:row>
    <x:row r="13">
      <x:c r="A13" s="62" t="str">
        <x:v>selected sequence</x:v>
      </x:c>
      <x:c r="B13" s="69" t="str">
        <x:v>S3</x:v>
      </x:c>
      <x:c r="C13" s="62" t="str">
        <x:v>ID</x:v>
      </x:c>
      <x:c r="D13" s="62" t="str">
        <x:v>Pass 227</x:v>
      </x:c>
    </x:row>
    <x:row r="14">
      <x:c r="A14" s="62" t="str">
        <x:v>obligated amount</x:v>
      </x:c>
      <x:c r="B14" s="70" t="n">
        <x:v>0</x:v>
      </x:c>
      <x:c r="C14" s="62" t="str">
        <x:v>USD B</x:v>
      </x:c>
      <x:c r="D14" s="62" t="str">
        <x:v>source empty</x:v>
      </x:c>
    </x:row>
    <x:row r="15">
      <x:c r="A15" s="62" t="str">
        <x:v>paid amount</x:v>
      </x:c>
      <x:c r="B15" s="70" t="n">
        <x:v>0</x:v>
      </x:c>
      <x:c r="C15" s="62" t="str">
        <x:v>USD B</x:v>
      </x:c>
      <x:c r="D15" s="62" t="str">
        <x:v>source empty</x:v>
      </x:c>
    </x:row>
    <x:row r="16">
      <x:c r="A16" s="62" t="str">
        <x:v>accepted observations</x:v>
      </x:c>
      <x:c r="B16" s="70" t="n">
        <x:v>0</x:v>
      </x:c>
      <x:c r="C16" s="62" t="str">
        <x:v>count</x:v>
      </x:c>
      <x:c r="D16" s="62" t="str">
        <x:v>source empty</x:v>
      </x:c>
    </x:row>
    <x:row r="17">
      <x:c r="A17" s="62" t="str">
        <x:v>selected forms</x:v>
      </x:c>
      <x:c r="B17" s="70" t="n">
        <x:v>0</x:v>
      </x:c>
      <x:c r="C17" s="62" t="str">
        <x:v>count</x:v>
      </x:c>
      <x:c r="D17" s="62" t="str">
        <x:v>held</x:v>
      </x:c>
    </x:row>
    <x:row r="18">
      <x:c r="A18" s="66" t="str">
        <x:v>branch kills</x:v>
      </x:c>
      <x:c r="B18" s="71" t="n">
        <x:v>0</x:v>
      </x:c>
      <x:c r="C18" s="66" t="str">
        <x:v>count</x:v>
      </x:c>
      <x:c r="D18" s="66" t="str">
        <x:v>Pass 227 decision</x:v>
      </x:c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18" hidden="0" customWidth="1"/>
    <x:col min="8" max="8" width="20" hidden="0" customWidth="1"/>
    <x:col min="9" max="9" width="21" hidden="0" customWidth="1"/>
    <x:col min="10" max="10" width="20" hidden="0" customWidth="1"/>
    <x:col min="11" max="11" width="18" hidden="0" customWidth="1"/>
    <x:col min="12" max="12" width="16" hidden="0" customWidth="1"/>
    <x:col min="13" max="13" width="17" hidden="0" customWidth="1"/>
    <x:col min="14" max="14" width="24" hidden="0" customWidth="1"/>
    <x:col min="15" max="15" width="16" hidden="0" customWidth="1"/>
    <x:col min="16" max="16" width="14" hidden="0" customWidth="1"/>
    <x:col min="17" max="17" width="24" hidden="0" customWidth="1"/>
  </x:cols>
  <x:sheetData>
    <x:row r="2">
      <x:c r="A2" s="56" t="str">
        <x:v>Five warrant-activation sequences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</x:row>
    <x:row r="4" ht="32" customHeight="1">
      <x:c r="A4" s="14" t="str">
        <x:v>Sequence</x:v>
      </x:c>
      <x:c r="B4" s="15" t="str">
        <x:v>Architecture</x:v>
      </x:c>
      <x:c r="C4" s="15" t="str">
        <x:v>Peak active forms</x:v>
      </x:c>
      <x:c r="D4" s="15" t="str">
        <x:v>Wall clock weeks</x:v>
      </x:c>
      <x:c r="E4" s="15" t="str">
        <x:v>All 18 issue together</x:v>
      </x:c>
      <x:c r="F4" s="15" t="str">
        <x:v>Peak &lt;= 6</x:v>
      </x:c>
      <x:c r="G4" s="15" t="str">
        <x:v>One form per root</x:v>
      </x:c>
      <x:c r="H4" s="15" t="str">
        <x:v>All roots each cohort</x:v>
      </x:c>
      <x:c r="I4" s="15" t="str">
        <x:v>Equal cohort ceiling</x:v>
      </x:c>
      <x:c r="J4" s="15" t="str">
        <x:v>Two of each variant</x:v>
      </x:c>
      <x:c r="K4" s="15" t="str">
        <x:v>Sibling reserve</x:v>
      </x:c>
      <x:c r="L4" s="15" t="str">
        <x:v>Order frozen</x:v>
      </x:c>
      <x:c r="M4" s="15" t="str">
        <x:v>Output escrow</x:v>
      </x:c>
      <x:c r="N4" s="15" t="str">
        <x:v>No outcome adaptation</x:v>
      </x:c>
      <x:c r="O4" s="15" t="str">
        <x:v>Gates passed</x:v>
      </x:c>
      <x:c r="P4" s="15" t="str">
        <x:v>Selected</x:v>
      </x:c>
      <x:c r="Q4" s="16" t="str">
        <x:v>Disposition</x:v>
      </x:c>
    </x:row>
    <x:row r="5">
      <x:c r="A5" s="59" t="str">
        <x:v>S1</x:v>
      </x:c>
      <x:c r="B5" s="59" t="str">
        <x:v>All eighteen activate together</x:v>
      </x:c>
      <x:c r="C5" s="60" t="n">
        <x:v>18</x:v>
      </x:c>
      <x:c r="D5" s="60" t="n">
        <x:v>24</x:v>
      </x:c>
      <x:c r="E5" s="60" t="n">
        <x:v>1</x:v>
      </x:c>
      <x:c r="F5" s="60" t="n">
        <x:v>0</x:v>
      </x:c>
      <x:c r="G5" s="60" t="n">
        <x:v>0</x:v>
      </x:c>
      <x:c r="H5" s="60" t="n">
        <x:v>1</x:v>
      </x:c>
      <x:c r="I5" s="60" t="n">
        <x:v>0</x:v>
      </x:c>
      <x:c r="J5" s="60" t="n">
        <x:v>0</x:v>
      </x:c>
      <x:c r="K5" s="60" t="n">
        <x:v>1</x:v>
      </x:c>
      <x:c r="L5" s="60" t="n">
        <x:v>1</x:v>
      </x:c>
      <x:c r="M5" s="60" t="n">
        <x:v>1</x:v>
      </x:c>
      <x:c r="N5" s="60" t="n">
        <x:v>1</x:v>
      </x:c>
      <x:c r="O5" s="60" t="n">
        <x:f>SUM(E5:N5)</x:f>
        <x:v>6</x:v>
      </x:c>
      <x:c r="P5" s="60" t="n">
        <x:f>IF(A5=Controls!$B$13,1,0)</x:f>
        <x:v>0</x:v>
      </x:c>
      <x:c r="Q5" s="59" t="str">
        <x:f>IF(P5=1,IF(O5=10,"SELECTED SEQUENCE","INVALID SELECTION"),"NOT SELECTED")</x:f>
        <x:v>NOT SELECTED</x:v>
      </x:c>
    </x:row>
    <x:row r="6">
      <x:c r="A6" s="62" t="str">
        <x:v>S2</x:v>
      </x:c>
      <x:c r="B6" s="62" t="str">
        <x:v>Complete one root at a time</x:v>
      </x:c>
      <x:c r="C6" s="63" t="n">
        <x:v>3</x:v>
      </x:c>
      <x:c r="D6" s="63" t="n">
        <x:v>144</x:v>
      </x:c>
      <x:c r="E6" s="63" t="n">
        <x:v>1</x:v>
      </x:c>
      <x:c r="F6" s="63" t="n">
        <x:v>1</x:v>
      </x:c>
      <x:c r="G6" s="63" t="n">
        <x:v>0</x:v>
      </x:c>
      <x:c r="H6" s="63" t="n">
        <x:v>0</x:v>
      </x:c>
      <x:c r="I6" s="63" t="n">
        <x:v>0</x:v>
      </x:c>
      <x:c r="J6" s="63" t="n">
        <x:v>0</x:v>
      </x:c>
      <x:c r="K6" s="63" t="n">
        <x:v>1</x:v>
      </x:c>
      <x:c r="L6" s="63" t="n">
        <x:v>1</x:v>
      </x:c>
      <x:c r="M6" s="63" t="n">
        <x:v>0</x:v>
      </x:c>
      <x:c r="N6" s="63" t="n">
        <x:v>1</x:v>
      </x:c>
      <x:c r="O6" s="63" t="n">
        <x:f>SUM(E6:N6)</x:f>
        <x:v>5</x:v>
      </x:c>
      <x:c r="P6" s="63" t="n">
        <x:f>IF(A6=Controls!$B$13,1,0)</x:f>
        <x:v>0</x:v>
      </x:c>
      <x:c r="Q6" s="62" t="str">
        <x:f>IF(P6=1,IF(O6=10,"SELECTED SEQUENCE","INVALID SELECTION"),"NOT SELECTED")</x:f>
        <x:v>NOT SELECTED</x:v>
      </x:c>
    </x:row>
    <x:row r="7">
      <x:c r="A7" s="62" t="str">
        <x:v>S3</x:v>
      </x:c>
      <x:c r="B7" s="62" t="str">
        <x:v>Rotating one-per-root cohorts</x:v>
      </x:c>
      <x:c r="C7" s="63" t="n">
        <x:v>6</x:v>
      </x:c>
      <x:c r="D7" s="63" t="n">
        <x:v>72</x:v>
      </x:c>
      <x:c r="E7" s="63" t="n">
        <x:v>1</x:v>
      </x:c>
      <x:c r="F7" s="63" t="n">
        <x:v>1</x:v>
      </x:c>
      <x:c r="G7" s="63" t="n">
        <x:v>1</x:v>
      </x:c>
      <x:c r="H7" s="63" t="n">
        <x:v>1</x:v>
      </x:c>
      <x:c r="I7" s="63" t="n">
        <x:v>1</x:v>
      </x:c>
      <x:c r="J7" s="63" t="n">
        <x:v>1</x:v>
      </x:c>
      <x:c r="K7" s="63" t="n">
        <x:v>1</x:v>
      </x:c>
      <x:c r="L7" s="63" t="n">
        <x:v>1</x:v>
      </x:c>
      <x:c r="M7" s="63" t="n">
        <x:v>1</x:v>
      </x:c>
      <x:c r="N7" s="63" t="n">
        <x:v>1</x:v>
      </x:c>
      <x:c r="O7" s="63" t="n">
        <x:f>SUM(E7:N7)</x:f>
        <x:v>10</x:v>
      </x:c>
      <x:c r="P7" s="63" t="n">
        <x:f>IF(A7=Controls!$B$13,1,0)</x:f>
        <x:v>1</x:v>
      </x:c>
      <x:c r="Q7" s="62" t="str">
        <x:f>IF(P7=1,IF(O7=10,"SELECTED SEQUENCE","INVALID SELECTION"),"NOT SELECTED")</x:f>
        <x:v>SELECTED SEQUENCE</x:v>
      </x:c>
    </x:row>
    <x:row r="8">
      <x:c r="A8" s="62" t="str">
        <x:v>S4</x:v>
      </x:c>
      <x:c r="B8" s="62" t="str">
        <x:v>Cheapest forms activate first</x:v>
      </x:c>
      <x:c r="C8" s="63" t="n">
        <x:v>6</x:v>
      </x:c>
      <x:c r="D8" s="63" t="n">
        <x:v>72</x:v>
      </x:c>
      <x:c r="E8" s="63" t="n">
        <x:v>1</x:v>
      </x:c>
      <x:c r="F8" s="63" t="n">
        <x:v>1</x:v>
      </x:c>
      <x:c r="G8" s="63" t="n">
        <x:v>0</x:v>
      </x:c>
      <x:c r="H8" s="63" t="n">
        <x:v>0</x:v>
      </x:c>
      <x:c r="I8" s="63" t="n">
        <x:v>0</x:v>
      </x:c>
      <x:c r="J8" s="63" t="n">
        <x:v>0</x:v>
      </x:c>
      <x:c r="K8" s="63" t="n">
        <x:v>0</x:v>
      </x:c>
      <x:c r="L8" s="63" t="n">
        <x:v>1</x:v>
      </x:c>
      <x:c r="M8" s="63" t="n">
        <x:v>0</x:v>
      </x:c>
      <x:c r="N8" s="63" t="n">
        <x:v>1</x:v>
      </x:c>
      <x:c r="O8" s="63" t="n">
        <x:f>SUM(E8:N8)</x:f>
        <x:v>4</x:v>
      </x:c>
      <x:c r="P8" s="63" t="n">
        <x:f>IF(A8=Controls!$B$13,1,0)</x:f>
        <x:v>0</x:v>
      </x:c>
      <x:c r="Q8" s="62" t="str">
        <x:f>IF(P8=1,IF(O8=10,"SELECTED SEQUENCE","INVALID SELECTION"),"NOT SELECTED")</x:f>
        <x:v>NOT SELECTED</x:v>
      </x:c>
    </x:row>
    <x:row r="9">
      <x:c r="A9" s="66" t="str">
        <x:v>S5</x:v>
      </x:c>
      <x:c r="B9" s="66" t="str">
        <x:v>Results-adaptive activation</x:v>
      </x:c>
      <x:c r="C9" s="64" t="n">
        <x:v>6</x:v>
      </x:c>
      <x:c r="D9" s="64" t="n">
        <x:v>72</x:v>
      </x:c>
      <x:c r="E9" s="64" t="n">
        <x:v>0</x:v>
      </x:c>
      <x:c r="F9" s="64" t="n">
        <x:v>1</x:v>
      </x:c>
      <x:c r="G9" s="64" t="n">
        <x:v>1</x:v>
      </x:c>
      <x:c r="H9" s="64" t="n">
        <x:v>1</x:v>
      </x:c>
      <x:c r="I9" s="64" t="n">
        <x:v>0</x:v>
      </x:c>
      <x:c r="J9" s="64" t="n">
        <x:v>1</x:v>
      </x:c>
      <x:c r="K9" s="64" t="n">
        <x:v>0</x:v>
      </x:c>
      <x:c r="L9" s="64" t="n">
        <x:v>0</x:v>
      </x:c>
      <x:c r="M9" s="64" t="n">
        <x:v>0</x:v>
      </x:c>
      <x:c r="N9" s="64" t="n">
        <x:v>0</x:v>
      </x:c>
      <x:c r="O9" s="64" t="n">
        <x:f>SUM(E9:N9)</x:f>
        <x:v>4</x:v>
      </x:c>
      <x:c r="P9" s="64" t="n">
        <x:f>IF(A9=Controls!$B$13,1,0)</x:f>
        <x:v>0</x:v>
      </x:c>
      <x:c r="Q9" s="66" t="str">
        <x:f>IF(P9=1,IF(O9=10,"SELECTED SEQUENCE","INVALID SELECTION"),"NOT SELECTED")</x:f>
        <x:v>NOT SELECTED</x:v>
      </x:c>
    </x:row>
  </x:sheetData>
  <x:mergeCells>
    <x:mergeCell ref="A2:Q2"/>
  </x:mergeCells>
  <x:conditionalFormatting sqref="Q5:Q9">
    <x:cfRule type="containsText" dxfId="0" priority="1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44" hidden="0" customWidth="1"/>
    <x:col min="5" max="5" width="13" hidden="0" customWidth="1"/>
    <x:col min="6" max="6" width="13" hidden="0" customWidth="1"/>
    <x:col min="7" max="7" width="15" hidden="0" customWidth="1"/>
    <x:col min="8" max="8" width="13" hidden="0" customWidth="1"/>
    <x:col min="9" max="9" width="23" hidden="0" customWidth="1"/>
    <x:col min="10" max="10" width="18" hidden="0" customWidth="1"/>
    <x:col min="11" max="11" width="18" hidden="0" customWidth="1"/>
    <x:col min="12" max="12" width="20" hidden="0" customWidth="1"/>
    <x:col min="13" max="13" width="15" hidden="0" customWidth="1"/>
    <x:col min="14" max="14" width="20" hidden="0" customWidth="1"/>
    <x:col min="15" max="15" width="20" hidden="0" customWidth="1"/>
    <x:col min="16" max="16" width="16" hidden="0" customWidth="1"/>
    <x:col min="17" max="17" width="24" hidden="0" customWidth="1"/>
    <x:col min="18" max="18" width="17" hidden="0" customWidth="1"/>
    <x:col min="19" max="19" width="26" hidden="0" customWidth="1"/>
    <x:col min="20" max="20" width="20" hidden="0" customWidth="1"/>
    <x:col min="21" max="21" width="24" hidden="0" customWidth="1"/>
  </x:cols>
  <x:sheetData>
    <x:row r="2">
      <x:c r="A2" s="56" t="str">
        <x:v>Eighteen simultaneously issued, serially activated warrants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</x:row>
    <x:row r="4" ht="32" customHeight="1">
      <x:c r="A4" s="14" t="str">
        <x:v>Form</x:v>
      </x:c>
      <x:c r="B4" s="15" t="str">
        <x:v>Root</x:v>
      </x:c>
      <x:c r="C4" s="15" t="str">
        <x:v>Variant</x:v>
      </x:c>
      <x:c r="D4" s="15" t="str">
        <x:v>Candidate form</x:v>
      </x:c>
      <x:c r="E4" s="15" t="str">
        <x:v>Cohort</x:v>
      </x:c>
      <x:c r="F4" s="15" t="str">
        <x:v>Root slot</x:v>
      </x:c>
      <x:c r="G4" s="15" t="str">
        <x:v>Issue week</x:v>
      </x:c>
      <x:c r="H4" s="15" t="str">
        <x:v>Issued</x:v>
      </x:c>
      <x:c r="I4" s="15" t="str">
        <x:v>Configuration frozen</x:v>
      </x:c>
      <x:c r="J4" s="15" t="str">
        <x:v>Activation start</x:v>
      </x:c>
      <x:c r="K4" s="15" t="str">
        <x:v>Activation end</x:v>
      </x:c>
      <x:c r="L4" s="15" t="str">
        <x:v>Prior sibling end</x:v>
      </x:c>
      <x:c r="M4" s="15" t="str">
        <x:v>Nonoverlap</x:v>
      </x:c>
      <x:c r="N4" s="15" t="str">
        <x:v>Reserved USD B</x:v>
      </x:c>
      <x:c r="O4" s="15" t="str">
        <x:v>Obligated USD B</x:v>
      </x:c>
      <x:c r="P4" s="15" t="str">
        <x:v>Paid USD B</x:v>
      </x:c>
      <x:c r="Q4" s="15" t="str">
        <x:v>Accepted observations</x:v>
      </x:c>
      <x:c r="R4" s="15" t="str">
        <x:v>Selected form</x:v>
      </x:c>
      <x:c r="S4" s="15" t="str">
        <x:v>Warrant state</x:v>
      </x:c>
      <x:c r="T4" s="15" t="str">
        <x:v>Form occurrences</x:v>
      </x:c>
      <x:c r="U4" s="16" t="str">
        <x:v>Root-cohort occurrences</x:v>
      </x:c>
    </x:row>
    <x:row r="5">
      <x:c r="A5" s="59" t="str">
        <x:v>ET-A-A</x:v>
      </x:c>
      <x:c r="B5" s="59" t="str">
        <x:v>ET-A</x:v>
      </x:c>
      <x:c r="C5" s="59" t="str">
        <x:v>A</x:v>
      </x:c>
      <x:c r="D5" s="59" t="str">
        <x:v>Distributed twin-body exchange</x:v>
      </x:c>
      <x:c r="E5" s="60" t="n">
        <x:v>1</x:v>
      </x:c>
      <x:c r="F5" s="60" t="n">
        <x:v>1</x:v>
      </x:c>
      <x:c r="G5" s="60" t="n">
        <x:v>0</x:v>
      </x:c>
      <x:c r="H5" s="60" t="n">
        <x:v>1</x:v>
      </x:c>
      <x:c r="I5" s="60" t="n">
        <x:v>1</x:v>
      </x:c>
      <x:c r="J5" s="60" t="n">
        <x:f>(E5-1)*Controls!$B$11</x:f>
        <x:v>0</x:v>
      </x:c>
      <x:c r="K5" s="60" t="n">
        <x:f>J5+Controls!$B$10</x:f>
        <x:v>24</x:v>
      </x:c>
      <x:c r="L5" s="60" t="n">
        <x:f>IF(E5=1,0,SUMIFS($K$5:$K$22,$B$5:$B$22,B5,$E$5:$E$22,E5-1))</x:f>
        <x:v>0</x:v>
      </x:c>
      <x:c r="M5" s="60" t="n">
        <x:f>IF(J5&gt;=L5,1,0)</x:f>
        <x:v>1</x:v>
      </x:c>
      <x:c r="N5" s="72" t="n">
        <x:v>0.0250237309040925</x:v>
      </x:c>
      <x:c r="O5" s="72" t="n">
        <x:v>0</x:v>
      </x:c>
      <x:c r="P5" s="72" t="n">
        <x:v>0</x:v>
      </x:c>
      <x:c r="Q5" s="60" t="n">
        <x:v>0</x:v>
      </x:c>
      <x:c r="R5" s="60" t="n">
        <x:v>0</x:v>
      </x:c>
      <x:c r="S5" s="59" t="str">
        <x:f>IF(AND(G5=Controls!$B$12,H5=1,I5=1,M5=1,N5&gt;0,O5=0,P5=0,Q5=0,R5=0),"ISSUED / SCHEDULED","INVALID")</x:f>
        <x:v>ISSUED / SCHEDULED</x:v>
      </x:c>
      <x:c r="T5" s="60" t="n">
        <x:f>COUNTIFS($A$5:$A$22,A5)</x:f>
        <x:v>1</x:v>
      </x:c>
      <x:c r="U5" s="60" t="n">
        <x:f>COUNTIFS($B$5:$B$22,B5,$E$5:$E$22,E5)</x:f>
        <x:v>1</x:v>
      </x:c>
    </x:row>
    <x:row r="6">
      <x:c r="A6" s="62" t="str">
        <x:v>ET-A-B</x:v>
      </x:c>
      <x:c r="B6" s="62" t="str">
        <x:v>ET-A</x:v>
      </x:c>
      <x:c r="C6" s="62" t="str">
        <x:v>B</x:v>
      </x:c>
      <x:c r="D6" s="62" t="str">
        <x:v>Dual-chain articulated offshore spine</x:v>
      </x:c>
      <x:c r="E6" s="63" t="n">
        <x:v>2</x:v>
      </x:c>
      <x:c r="F6" s="63" t="n">
        <x:v>1</x:v>
      </x:c>
      <x:c r="G6" s="63" t="n">
        <x:v>0</x:v>
      </x:c>
      <x:c r="H6" s="63" t="n">
        <x:v>1</x:v>
      </x:c>
      <x:c r="I6" s="63" t="n">
        <x:v>1</x:v>
      </x:c>
      <x:c r="J6" s="63" t="n">
        <x:f>(E6-1)*Controls!$B$11</x:f>
        <x:v>24</x:v>
      </x:c>
      <x:c r="K6" s="63" t="n">
        <x:f>J6+Controls!$B$10</x:f>
        <x:v>48</x:v>
      </x:c>
      <x:c r="L6" s="63" t="n">
        <x:f>IF(E6=1,0,SUMIFS($K$5:$K$22,$B$5:$B$22,B6,$E$5:$E$22,E6-1))</x:f>
        <x:v>24</x:v>
      </x:c>
      <x:c r="M6" s="63" t="n">
        <x:f>IF(J6&gt;=L6,1,0)</x:f>
        <x:v>1</x:v>
      </x:c>
      <x:c r="N6" s="65" t="n">
        <x:f>INDEX('Root Reservations'!$F$5:$F$10,MATCH(B6,'Root Reservations'!$B$5:$B$10,0))/3</x:f>
        <x:v>0.0250237309040925</x:v>
      </x:c>
      <x:c r="O6" s="65" t="n">
        <x:v>0</x:v>
      </x:c>
      <x:c r="P6" s="65" t="n">
        <x:v>0</x:v>
      </x:c>
      <x:c r="Q6" s="63" t="n">
        <x:v>0</x:v>
      </x:c>
      <x:c r="R6" s="63" t="n">
        <x:v>0</x:v>
      </x:c>
      <x:c r="S6" s="62" t="str">
        <x:f>IF(AND(G6=Controls!$B$12,H6=1,I6=1,M6=1,N6&gt;0,O6=0,P6=0,Q6=0,R6=0),"ISSUED / SCHEDULED","INVALID")</x:f>
        <x:v>ISSUED / SCHEDULED</x:v>
      </x:c>
      <x:c r="T6" s="63" t="n">
        <x:f>COUNTIFS($A$5:$A$22,A6)</x:f>
        <x:v>1</x:v>
      </x:c>
      <x:c r="U6" s="63" t="n">
        <x:f>COUNTIFS($B$5:$B$22,B6,$E$5:$E$22,E6)</x:f>
        <x:v>1</x:v>
      </x:c>
    </x:row>
    <x:row r="7">
      <x:c r="A7" s="62" t="str">
        <x:v>ET-A-C</x:v>
      </x:c>
      <x:c r="B7" s="62" t="str">
        <x:v>ET-A</x:v>
      </x:c>
      <x:c r="C7" s="62" t="str">
        <x:v>C</x:v>
      </x:c>
      <x:c r="D7" s="62" t="str">
        <x:v>Split-frame semi-submersible lattice</x:v>
      </x:c>
      <x:c r="E7" s="63" t="n">
        <x:v>3</x:v>
      </x:c>
      <x:c r="F7" s="63" t="n">
        <x:v>1</x:v>
      </x:c>
      <x:c r="G7" s="63" t="n">
        <x:v>0</x:v>
      </x:c>
      <x:c r="H7" s="63" t="n">
        <x:v>1</x:v>
      </x:c>
      <x:c r="I7" s="63" t="n">
        <x:v>1</x:v>
      </x:c>
      <x:c r="J7" s="63" t="n">
        <x:f>(E7-1)*Controls!$B$11</x:f>
        <x:v>48</x:v>
      </x:c>
      <x:c r="K7" s="63" t="n">
        <x:f>J7+Controls!$B$10</x:f>
        <x:v>72</x:v>
      </x:c>
      <x:c r="L7" s="63" t="n">
        <x:f>IF(E7=1,0,SUMIFS($K$5:$K$22,$B$5:$B$22,B7,$E$5:$E$22,E7-1))</x:f>
        <x:v>48</x:v>
      </x:c>
      <x:c r="M7" s="63" t="n">
        <x:f>IF(J7&gt;=L7,1,0)</x:f>
        <x:v>1</x:v>
      </x:c>
      <x:c r="N7" s="65" t="n">
        <x:f>INDEX('Root Reservations'!$F$5:$F$10,MATCH(B7,'Root Reservations'!$B$5:$B$10,0))/3</x:f>
        <x:v>0.0250237309040925</x:v>
      </x:c>
      <x:c r="O7" s="65" t="n">
        <x:v>0</x:v>
      </x:c>
      <x:c r="P7" s="65" t="n">
        <x:v>0</x:v>
      </x:c>
      <x:c r="Q7" s="63" t="n">
        <x:v>0</x:v>
      </x:c>
      <x:c r="R7" s="63" t="n">
        <x:v>0</x:v>
      </x:c>
      <x:c r="S7" s="62" t="str">
        <x:f>IF(AND(G7=Controls!$B$12,H7=1,I7=1,M7=1,N7&gt;0,O7=0,P7=0,Q7=0,R7=0),"ISSUED / SCHEDULED","INVALID")</x:f>
        <x:v>ISSUED / SCHEDULED</x:v>
      </x:c>
      <x:c r="T7" s="63" t="n">
        <x:f>COUNTIFS($A$5:$A$22,A7)</x:f>
        <x:v>1</x:v>
      </x:c>
      <x:c r="U7" s="63" t="n">
        <x:f>COUNTIFS($B$5:$B$22,B7,$E$5:$E$22,E7)</x:f>
        <x:v>1</x:v>
      </x:c>
    </x:row>
    <x:row r="8">
      <x:c r="A8" s="62" t="str">
        <x:v>CT-C-A</x:v>
      </x:c>
      <x:c r="B8" s="62" t="str">
        <x:v>CT-C</x:v>
      </x:c>
      <x:c r="C8" s="62" t="str">
        <x:v>A</x:v>
      </x:c>
      <x:c r="D8" s="62" t="str">
        <x:v>Segmented telescoping utility spine</x:v>
      </x:c>
      <x:c r="E8" s="63" t="n">
        <x:v>3</x:v>
      </x:c>
      <x:c r="F8" s="63" t="n">
        <x:v>2</x:v>
      </x:c>
      <x:c r="G8" s="63" t="n">
        <x:v>0</x:v>
      </x:c>
      <x:c r="H8" s="63" t="n">
        <x:v>1</x:v>
      </x:c>
      <x:c r="I8" s="63" t="n">
        <x:v>1</x:v>
      </x:c>
      <x:c r="J8" s="63" t="n">
        <x:f>(E8-1)*Controls!$B$11</x:f>
        <x:v>48</x:v>
      </x:c>
      <x:c r="K8" s="63" t="n">
        <x:f>J8+Controls!$B$10</x:f>
        <x:v>72</x:v>
      </x:c>
      <x:c r="L8" s="63" t="n">
        <x:f>IF(E8=1,0,SUMIFS($K$5:$K$22,$B$5:$B$22,B8,$E$5:$E$22,E8-1))</x:f>
        <x:v>48</x:v>
      </x:c>
      <x:c r="M8" s="63" t="n">
        <x:f>IF(J8&gt;=L8,1,0)</x:f>
        <x:v>1</x:v>
      </x:c>
      <x:c r="N8" s="65" t="n">
        <x:f>INDEX('Root Reservations'!$F$5:$F$10,MATCH(B8,'Root Reservations'!$B$5:$B$10,0))/3</x:f>
        <x:v>0.025824674088698</x:v>
      </x:c>
      <x:c r="O8" s="65" t="n">
        <x:v>0</x:v>
      </x:c>
      <x:c r="P8" s="65" t="n">
        <x:v>0</x:v>
      </x:c>
      <x:c r="Q8" s="63" t="n">
        <x:v>0</x:v>
      </x:c>
      <x:c r="R8" s="63" t="n">
        <x:v>0</x:v>
      </x:c>
      <x:c r="S8" s="62" t="str">
        <x:f>IF(AND(G8=Controls!$B$12,H8=1,I8=1,M8=1,N8&gt;0,O8=0,P8=0,Q8=0,R8=0),"ISSUED / SCHEDULED","INVALID")</x:f>
        <x:v>ISSUED / SCHEDULED</x:v>
      </x:c>
      <x:c r="T8" s="63" t="n">
        <x:f>COUNTIFS($A$5:$A$22,A8)</x:f>
        <x:v>1</x:v>
      </x:c>
      <x:c r="U8" s="63" t="n">
        <x:f>COUNTIFS($B$5:$B$22,B8,$E$5:$E$22,E8)</x:f>
        <x:v>1</x:v>
      </x:c>
    </x:row>
    <x:row r="9">
      <x:c r="A9" s="62" t="str">
        <x:v>CT-C-B</x:v>
      </x:c>
      <x:c r="B9" s="62" t="str">
        <x:v>CT-C</x:v>
      </x:c>
      <x:c r="C9" s="62" t="str">
        <x:v>B</x:v>
      </x:c>
      <x:c r="D9" s="62" t="str">
        <x:v>Sectional suspended utility belt</x:v>
      </x:c>
      <x:c r="E9" s="63" t="n">
        <x:v>1</x:v>
      </x:c>
      <x:c r="F9" s="63" t="n">
        <x:v>2</x:v>
      </x:c>
      <x:c r="G9" s="63" t="n">
        <x:v>0</x:v>
      </x:c>
      <x:c r="H9" s="63" t="n">
        <x:v>1</x:v>
      </x:c>
      <x:c r="I9" s="63" t="n">
        <x:v>1</x:v>
      </x:c>
      <x:c r="J9" s="63" t="n">
        <x:f>(E9-1)*Controls!$B$11</x:f>
        <x:v>0</x:v>
      </x:c>
      <x:c r="K9" s="63" t="n">
        <x:f>J9+Controls!$B$10</x:f>
        <x:v>24</x:v>
      </x:c>
      <x:c r="L9" s="63" t="n">
        <x:f>IF(E9=1,0,SUMIFS($K$5:$K$22,$B$5:$B$22,B9,$E$5:$E$22,E9-1))</x:f>
        <x:v>0</x:v>
      </x:c>
      <x:c r="M9" s="63" t="n">
        <x:f>IF(J9&gt;=L9,1,0)</x:f>
        <x:v>1</x:v>
      </x:c>
      <x:c r="N9" s="65" t="n">
        <x:f>INDEX('Root Reservations'!$F$5:$F$10,MATCH(B9,'Root Reservations'!$B$5:$B$10,0))/3</x:f>
        <x:v>0.025824674088698</x:v>
      </x:c>
      <x:c r="O9" s="65" t="n">
        <x:v>0</x:v>
      </x:c>
      <x:c r="P9" s="65" t="n">
        <x:v>0</x:v>
      </x:c>
      <x:c r="Q9" s="63" t="n">
        <x:v>0</x:v>
      </x:c>
      <x:c r="R9" s="63" t="n">
        <x:v>0</x:v>
      </x:c>
      <x:c r="S9" s="62" t="str">
        <x:f>IF(AND(G9=Controls!$B$12,H9=1,I9=1,M9=1,N9&gt;0,O9=0,P9=0,Q9=0,R9=0),"ISSUED / SCHEDULED","INVALID")</x:f>
        <x:v>ISSUED / SCHEDULED</x:v>
      </x:c>
      <x:c r="T9" s="63" t="n">
        <x:f>COUNTIFS($A$5:$A$22,A9)</x:f>
        <x:v>1</x:v>
      </x:c>
      <x:c r="U9" s="63" t="n">
        <x:f>COUNTIFS($B$5:$B$22,B9,$E$5:$E$22,E9)</x:f>
        <x:v>1</x:v>
      </x:c>
    </x:row>
    <x:row r="10">
      <x:c r="A10" s="62" t="str">
        <x:v>CT-C-C</x:v>
      </x:c>
      <x:c r="B10" s="62" t="str">
        <x:v>CT-C</x:v>
      </x:c>
      <x:c r="C10" s="62" t="str">
        <x:v>C</x:v>
      </x:c>
      <x:c r="D10" s="62" t="str">
        <x:v>Mast-and-bridge insertion grid</x:v>
      </x:c>
      <x:c r="E10" s="63" t="n">
        <x:v>2</x:v>
      </x:c>
      <x:c r="F10" s="63" t="n">
        <x:v>2</x:v>
      </x:c>
      <x:c r="G10" s="63" t="n">
        <x:v>0</x:v>
      </x:c>
      <x:c r="H10" s="63" t="n">
        <x:v>1</x:v>
      </x:c>
      <x:c r="I10" s="63" t="n">
        <x:v>1</x:v>
      </x:c>
      <x:c r="J10" s="63" t="n">
        <x:f>(E10-1)*Controls!$B$11</x:f>
        <x:v>24</x:v>
      </x:c>
      <x:c r="K10" s="63" t="n">
        <x:f>J10+Controls!$B$10</x:f>
        <x:v>48</x:v>
      </x:c>
      <x:c r="L10" s="63" t="n">
        <x:f>IF(E10=1,0,SUMIFS($K$5:$K$22,$B$5:$B$22,B10,$E$5:$E$22,E10-1))</x:f>
        <x:v>24</x:v>
      </x:c>
      <x:c r="M10" s="63" t="n">
        <x:f>IF(J10&gt;=L10,1,0)</x:f>
        <x:v>1</x:v>
      </x:c>
      <x:c r="N10" s="65" t="n">
        <x:f>INDEX('Root Reservations'!$F$5:$F$10,MATCH(B10,'Root Reservations'!$B$5:$B$10,0))/3</x:f>
        <x:v>0.025824674088698</x:v>
      </x:c>
      <x:c r="O10" s="65" t="n">
        <x:v>0</x:v>
      </x:c>
      <x:c r="P10" s="65" t="n">
        <x:v>0</x:v>
      </x:c>
      <x:c r="Q10" s="63" t="n">
        <x:v>0</x:v>
      </x:c>
      <x:c r="R10" s="63" t="n">
        <x:v>0</x:v>
      </x:c>
      <x:c r="S10" s="62" t="str">
        <x:f>IF(AND(G10=Controls!$B$12,H10=1,I10=1,M10=1,N10&gt;0,O10=0,P10=0,Q10=0,R10=0),"ISSUED / SCHEDULED","INVALID")</x:f>
        <x:v>ISSUED / SCHEDULED</x:v>
      </x:c>
      <x:c r="T10" s="63" t="n">
        <x:f>COUNTIFS($A$5:$A$22,A10)</x:f>
        <x:v>1</x:v>
      </x:c>
      <x:c r="U10" s="63" t="n">
        <x:f>COUNTIFS($B$5:$B$22,B10,$E$5:$E$22,E10)</x:f>
        <x:v>1</x:v>
      </x:c>
    </x:row>
    <x:row r="11">
      <x:c r="A11" s="62" t="str">
        <x:v>HC-A-A</x:v>
      </x:c>
      <x:c r="B11" s="62" t="str">
        <x:v>HC-A</x:v>
      </x:c>
      <x:c r="C11" s="62" t="str">
        <x:v>A</x:v>
      </x:c>
      <x:c r="D11" s="62" t="str">
        <x:v>Independent winged sector cells</x:v>
      </x:c>
      <x:c r="E11" s="63" t="n">
        <x:v>2</x:v>
      </x:c>
      <x:c r="F11" s="63" t="n">
        <x:v>3</x:v>
      </x:c>
      <x:c r="G11" s="63" t="n">
        <x:v>0</x:v>
      </x:c>
      <x:c r="H11" s="63" t="n">
        <x:v>1</x:v>
      </x:c>
      <x:c r="I11" s="63" t="n">
        <x:v>1</x:v>
      </x:c>
      <x:c r="J11" s="63" t="n">
        <x:f>(E11-1)*Controls!$B$11</x:f>
        <x:v>24</x:v>
      </x:c>
      <x:c r="K11" s="63" t="n">
        <x:f>J11+Controls!$B$10</x:f>
        <x:v>48</x:v>
      </x:c>
      <x:c r="L11" s="63" t="n">
        <x:f>IF(E11=1,0,SUMIFS($K$5:$K$22,$B$5:$B$22,B11,$E$5:$E$22,E11-1))</x:f>
        <x:v>24</x:v>
      </x:c>
      <x:c r="M11" s="63" t="n">
        <x:f>IF(J11&gt;=L11,1,0)</x:f>
        <x:v>1</x:v>
      </x:c>
      <x:c r="N11" s="65" t="n">
        <x:f>INDEX('Root Reservations'!$F$5:$F$10,MATCH(B11,'Root Reservations'!$B$5:$B$10,0))/3</x:f>
        <x:v>0.015361082703356649</x:v>
      </x:c>
      <x:c r="O11" s="65" t="n">
        <x:v>0</x:v>
      </x:c>
      <x:c r="P11" s="65" t="n">
        <x:v>0</x:v>
      </x:c>
      <x:c r="Q11" s="63" t="n">
        <x:v>0</x:v>
      </x:c>
      <x:c r="R11" s="63" t="n">
        <x:v>0</x:v>
      </x:c>
      <x:c r="S11" s="62" t="str">
        <x:f>IF(AND(G11=Controls!$B$12,H11=1,I11=1,M11=1,N11&gt;0,O11=0,P11=0,Q11=0,R11=0),"ISSUED / SCHEDULED","INVALID")</x:f>
        <x:v>ISSUED / SCHEDULED</x:v>
      </x:c>
      <x:c r="T11" s="63" t="n">
        <x:f>COUNTIFS($A$5:$A$22,A11)</x:f>
        <x:v>1</x:v>
      </x:c>
      <x:c r="U11" s="63" t="n">
        <x:f>COUNTIFS($B$5:$B$22,B11,$E$5:$E$22,E11)</x:f>
        <x:v>1</x:v>
      </x:c>
    </x:row>
    <x:row r="12">
      <x:c r="A12" s="62" t="str">
        <x:v>HC-A-B</x:v>
      </x:c>
      <x:c r="B12" s="62" t="str">
        <x:v>HC-A</x:v>
      </x:c>
      <x:c r="C12" s="62" t="str">
        <x:v>B</x:v>
      </x:c>
      <x:c r="D12" s="62" t="str">
        <x:v>Independent aerostat sector cells</x:v>
      </x:c>
      <x:c r="E12" s="63" t="n">
        <x:v>3</x:v>
      </x:c>
      <x:c r="F12" s="63" t="n">
        <x:v>3</x:v>
      </x:c>
      <x:c r="G12" s="63" t="n">
        <x:v>0</x:v>
      </x:c>
      <x:c r="H12" s="63" t="n">
        <x:v>1</x:v>
      </x:c>
      <x:c r="I12" s="63" t="n">
        <x:v>1</x:v>
      </x:c>
      <x:c r="J12" s="63" t="n">
        <x:f>(E12-1)*Controls!$B$11</x:f>
        <x:v>48</x:v>
      </x:c>
      <x:c r="K12" s="63" t="n">
        <x:f>J12+Controls!$B$10</x:f>
        <x:v>72</x:v>
      </x:c>
      <x:c r="L12" s="63" t="n">
        <x:f>IF(E12=1,0,SUMIFS($K$5:$K$22,$B$5:$B$22,B12,$E$5:$E$22,E12-1))</x:f>
        <x:v>48</x:v>
      </x:c>
      <x:c r="M12" s="63" t="n">
        <x:f>IF(J12&gt;=L12,1,0)</x:f>
        <x:v>1</x:v>
      </x:c>
      <x:c r="N12" s="65" t="n">
        <x:f>INDEX('Root Reservations'!$F$5:$F$10,MATCH(B12,'Root Reservations'!$B$5:$B$10,0))/3</x:f>
        <x:v>0.015361082703356649</x:v>
      </x:c>
      <x:c r="O12" s="65" t="n">
        <x:v>0</x:v>
      </x:c>
      <x:c r="P12" s="65" t="n">
        <x:v>0</x:v>
      </x:c>
      <x:c r="Q12" s="63" t="n">
        <x:v>0</x:v>
      </x:c>
      <x:c r="R12" s="63" t="n">
        <x:v>0</x:v>
      </x:c>
      <x:c r="S12" s="62" t="str">
        <x:f>IF(AND(G12=Controls!$B$12,H12=1,I12=1,M12=1,N12&gt;0,O12=0,P12=0,Q12=0,R12=0),"ISSUED / SCHEDULED","INVALID")</x:f>
        <x:v>ISSUED / SCHEDULED</x:v>
      </x:c>
      <x:c r="T12" s="63" t="n">
        <x:f>COUNTIFS($A$5:$A$22,A12)</x:f>
        <x:v>1</x:v>
      </x:c>
      <x:c r="U12" s="63" t="n">
        <x:f>COUNTIFS($B$5:$B$22,B12,$E$5:$E$22,E12)</x:f>
        <x:v>1</x:v>
      </x:c>
    </x:row>
    <x:row r="13">
      <x:c r="A13" s="62" t="str">
        <x:v>HC-A-C</x:v>
      </x:c>
      <x:c r="B13" s="62" t="str">
        <x:v>HC-A</x:v>
      </x:c>
      <x:c r="C13" s="62" t="str">
        <x:v>C</x:v>
      </x:c>
      <x:c r="D13" s="62" t="str">
        <x:v>Distributed rotorborne cells</x:v>
      </x:c>
      <x:c r="E13" s="63" t="n">
        <x:v>1</x:v>
      </x:c>
      <x:c r="F13" s="63" t="n">
        <x:v>3</x:v>
      </x:c>
      <x:c r="G13" s="63" t="n">
        <x:v>0</x:v>
      </x:c>
      <x:c r="H13" s="63" t="n">
        <x:v>1</x:v>
      </x:c>
      <x:c r="I13" s="63" t="n">
        <x:v>1</x:v>
      </x:c>
      <x:c r="J13" s="63" t="n">
        <x:f>(E13-1)*Controls!$B$11</x:f>
        <x:v>0</x:v>
      </x:c>
      <x:c r="K13" s="63" t="n">
        <x:f>J13+Controls!$B$10</x:f>
        <x:v>24</x:v>
      </x:c>
      <x:c r="L13" s="63" t="n">
        <x:f>IF(E13=1,0,SUMIFS($K$5:$K$22,$B$5:$B$22,B13,$E$5:$E$22,E13-1))</x:f>
        <x:v>0</x:v>
      </x:c>
      <x:c r="M13" s="63" t="n">
        <x:f>IF(J13&gt;=L13,1,0)</x:f>
        <x:v>1</x:v>
      </x:c>
      <x:c r="N13" s="65" t="n">
        <x:f>INDEX('Root Reservations'!$F$5:$F$10,MATCH(B13,'Root Reservations'!$B$5:$B$10,0))/3</x:f>
        <x:v>0.015361082703356649</x:v>
      </x:c>
      <x:c r="O13" s="65" t="n">
        <x:v>0</x:v>
      </x:c>
      <x:c r="P13" s="65" t="n">
        <x:v>0</x:v>
      </x:c>
      <x:c r="Q13" s="63" t="n">
        <x:v>0</x:v>
      </x:c>
      <x:c r="R13" s="63" t="n">
        <x:v>0</x:v>
      </x:c>
      <x:c r="S13" s="62" t="str">
        <x:f>IF(AND(G13=Controls!$B$12,H13=1,I13=1,M13=1,N13&gt;0,O13=0,P13=0,Q13=0,R13=0),"ISSUED / SCHEDULED","INVALID")</x:f>
        <x:v>ISSUED / SCHEDULED</x:v>
      </x:c>
      <x:c r="T13" s="63" t="n">
        <x:f>COUNTIFS($A$5:$A$22,A13)</x:f>
        <x:v>1</x:v>
      </x:c>
      <x:c r="U13" s="63" t="n">
        <x:f>COUNTIFS($B$5:$B$22,B13,$E$5:$E$22,E13)</x:f>
        <x:v>1</x:v>
      </x:c>
    </x:row>
    <x:row r="14">
      <x:c r="A14" s="62" t="str">
        <x:v>LF-B-A</x:v>
      </x:c>
      <x:c r="B14" s="62" t="str">
        <x:v>LF-B</x:v>
      </x:c>
      <x:c r="C14" s="62" t="str">
        <x:v>A</x:v>
      </x:c>
      <x:c r="D14" s="62" t="str">
        <x:v>Cellular radial multi-bore field</x:v>
      </x:c>
      <x:c r="E14" s="63" t="n">
        <x:v>1</x:v>
      </x:c>
      <x:c r="F14" s="63" t="n">
        <x:v>4</x:v>
      </x:c>
      <x:c r="G14" s="63" t="n">
        <x:v>0</x:v>
      </x:c>
      <x:c r="H14" s="63" t="n">
        <x:v>1</x:v>
      </x:c>
      <x:c r="I14" s="63" t="n">
        <x:v>1</x:v>
      </x:c>
      <x:c r="J14" s="63" t="n">
        <x:f>(E14-1)*Controls!$B$11</x:f>
        <x:v>0</x:v>
      </x:c>
      <x:c r="K14" s="63" t="n">
        <x:f>J14+Controls!$B$10</x:f>
        <x:v>24</x:v>
      </x:c>
      <x:c r="L14" s="63" t="n">
        <x:f>IF(E14=1,0,SUMIFS($K$5:$K$22,$B$5:$B$22,B14,$E$5:$E$22,E14-1))</x:f>
        <x:v>0</x:v>
      </x:c>
      <x:c r="M14" s="63" t="n">
        <x:f>IF(J14&gt;=L14,1,0)</x:f>
        <x:v>1</x:v>
      </x:c>
      <x:c r="N14" s="65" t="n">
        <x:f>INDEX('Root Reservations'!$F$5:$F$10,MATCH(B14,'Root Reservations'!$B$5:$B$10,0))/3</x:f>
        <x:v>0.04497064096602826</x:v>
      </x:c>
      <x:c r="O14" s="65" t="n">
        <x:v>0</x:v>
      </x:c>
      <x:c r="P14" s="65" t="n">
        <x:v>0</x:v>
      </x:c>
      <x:c r="Q14" s="63" t="n">
        <x:v>0</x:v>
      </x:c>
      <x:c r="R14" s="63" t="n">
        <x:v>0</x:v>
      </x:c>
      <x:c r="S14" s="62" t="str">
        <x:f>IF(AND(G14=Controls!$B$12,H14=1,I14=1,M14=1,N14&gt;0,O14=0,P14=0,Q14=0,R14=0),"ISSUED / SCHEDULED","INVALID")</x:f>
        <x:v>ISSUED / SCHEDULED</x:v>
      </x:c>
      <x:c r="T14" s="63" t="n">
        <x:f>COUNTIFS($A$5:$A$22,A14)</x:f>
        <x:v>1</x:v>
      </x:c>
      <x:c r="U14" s="63" t="n">
        <x:f>COUNTIFS($B$5:$B$22,B14,$E$5:$E$22,E14)</x:f>
        <x:v>1</x:v>
      </x:c>
    </x:row>
    <x:row r="15">
      <x:c r="A15" s="62" t="str">
        <x:v>LF-B-B</x:v>
      </x:c>
      <x:c r="B15" s="62" t="str">
        <x:v>LF-B</x:v>
      </x:c>
      <x:c r="C15" s="62" t="str">
        <x:v>B</x:v>
      </x:c>
      <x:c r="D15" s="62" t="str">
        <x:v>Dual-basin roadless source train</x:v>
      </x:c>
      <x:c r="E15" s="63" t="n">
        <x:v>3</x:v>
      </x:c>
      <x:c r="F15" s="63" t="n">
        <x:v>4</x:v>
      </x:c>
      <x:c r="G15" s="63" t="n">
        <x:v>0</x:v>
      </x:c>
      <x:c r="H15" s="63" t="n">
        <x:v>1</x:v>
      </x:c>
      <x:c r="I15" s="63" t="n">
        <x:v>1</x:v>
      </x:c>
      <x:c r="J15" s="63" t="n">
        <x:f>(E15-1)*Controls!$B$11</x:f>
        <x:v>48</x:v>
      </x:c>
      <x:c r="K15" s="63" t="n">
        <x:f>J15+Controls!$B$10</x:f>
        <x:v>72</x:v>
      </x:c>
      <x:c r="L15" s="63" t="n">
        <x:f>IF(E15=1,0,SUMIFS($K$5:$K$22,$B$5:$B$22,B15,$E$5:$E$22,E15-1))</x:f>
        <x:v>48</x:v>
      </x:c>
      <x:c r="M15" s="63" t="n">
        <x:f>IF(J15&gt;=L15,1,0)</x:f>
        <x:v>1</x:v>
      </x:c>
      <x:c r="N15" s="65" t="n">
        <x:f>INDEX('Root Reservations'!$F$5:$F$10,MATCH(B15,'Root Reservations'!$B$5:$B$10,0))/3</x:f>
        <x:v>0.04497064096602826</x:v>
      </x:c>
      <x:c r="O15" s="65" t="n">
        <x:v>0</x:v>
      </x:c>
      <x:c r="P15" s="65" t="n">
        <x:v>0</x:v>
      </x:c>
      <x:c r="Q15" s="63" t="n">
        <x:v>0</x:v>
      </x:c>
      <x:c r="R15" s="63" t="n">
        <x:v>0</x:v>
      </x:c>
      <x:c r="S15" s="62" t="str">
        <x:f>IF(AND(G15=Controls!$B$12,H15=1,I15=1,M15=1,N15&gt;0,O15=0,P15=0,Q15=0,R15=0),"ISSUED / SCHEDULED","INVALID")</x:f>
        <x:v>ISSUED / SCHEDULED</x:v>
      </x:c>
      <x:c r="T15" s="63" t="n">
        <x:f>COUNTIFS($A$5:$A$22,A15)</x:f>
        <x:v>1</x:v>
      </x:c>
      <x:c r="U15" s="63" t="n">
        <x:f>COUNTIFS($B$5:$B$22,B15,$E$5:$E$22,E15)</x:f>
        <x:v>1</x:v>
      </x:c>
    </x:row>
    <x:row r="16">
      <x:c r="A16" s="62" t="str">
        <x:v>LF-B-C</x:v>
      </x:c>
      <x:c r="B16" s="62" t="str">
        <x:v>LF-B</x:v>
      </x:c>
      <x:c r="C16" s="62" t="str">
        <x:v>C</x:v>
      </x:c>
      <x:c r="D16" s="62" t="str">
        <x:v>Nearshore caisson source archipelago</x:v>
      </x:c>
      <x:c r="E16" s="63" t="n">
        <x:v>2</x:v>
      </x:c>
      <x:c r="F16" s="63" t="n">
        <x:v>4</x:v>
      </x:c>
      <x:c r="G16" s="63" t="n">
        <x:v>0</x:v>
      </x:c>
      <x:c r="H16" s="63" t="n">
        <x:v>1</x:v>
      </x:c>
      <x:c r="I16" s="63" t="n">
        <x:v>1</x:v>
      </x:c>
      <x:c r="J16" s="63" t="n">
        <x:f>(E16-1)*Controls!$B$11</x:f>
        <x:v>24</x:v>
      </x:c>
      <x:c r="K16" s="63" t="n">
        <x:f>J16+Controls!$B$10</x:f>
        <x:v>48</x:v>
      </x:c>
      <x:c r="L16" s="63" t="n">
        <x:f>IF(E16=1,0,SUMIFS($K$5:$K$22,$B$5:$B$22,B16,$E$5:$E$22,E16-1))</x:f>
        <x:v>24</x:v>
      </x:c>
      <x:c r="M16" s="63" t="n">
        <x:f>IF(J16&gt;=L16,1,0)</x:f>
        <x:v>1</x:v>
      </x:c>
      <x:c r="N16" s="65" t="n">
        <x:f>INDEX('Root Reservations'!$F$5:$F$10,MATCH(B16,'Root Reservations'!$B$5:$B$10,0))/3</x:f>
        <x:v>0.04497064096602826</x:v>
      </x:c>
      <x:c r="O16" s="65" t="n">
        <x:v>0</x:v>
      </x:c>
      <x:c r="P16" s="65" t="n">
        <x:v>0</x:v>
      </x:c>
      <x:c r="Q16" s="63" t="n">
        <x:v>0</x:v>
      </x:c>
      <x:c r="R16" s="63" t="n">
        <x:v>0</x:v>
      </x:c>
      <x:c r="S16" s="62" t="str">
        <x:f>IF(AND(G16=Controls!$B$12,H16=1,I16=1,M16=1,N16&gt;0,O16=0,P16=0,Q16=0,R16=0),"ISSUED / SCHEDULED","INVALID")</x:f>
        <x:v>ISSUED / SCHEDULED</x:v>
      </x:c>
      <x:c r="T16" s="63" t="n">
        <x:f>COUNTIFS($A$5:$A$22,A16)</x:f>
        <x:v>1</x:v>
      </x:c>
      <x:c r="U16" s="63" t="n">
        <x:f>COUNTIFS($B$5:$B$22,B16,$E$5:$E$22,E16)</x:f>
        <x:v>1</x:v>
      </x:c>
    </x:row>
    <x:row r="17">
      <x:c r="A17" s="62" t="str">
        <x:v>HU-A-A</x:v>
      </x:c>
      <x:c r="B17" s="62" t="str">
        <x:v>HU-A</x:v>
      </x:c>
      <x:c r="C17" s="62" t="str">
        <x:v>A</x:v>
      </x:c>
      <x:c r="D17" s="62" t="str">
        <x:v>Utility-separated clinical courtyards</x:v>
      </x:c>
      <x:c r="E17" s="63" t="n">
        <x:v>2</x:v>
      </x:c>
      <x:c r="F17" s="63" t="n">
        <x:v>5</x:v>
      </x:c>
      <x:c r="G17" s="63" t="n">
        <x:v>0</x:v>
      </x:c>
      <x:c r="H17" s="63" t="n">
        <x:v>1</x:v>
      </x:c>
      <x:c r="I17" s="63" t="n">
        <x:v>1</x:v>
      </x:c>
      <x:c r="J17" s="63" t="n">
        <x:f>(E17-1)*Controls!$B$11</x:f>
        <x:v>24</x:v>
      </x:c>
      <x:c r="K17" s="63" t="n">
        <x:f>J17+Controls!$B$10</x:f>
        <x:v>48</x:v>
      </x:c>
      <x:c r="L17" s="63" t="n">
        <x:f>IF(E17=1,0,SUMIFS($K$5:$K$22,$B$5:$B$22,B17,$E$5:$E$22,E17-1))</x:f>
        <x:v>24</x:v>
      </x:c>
      <x:c r="M17" s="63" t="n">
        <x:f>IF(J17&gt;=L17,1,0)</x:f>
        <x:v>1</x:v>
      </x:c>
      <x:c r="N17" s="65" t="n">
        <x:f>INDEX('Root Reservations'!$F$5:$F$10,MATCH(B17,'Root Reservations'!$B$5:$B$10,0))/3</x:f>
        <x:v>0.043035622647054746</x:v>
      </x:c>
      <x:c r="O17" s="65" t="n">
        <x:v>0</x:v>
      </x:c>
      <x:c r="P17" s="65" t="n">
        <x:v>0</x:v>
      </x:c>
      <x:c r="Q17" s="63" t="n">
        <x:v>0</x:v>
      </x:c>
      <x:c r="R17" s="63" t="n">
        <x:v>0</x:v>
      </x:c>
      <x:c r="S17" s="62" t="str">
        <x:f>IF(AND(G17=Controls!$B$12,H17=1,I17=1,M17=1,N17&gt;0,O17=0,P17=0,Q17=0,R17=0),"ISSUED / SCHEDULED","INVALID")</x:f>
        <x:v>ISSUED / SCHEDULED</x:v>
      </x:c>
      <x:c r="T17" s="63" t="n">
        <x:f>COUNTIFS($A$5:$A$22,A17)</x:f>
        <x:v>1</x:v>
      </x:c>
      <x:c r="U17" s="63" t="n">
        <x:f>COUNTIFS($B$5:$B$22,B17,$E$5:$E$22,E17)</x:f>
        <x:v>1</x:v>
      </x:c>
    </x:row>
    <x:row r="18">
      <x:c r="A18" s="62" t="str">
        <x:v>HU-A-B</x:v>
      </x:c>
      <x:c r="B18" s="62" t="str">
        <x:v>HU-A</x:v>
      </x:c>
      <x:c r="C18" s="62" t="str">
        <x:v>B</x:v>
      </x:c>
      <x:c r="D18" s="62" t="str">
        <x:v>Sectional bypassed care spine</x:v>
      </x:c>
      <x:c r="E18" s="63" t="n">
        <x:v>1</x:v>
      </x:c>
      <x:c r="F18" s="63" t="n">
        <x:v>5</x:v>
      </x:c>
      <x:c r="G18" s="63" t="n">
        <x:v>0</x:v>
      </x:c>
      <x:c r="H18" s="63" t="n">
        <x:v>1</x:v>
      </x:c>
      <x:c r="I18" s="63" t="n">
        <x:v>1</x:v>
      </x:c>
      <x:c r="J18" s="63" t="n">
        <x:f>(E18-1)*Controls!$B$11</x:f>
        <x:v>0</x:v>
      </x:c>
      <x:c r="K18" s="63" t="n">
        <x:f>J18+Controls!$B$10</x:f>
        <x:v>24</x:v>
      </x:c>
      <x:c r="L18" s="63" t="n">
        <x:f>IF(E18=1,0,SUMIFS($K$5:$K$22,$B$5:$B$22,B18,$E$5:$E$22,E18-1))</x:f>
        <x:v>0</x:v>
      </x:c>
      <x:c r="M18" s="63" t="n">
        <x:f>IF(J18&gt;=L18,1,0)</x:f>
        <x:v>1</x:v>
      </x:c>
      <x:c r="N18" s="65" t="n">
        <x:f>INDEX('Root Reservations'!$F$5:$F$10,MATCH(B18,'Root Reservations'!$B$5:$B$10,0))/3</x:f>
        <x:v>0.043035622647054746</x:v>
      </x:c>
      <x:c r="O18" s="65" t="n">
        <x:v>0</x:v>
      </x:c>
      <x:c r="P18" s="65" t="n">
        <x:v>0</x:v>
      </x:c>
      <x:c r="Q18" s="63" t="n">
        <x:v>0</x:v>
      </x:c>
      <x:c r="R18" s="63" t="n">
        <x:v>0</x:v>
      </x:c>
      <x:c r="S18" s="62" t="str">
        <x:f>IF(AND(G18=Controls!$B$12,H18=1,I18=1,M18=1,N18&gt;0,O18=0,P18=0,Q18=0,R18=0),"ISSUED / SCHEDULED","INVALID")</x:f>
        <x:v>ISSUED / SCHEDULED</x:v>
      </x:c>
      <x:c r="T18" s="63" t="n">
        <x:f>COUNTIFS($A$5:$A$22,A18)</x:f>
        <x:v>1</x:v>
      </x:c>
      <x:c r="U18" s="63" t="n">
        <x:f>COUNTIFS($B$5:$B$22,B18,$E$5:$E$22,E18)</x:f>
        <x:v>1</x:v>
      </x:c>
    </x:row>
    <x:row r="19">
      <x:c r="A19" s="62" t="str">
        <x:v>HU-A-C</x:v>
      </x:c>
      <x:c r="B19" s="62" t="str">
        <x:v>HU-A</x:v>
      </x:c>
      <x:c r="C19" s="62" t="str">
        <x:v>C</x:v>
      </x:c>
      <x:c r="D19" s="62" t="str">
        <x:v>Paired clinical metabolism towers</x:v>
      </x:c>
      <x:c r="E19" s="63" t="n">
        <x:v>3</x:v>
      </x:c>
      <x:c r="F19" s="63" t="n">
        <x:v>5</x:v>
      </x:c>
      <x:c r="G19" s="63" t="n">
        <x:v>0</x:v>
      </x:c>
      <x:c r="H19" s="63" t="n">
        <x:v>1</x:v>
      </x:c>
      <x:c r="I19" s="63" t="n">
        <x:v>1</x:v>
      </x:c>
      <x:c r="J19" s="63" t="n">
        <x:f>(E19-1)*Controls!$B$11</x:f>
        <x:v>48</x:v>
      </x:c>
      <x:c r="K19" s="63" t="n">
        <x:f>J19+Controls!$B$10</x:f>
        <x:v>72</x:v>
      </x:c>
      <x:c r="L19" s="63" t="n">
        <x:f>IF(E19=1,0,SUMIFS($K$5:$K$22,$B$5:$B$22,B19,$E$5:$E$22,E19-1))</x:f>
        <x:v>48</x:v>
      </x:c>
      <x:c r="M19" s="63" t="n">
        <x:f>IF(J19&gt;=L19,1,0)</x:f>
        <x:v>1</x:v>
      </x:c>
      <x:c r="N19" s="65" t="n">
        <x:f>INDEX('Root Reservations'!$F$5:$F$10,MATCH(B19,'Root Reservations'!$B$5:$B$10,0))/3</x:f>
        <x:v>0.043035622647054746</x:v>
      </x:c>
      <x:c r="O19" s="65" t="n">
        <x:v>0</x:v>
      </x:c>
      <x:c r="P19" s="65" t="n">
        <x:v>0</x:v>
      </x:c>
      <x:c r="Q19" s="63" t="n">
        <x:v>0</x:v>
      </x:c>
      <x:c r="R19" s="63" t="n">
        <x:v>0</x:v>
      </x:c>
      <x:c r="S19" s="62" t="str">
        <x:f>IF(AND(G19=Controls!$B$12,H19=1,I19=1,M19=1,N19&gt;0,O19=0,P19=0,Q19=0,R19=0),"ISSUED / SCHEDULED","INVALID")</x:f>
        <x:v>ISSUED / SCHEDULED</x:v>
      </x:c>
      <x:c r="T19" s="63" t="n">
        <x:f>COUNTIFS($A$5:$A$22,A19)</x:f>
        <x:v>1</x:v>
      </x:c>
      <x:c r="U19" s="63" t="n">
        <x:f>COUNTIFS($B$5:$B$22,B19,$E$5:$E$22,E19)</x:f>
        <x:v>1</x:v>
      </x:c>
    </x:row>
    <x:row r="20">
      <x:c r="A20" s="62" t="str">
        <x:v>RT-B-A</x:v>
      </x:c>
      <x:c r="B20" s="62" t="str">
        <x:v>RT-B</x:v>
      </x:c>
      <x:c r="C20" s="62" t="str">
        <x:v>A</x:v>
      </x:c>
      <x:c r="D20" s="62" t="str">
        <x:v>Distributed container process mesh</x:v>
      </x:c>
      <x:c r="E20" s="63" t="n">
        <x:v>3</x:v>
      </x:c>
      <x:c r="F20" s="63" t="n">
        <x:v>6</x:v>
      </x:c>
      <x:c r="G20" s="63" t="n">
        <x:v>0</x:v>
      </x:c>
      <x:c r="H20" s="63" t="n">
        <x:v>1</x:v>
      </x:c>
      <x:c r="I20" s="63" t="n">
        <x:v>1</x:v>
      </x:c>
      <x:c r="J20" s="63" t="n">
        <x:f>(E20-1)*Controls!$B$11</x:f>
        <x:v>48</x:v>
      </x:c>
      <x:c r="K20" s="63" t="n">
        <x:f>J20+Controls!$B$10</x:f>
        <x:v>72</x:v>
      </x:c>
      <x:c r="L20" s="63" t="n">
        <x:f>IF(E20=1,0,SUMIFS($K$5:$K$22,$B$5:$B$22,B20,$E$5:$E$22,E20-1))</x:f>
        <x:v>48</x:v>
      </x:c>
      <x:c r="M20" s="63" t="n">
        <x:f>IF(J20&gt;=L20,1,0)</x:f>
        <x:v>1</x:v>
      </x:c>
      <x:c r="N20" s="65" t="n">
        <x:f>INDEX('Root Reservations'!$F$5:$F$10,MATCH(B20,'Root Reservations'!$B$5:$B$10,0))/3</x:f>
        <x:v>0.025129889656798146</x:v>
      </x:c>
      <x:c r="O20" s="65" t="n">
        <x:v>0</x:v>
      </x:c>
      <x:c r="P20" s="65" t="n">
        <x:v>0</x:v>
      </x:c>
      <x:c r="Q20" s="63" t="n">
        <x:v>0</x:v>
      </x:c>
      <x:c r="R20" s="63" t="n">
        <x:v>0</x:v>
      </x:c>
      <x:c r="S20" s="62" t="str">
        <x:f>IF(AND(G20=Controls!$B$12,H20=1,I20=1,M20=1,N20&gt;0,O20=0,P20=0,Q20=0,R20=0),"ISSUED / SCHEDULED","INVALID")</x:f>
        <x:v>ISSUED / SCHEDULED</x:v>
      </x:c>
      <x:c r="T20" s="63" t="n">
        <x:f>COUNTIFS($A$5:$A$22,A20)</x:f>
        <x:v>1</x:v>
      </x:c>
      <x:c r="U20" s="63" t="n">
        <x:f>COUNTIFS($B$5:$B$22,B20,$E$5:$E$22,E20)</x:f>
        <x:v>1</x:v>
      </x:c>
    </x:row>
    <x:row r="21">
      <x:c r="A21" s="62" t="str">
        <x:v>RT-B-B</x:v>
      </x:c>
      <x:c r="B21" s="62" t="str">
        <x:v>RT-B</x:v>
      </x:c>
      <x:c r="C21" s="62" t="str">
        <x:v>B</x:v>
      </x:c>
      <x:c r="D21" s="62" t="str">
        <x:v>Five-petal independent clean-core ring</x:v>
      </x:c>
      <x:c r="E21" s="63" t="n">
        <x:v>2</x:v>
      </x:c>
      <x:c r="F21" s="63" t="n">
        <x:v>6</x:v>
      </x:c>
      <x:c r="G21" s="63" t="n">
        <x:v>0</x:v>
      </x:c>
      <x:c r="H21" s="63" t="n">
        <x:v>1</x:v>
      </x:c>
      <x:c r="I21" s="63" t="n">
        <x:v>1</x:v>
      </x:c>
      <x:c r="J21" s="63" t="n">
        <x:f>(E21-1)*Controls!$B$11</x:f>
        <x:v>24</x:v>
      </x:c>
      <x:c r="K21" s="63" t="n">
        <x:f>J21+Controls!$B$10</x:f>
        <x:v>48</x:v>
      </x:c>
      <x:c r="L21" s="63" t="n">
        <x:f>IF(E21=1,0,SUMIFS($K$5:$K$22,$B$5:$B$22,B21,$E$5:$E$22,E21-1))</x:f>
        <x:v>24</x:v>
      </x:c>
      <x:c r="M21" s="63" t="n">
        <x:f>IF(J21&gt;=L21,1,0)</x:f>
        <x:v>1</x:v>
      </x:c>
      <x:c r="N21" s="65" t="n">
        <x:f>INDEX('Root Reservations'!$F$5:$F$10,MATCH(B21,'Root Reservations'!$B$5:$B$10,0))/3</x:f>
        <x:v>0.025129889656798146</x:v>
      </x:c>
      <x:c r="O21" s="65" t="n">
        <x:v>0</x:v>
      </x:c>
      <x:c r="P21" s="65" t="n">
        <x:v>0</x:v>
      </x:c>
      <x:c r="Q21" s="63" t="n">
        <x:v>0</x:v>
      </x:c>
      <x:c r="R21" s="63" t="n">
        <x:v>0</x:v>
      </x:c>
      <x:c r="S21" s="62" t="str">
        <x:f>IF(AND(G21=Controls!$B$12,H21=1,I21=1,M21=1,N21&gt;0,O21=0,P21=0,Q21=0,R21=0),"ISSUED / SCHEDULED","INVALID")</x:f>
        <x:v>ISSUED / SCHEDULED</x:v>
      </x:c>
      <x:c r="T21" s="63" t="n">
        <x:f>COUNTIFS($A$5:$A$22,A21)</x:f>
        <x:v>1</x:v>
      </x:c>
      <x:c r="U21" s="63" t="n">
        <x:f>COUNTIFS($B$5:$B$22,B21,$E$5:$E$22,E21)</x:f>
        <x:v>1</x:v>
      </x:c>
    </x:row>
    <x:row r="22">
      <x:c r="A22" s="66" t="str">
        <x:v>RT-B-C</x:v>
      </x:c>
      <x:c r="B22" s="66" t="str">
        <x:v>RT-B</x:v>
      </x:c>
      <x:c r="C22" s="66" t="str">
        <x:v>C</x:v>
      </x:c>
      <x:c r="D22" s="66" t="str">
        <x:v>Parallel mobile microfactory trainlets</x:v>
      </x:c>
      <x:c r="E22" s="64" t="n">
        <x:v>1</x:v>
      </x:c>
      <x:c r="F22" s="64" t="n">
        <x:v>6</x:v>
      </x:c>
      <x:c r="G22" s="64" t="n">
        <x:v>0</x:v>
      </x:c>
      <x:c r="H22" s="64" t="n">
        <x:v>1</x:v>
      </x:c>
      <x:c r="I22" s="64" t="n">
        <x:v>1</x:v>
      </x:c>
      <x:c r="J22" s="64" t="n">
        <x:f>(E22-1)*Controls!$B$11</x:f>
        <x:v>0</x:v>
      </x:c>
      <x:c r="K22" s="64" t="n">
        <x:f>J22+Controls!$B$10</x:f>
        <x:v>24</x:v>
      </x:c>
      <x:c r="L22" s="64" t="n">
        <x:f>IF(E22=1,0,SUMIFS($K$5:$K$22,$B$5:$B$22,B22,$E$5:$E$22,E22-1))</x:f>
        <x:v>0</x:v>
      </x:c>
      <x:c r="M22" s="64" t="n">
        <x:f>IF(J22&gt;=L22,1,0)</x:f>
        <x:v>1</x:v>
      </x:c>
      <x:c r="N22" s="73" t="n">
        <x:f>INDEX('Root Reservations'!$F$5:$F$10,MATCH(B22,'Root Reservations'!$B$5:$B$10,0))/3</x:f>
        <x:v>0.025129889656798146</x:v>
      </x:c>
      <x:c r="O22" s="73" t="n">
        <x:v>0</x:v>
      </x:c>
      <x:c r="P22" s="73" t="n">
        <x:v>0</x:v>
      </x:c>
      <x:c r="Q22" s="64" t="n">
        <x:v>0</x:v>
      </x:c>
      <x:c r="R22" s="64" t="n">
        <x:v>0</x:v>
      </x:c>
      <x:c r="S22" s="66" t="str">
        <x:f>IF(AND(G22=Controls!$B$12,H22=1,I22=1,M22=1,N22&gt;0,O22=0,P22=0,Q22=0,R22=0),"ISSUED / SCHEDULED","INVALID")</x:f>
        <x:v>ISSUED / SCHEDULED</x:v>
      </x:c>
      <x:c r="T22" s="64" t="n">
        <x:f>COUNTIFS($A$5:$A$22,A22)</x:f>
        <x:v>1</x:v>
      </x:c>
      <x:c r="U22" s="64" t="n">
        <x:f>COUNTIFS($B$5:$B$22,B22,$E$5:$E$22,E22)</x:f>
        <x:v>1</x:v>
      </x:c>
    </x:row>
  </x:sheetData>
  <x:mergeCells>
    <x:mergeCell ref="A2:U2"/>
  </x:mergeCells>
  <x:conditionalFormatting sqref="S5:S22">
    <x:cfRule type="containsText" dxfId="1" priority="1" operator="containsText" text="INVALI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8" hidden="0" customWidth="1"/>
    <x:col min="11" max="11" width="20" hidden="0" customWidth="1"/>
    <x:col min="12" max="12" width="23" hidden="0" customWidth="1"/>
    <x:col min="13" max="13" width="20" hidden="0" customWidth="1"/>
    <x:col min="14" max="14" width="18" hidden="0" customWidth="1"/>
    <x:col min="15" max="15" width="18" hidden="0" customWidth="1"/>
    <x:col min="16" max="16" width="26" hidden="0" customWidth="1"/>
  </x:cols>
  <x:sheetData>
    <x:row r="2">
      <x:c r="A2" s="56" t="str">
        <x:v>Three equal-cost activation cohorts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</x:row>
    <x:row r="4" ht="32" customHeight="1">
      <x:c r="A4" s="14" t="str">
        <x:v>Cohort</x:v>
      </x:c>
      <x:c r="B4" s="15" t="str">
        <x:v>Start week</x:v>
      </x:c>
      <x:c r="C4" s="15" t="str">
        <x:v>End week</x:v>
      </x:c>
      <x:c r="D4" s="15" t="str">
        <x:v>Forms</x:v>
      </x:c>
      <x:c r="E4" s="15" t="str">
        <x:v>Roots</x:v>
      </x:c>
      <x:c r="F4" s="15" t="str">
        <x:v>Variant A</x:v>
      </x:c>
      <x:c r="G4" s="15" t="str">
        <x:v>Variant B</x:v>
      </x:c>
      <x:c r="H4" s="15" t="str">
        <x:v>Variant C</x:v>
      </x:c>
      <x:c r="I4" s="15" t="str">
        <x:v>FRAME ceiling USD B</x:v>
      </x:c>
      <x:c r="J4" s="15" t="str">
        <x:v>Work packages</x:v>
      </x:c>
      <x:c r="K4" s="15" t="str">
        <x:v>Results released</x:v>
      </x:c>
      <x:c r="L4" s="15" t="str">
        <x:v>Root-cohort records</x:v>
      </x:c>
      <x:c r="M4" s="15" t="str">
        <x:v>Form-count state</x:v>
      </x:c>
      <x:c r="N4" s="15" t="str">
        <x:v>Variant state</x:v>
      </x:c>
      <x:c r="O4" s="15" t="str">
        <x:v>Ceiling state</x:v>
      </x:c>
      <x:c r="P4" s="16" t="str">
        <x:v>Cohort state</x:v>
      </x:c>
    </x:row>
    <x:row r="5">
      <x:c r="A5" s="60" t="n">
        <x:v>1</x:v>
      </x:c>
      <x:c r="B5" s="60" t="n">
        <x:f>(A5-1)*Controls!$B$11</x:f>
        <x:v>0</x:v>
      </x:c>
      <x:c r="C5" s="60" t="n">
        <x:f>B5+Controls!$B$10</x:f>
        <x:v>24</x:v>
      </x:c>
      <x:c r="D5" s="60" t="n">
        <x:f>COUNTIFS('Warrant Registry'!$E$5:$E$22,A5)</x:f>
        <x:v>6</x:v>
      </x:c>
      <x:c r="E5" s="60" t="n">
        <x:f>COUNTIFS('Warrant Registry'!$E$5:$E$22,A5,'Warrant Registry'!$U$5:$U$22,1)</x:f>
        <x:v>6</x:v>
      </x:c>
      <x:c r="F5" s="60" t="n">
        <x:f>COUNTIFS('Warrant Registry'!$E$5:$E$22,A5,'Warrant Registry'!$C$5:$C$22,"A")</x:f>
        <x:v>2</x:v>
      </x:c>
      <x:c r="G5" s="60" t="n">
        <x:f>COUNTIFS('Warrant Registry'!$E$5:$E$22,A5,'Warrant Registry'!$C$5:$C$22,"B")</x:f>
        <x:v>2</x:v>
      </x:c>
      <x:c r="H5" s="60" t="n">
        <x:f>COUNTIFS('Warrant Registry'!$E$5:$E$22,A5,'Warrant Registry'!$C$5:$C$22,"C")</x:f>
        <x:v>2</x:v>
      </x:c>
      <x:c r="I5" s="72" t="n">
        <x:f>SUMIFS('Warrant Registry'!$N$5:$N$22,'Warrant Registry'!$E$5:$E$22,A5)</x:f>
        <x:v>0.17934564096602829</x:v>
      </x:c>
      <x:c r="J5" s="60" t="n">
        <x:f>COUNTIFS('Package Schedule'!$E$5:$E$94,A5)</x:f>
        <x:v>30</x:v>
      </x:c>
      <x:c r="K5" s="60" t="n">
        <x:v>0</x:v>
      </x:c>
      <x:c r="L5" s="60" t="n">
        <x:f>COUNTIFS('Warrant Registry'!$E$5:$E$22,A5,'Warrant Registry'!$U$5:$U$22,1)</x:f>
        <x:v>6</x:v>
      </x:c>
      <x:c r="M5" s="59" t="str">
        <x:f>IF(AND(D5=6,E5=6,L5=6),"PASS","FAIL")</x:f>
        <x:v>PASS</x:v>
      </x:c>
      <x:c r="N5" s="59" t="str">
        <x:f>IF(AND(F5=2,G5=2,H5=2),"PASS","FAIL")</x:f>
        <x:v>PASS</x:v>
      </x:c>
      <x:c r="O5" s="59" t="str">
        <x:f>IF(ABS(I5-'Root Reservations'!$F$11/3)&lt;0.0000001,"PASS","FAIL")</x:f>
        <x:v>PASS</x:v>
      </x:c>
      <x:c r="P5" s="59" t="str">
        <x:f>IF(AND(M5="PASS",N5="PASS",O5="PASS",J5=30,K5=0),"SCHEDULED / SEALED","FAIL")</x:f>
        <x:v>SCHEDULED / SEALED</x:v>
      </x:c>
    </x:row>
    <x:row r="6">
      <x:c r="A6" s="63" t="n">
        <x:v>2</x:v>
      </x:c>
      <x:c r="B6" s="63" t="n">
        <x:f>(A6-1)*Controls!$B$11</x:f>
        <x:v>24</x:v>
      </x:c>
      <x:c r="C6" s="63" t="n">
        <x:f>B6+Controls!$B$10</x:f>
        <x:v>48</x:v>
      </x:c>
      <x:c r="D6" s="63" t="n">
        <x:f>COUNTIFS('Warrant Registry'!$E$5:$E$22,A6)</x:f>
        <x:v>6</x:v>
      </x:c>
      <x:c r="E6" s="63" t="n">
        <x:f>COUNTIFS('Warrant Registry'!$E$5:$E$22,A6,'Warrant Registry'!$U$5:$U$22,1)</x:f>
        <x:v>6</x:v>
      </x:c>
      <x:c r="F6" s="63" t="n">
        <x:f>COUNTIFS('Warrant Registry'!$E$5:$E$22,A6,'Warrant Registry'!$C$5:$C$22,"A")</x:f>
        <x:v>2</x:v>
      </x:c>
      <x:c r="G6" s="63" t="n">
        <x:f>COUNTIFS('Warrant Registry'!$E$5:$E$22,A6,'Warrant Registry'!$C$5:$C$22,"B")</x:f>
        <x:v>2</x:v>
      </x:c>
      <x:c r="H6" s="63" t="n">
        <x:f>COUNTIFS('Warrant Registry'!$E$5:$E$22,A6,'Warrant Registry'!$C$5:$C$22,"C")</x:f>
        <x:v>2</x:v>
      </x:c>
      <x:c r="I6" s="65" t="n">
        <x:f>SUMIFS('Warrant Registry'!$N$5:$N$22,'Warrant Registry'!$E$5:$E$22,A6)</x:f>
        <x:v>0.17934564096602829</x:v>
      </x:c>
      <x:c r="J6" s="63" t="n">
        <x:f>COUNTIFS('Package Schedule'!$E$5:$E$94,A6)</x:f>
        <x:v>30</x:v>
      </x:c>
      <x:c r="K6" s="63" t="n">
        <x:v>0</x:v>
      </x:c>
      <x:c r="L6" s="63" t="n">
        <x:f>COUNTIFS('Warrant Registry'!$E$5:$E$22,A6,'Warrant Registry'!$U$5:$U$22,1)</x:f>
        <x:v>6</x:v>
      </x:c>
      <x:c r="M6" s="62" t="str">
        <x:f>IF(AND(D6=6,E6=6,L6=6),"PASS","FAIL")</x:f>
        <x:v>PASS</x:v>
      </x:c>
      <x:c r="N6" s="62" t="str">
        <x:f>IF(AND(F6=2,G6=2,H6=2),"PASS","FAIL")</x:f>
        <x:v>PASS</x:v>
      </x:c>
      <x:c r="O6" s="62" t="str">
        <x:f>IF(ABS(I6-'Root Reservations'!$F$11/3)&lt;0.0000001,"PASS","FAIL")</x:f>
        <x:v>PASS</x:v>
      </x:c>
      <x:c r="P6" s="62" t="str">
        <x:f>IF(AND(M6="PASS",N6="PASS",O6="PASS",J6=30,K6=0),"SCHEDULED / SEALED","FAIL")</x:f>
        <x:v>SCHEDULED / SEALED</x:v>
      </x:c>
    </x:row>
    <x:row r="7">
      <x:c r="A7" s="64" t="n">
        <x:v>3</x:v>
      </x:c>
      <x:c r="B7" s="64" t="n">
        <x:f>(A7-1)*Controls!$B$11</x:f>
        <x:v>48</x:v>
      </x:c>
      <x:c r="C7" s="64" t="n">
        <x:f>B7+Controls!$B$10</x:f>
        <x:v>72</x:v>
      </x:c>
      <x:c r="D7" s="64" t="n">
        <x:f>COUNTIFS('Warrant Registry'!$E$5:$E$22,A7)</x:f>
        <x:v>6</x:v>
      </x:c>
      <x:c r="E7" s="64" t="n">
        <x:f>COUNTIFS('Warrant Registry'!$E$5:$E$22,A7,'Warrant Registry'!$U$5:$U$22,1)</x:f>
        <x:v>6</x:v>
      </x:c>
      <x:c r="F7" s="64" t="n">
        <x:f>COUNTIFS('Warrant Registry'!$E$5:$E$22,A7,'Warrant Registry'!$C$5:$C$22,"A")</x:f>
        <x:v>2</x:v>
      </x:c>
      <x:c r="G7" s="64" t="n">
        <x:f>COUNTIFS('Warrant Registry'!$E$5:$E$22,A7,'Warrant Registry'!$C$5:$C$22,"B")</x:f>
        <x:v>2</x:v>
      </x:c>
      <x:c r="H7" s="64" t="n">
        <x:f>COUNTIFS('Warrant Registry'!$E$5:$E$22,A7,'Warrant Registry'!$C$5:$C$22,"C")</x:f>
        <x:v>2</x:v>
      </x:c>
      <x:c r="I7" s="73" t="n">
        <x:f>SUMIFS('Warrant Registry'!$N$5:$N$22,'Warrant Registry'!$E$5:$E$22,A7)</x:f>
        <x:v>0.17934564096602829</x:v>
      </x:c>
      <x:c r="J7" s="64" t="n">
        <x:f>COUNTIFS('Package Schedule'!$E$5:$E$94,A7)</x:f>
        <x:v>30</x:v>
      </x:c>
      <x:c r="K7" s="64" t="n">
        <x:v>0</x:v>
      </x:c>
      <x:c r="L7" s="64" t="n">
        <x:f>COUNTIFS('Warrant Registry'!$E$5:$E$22,A7,'Warrant Registry'!$U$5:$U$22,1)</x:f>
        <x:v>6</x:v>
      </x:c>
      <x:c r="M7" s="66" t="str">
        <x:f>IF(AND(D7=6,E7=6,L7=6),"PASS","FAIL")</x:f>
        <x:v>PASS</x:v>
      </x:c>
      <x:c r="N7" s="66" t="str">
        <x:f>IF(AND(F7=2,G7=2,H7=2),"PASS","FAIL")</x:f>
        <x:v>PASS</x:v>
      </x:c>
      <x:c r="O7" s="66" t="str">
        <x:f>IF(ABS(I7-'Root Reservations'!$F$11/3)&lt;0.0000001,"PASS","FAIL")</x:f>
        <x:v>PASS</x:v>
      </x:c>
      <x:c r="P7" s="66" t="str">
        <x:f>IF(AND(M7="PASS",N7="PASS",O7="PASS",J7=30,K7=0),"SCHEDULED / SEALED","FAIL")</x:f>
        <x:v>SCHEDULED / SEALED</x:v>
      </x:c>
    </x:row>
  </x:sheetData>
  <x:mergeCells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2" hidden="0" customWidth="1"/>
    <x:col min="5" max="5" width="13" hidden="0" customWidth="1"/>
    <x:col min="6" max="6" width="16" hidden="0" customWidth="1"/>
    <x:col min="7" max="7" width="48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5" hidden="0" customWidth="1"/>
    <x:col min="15" max="15" width="20" hidden="0" customWidth="1"/>
    <x:col min="16" max="16" width="16" hidden="0" customWidth="1"/>
    <x:col min="17" max="17" width="28" hidden="0" customWidth="1"/>
    <x:col min="18" max="18" width="20" hidden="0" customWidth="1"/>
  </x:cols>
  <x:sheetData>
    <x:row r="2">
      <x:c r="A2" s="56" t="str">
        <x:v>Ninety bounded FRAME work packages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</x:row>
    <x:row r="4" ht="32" customHeight="1">
      <x:c r="A4" s="14" t="str">
        <x:v>Package</x:v>
      </x:c>
      <x:c r="B4" s="15" t="str">
        <x:v>Form</x:v>
      </x:c>
      <x:c r="C4" s="15" t="str">
        <x:v>Root</x:v>
      </x:c>
      <x:c r="D4" s="15" t="str">
        <x:v>Variant</x:v>
      </x:c>
      <x:c r="E4" s="15" t="str">
        <x:v>Cohort</x:v>
      </x:c>
      <x:c r="F4" s="15" t="str">
        <x:v>Code</x:v>
      </x:c>
      <x:c r="G4" s="15" t="str">
        <x:v>Work package</x:v>
      </x:c>
      <x:c r="H4" s="15" t="str">
        <x:v>Budget share</x:v>
      </x:c>
      <x:c r="I4" s="15" t="str">
        <x:v>Relative start week</x:v>
      </x:c>
      <x:c r="J4" s="15" t="str">
        <x:v>Duration weeks</x:v>
      </x:c>
      <x:c r="K4" s="15" t="str">
        <x:v>Absolute start</x:v>
      </x:c>
      <x:c r="L4" s="15" t="str">
        <x:v>Absolute end</x:v>
      </x:c>
      <x:c r="M4" s="15" t="str">
        <x:v>Ceiling USD B</x:v>
      </x:c>
      <x:c r="N4" s="15" t="str">
        <x:v>Authorized</x:v>
      </x:c>
      <x:c r="O4" s="15" t="str">
        <x:v>Obligated USD B</x:v>
      </x:c>
      <x:c r="P4" s="15" t="str">
        <x:v>Paid USD B</x:v>
      </x:c>
      <x:c r="Q4" s="15" t="str">
        <x:v>Package state</x:v>
      </x:c>
      <x:c r="R4" s="16" t="str">
        <x:v>Packages per form</x:v>
      </x:c>
    </x:row>
    <x:row r="5">
      <x:c r="A5" s="59" t="str">
        <x:v>P001</x:v>
      </x:c>
      <x:c r="B5" s="59" t="str">
        <x:v>ET-A-A</x:v>
      </x:c>
      <x:c r="C5" s="59" t="str">
        <x:v>ET-A</x:v>
      </x:c>
      <x:c r="D5" s="59" t="str">
        <x:v>A</x:v>
      </x:c>
      <x:c r="E5" s="60" t="n">
        <x:v>1</x:v>
      </x:c>
      <x:c r="F5" s="60" t="str">
        <x:v>METHOD</x:v>
      </x:c>
      <x:c r="G5" s="59" t="str">
        <x:v>Event method and denominator</x:v>
      </x:c>
      <x:c r="H5" s="74" t="n">
        <x:v>0.2</x:v>
      </x:c>
      <x:c r="I5" s="60" t="n">
        <x:v>0</x:v>
      </x:c>
      <x:c r="J5" s="60" t="n">
        <x:v>4</x:v>
      </x:c>
      <x:c r="K5" s="60" t="n">
        <x:f>(E5-1)*Controls!$B$11+I5</x:f>
        <x:v>0</x:v>
      </x:c>
      <x:c r="L5" s="60" t="n">
        <x:f>K5+J5</x:f>
        <x:v>4</x:v>
      </x:c>
      <x:c r="M5" s="72" t="n">
        <x:f>H5*INDEX('Warrant Registry'!$N$5:$N$22,MATCH(B5,'Warrant Registry'!$A$5:$A$22,0))</x:f>
        <x:v>0.0050047461808185</x:v>
      </x:c>
      <x:c r="N5" s="60" t="n">
        <x:v>1</x:v>
      </x:c>
      <x:c r="O5" s="72" t="n">
        <x:v>0</x:v>
      </x:c>
      <x:c r="P5" s="72" t="n">
        <x:v>0</x:v>
      </x:c>
      <x:c r="Q5" s="59" t="str">
        <x:f>IF(AND(N5=1,O5=0,P5=0,L5&lt;=(E5*Controls!$B$11)),"AUTHORIZED / SCHEDULED","INVALID")</x:f>
        <x:v>AUTHORIZED / SCHEDULED</x:v>
      </x:c>
      <x:c r="R5" s="60" t="n">
        <x:f>COUNTIFS($B$5:$B$94,B5)</x:f>
        <x:v>5</x:v>
      </x:c>
    </x:row>
    <x:row r="6">
      <x:c r="A6" s="62" t="str">
        <x:v>P002</x:v>
      </x:c>
      <x:c r="B6" s="62" t="str">
        <x:v>ET-A-A</x:v>
      </x:c>
      <x:c r="C6" s="62" t="str">
        <x:v>ET-A</x:v>
      </x:c>
      <x:c r="D6" s="62" t="str">
        <x:v>A</x:v>
      </x:c>
      <x:c r="E6" s="63" t="n">
        <x:v>1</x:v>
      </x:c>
      <x:c r="F6" s="63" t="str">
        <x:v>MEASURE</x:v>
      </x:c>
      <x:c r="G6" s="62" t="str">
        <x:v>Instrumentation, custody and validity</x:v>
      </x:c>
      <x:c r="H6" s="75" t="n">
        <x:v>0.25</x:v>
      </x:c>
      <x:c r="I6" s="63" t="n">
        <x:v>2</x:v>
      </x:c>
      <x:c r="J6" s="63" t="n">
        <x:v>8</x:v>
      </x:c>
      <x:c r="K6" s="63" t="n">
        <x:f>(E6-1)*Controls!$B$11+I6</x:f>
        <x:v>2</x:v>
      </x:c>
      <x:c r="L6" s="63" t="n">
        <x:f>K6+J6</x:f>
        <x:v>10</x:v>
      </x:c>
      <x:c r="M6" s="65" t="n">
        <x:f>H6*INDEX('Warrant Registry'!$N$5:$N$22,MATCH(B6,'Warrant Registry'!$A$5:$A$22,0))</x:f>
        <x:v>0.006255932726023125</x:v>
      </x:c>
      <x:c r="N6" s="63" t="n">
        <x:v>1</x:v>
      </x:c>
      <x:c r="O6" s="65" t="n">
        <x:v>0</x:v>
      </x:c>
      <x:c r="P6" s="65" t="n">
        <x:v>0</x:v>
      </x:c>
      <x:c r="Q6" s="62" t="str">
        <x:f>IF(AND(N6=1,O6=0,P6=0,L6&lt;=(E6*Controls!$B$11)),"AUTHORIZED / SCHEDULED","INVALID")</x:f>
        <x:v>AUTHORIZED / SCHEDULED</x:v>
      </x:c>
      <x:c r="R6" s="63" t="n">
        <x:f>COUNTIFS($B$5:$B$94,B6)</x:f>
        <x:v>5</x:v>
      </x:c>
    </x:row>
    <x:row r="7">
      <x:c r="A7" s="62" t="str">
        <x:v>P003</x:v>
      </x:c>
      <x:c r="B7" s="62" t="str">
        <x:v>ET-A-A</x:v>
      </x:c>
      <x:c r="C7" s="62" t="str">
        <x:v>ET-A</x:v>
      </x:c>
      <x:c r="D7" s="62" t="str">
        <x:v>A</x:v>
      </x:c>
      <x:c r="E7" s="63" t="n">
        <x:v>1</x:v>
      </x:c>
      <x:c r="F7" s="63" t="str">
        <x:v>CIVIL</x:v>
      </x:c>
      <x:c r="G7" s="62" t="str">
        <x:v>Rights, receiver and residual closure</x:v>
      </x:c>
      <x:c r="H7" s="75" t="n">
        <x:v>0.15</x:v>
      </x:c>
      <x:c r="I7" s="63" t="n">
        <x:v>0</x:v>
      </x:c>
      <x:c r="J7" s="63" t="n">
        <x:v>8</x:v>
      </x:c>
      <x:c r="K7" s="63" t="n">
        <x:f>(E7-1)*Controls!$B$11+I7</x:f>
        <x:v>0</x:v>
      </x:c>
      <x:c r="L7" s="63" t="n">
        <x:f>K7+J7</x:f>
        <x:v>8</x:v>
      </x:c>
      <x:c r="M7" s="65" t="n">
        <x:f>H7*INDEX('Warrant Registry'!$N$5:$N$22,MATCH(B7,'Warrant Registry'!$A$5:$A$22,0))</x:f>
        <x:v>0.003753559635613875</x:v>
      </x:c>
      <x:c r="N7" s="63" t="n">
        <x:v>1</x:v>
      </x:c>
      <x:c r="O7" s="65" t="n">
        <x:v>0</x:v>
      </x:c>
      <x:c r="P7" s="65" t="n">
        <x:v>0</x:v>
      </x:c>
      <x:c r="Q7" s="62" t="str">
        <x:f>IF(AND(N7=1,O7=0,P7=0,L7&lt;=(E7*Controls!$B$11)),"AUTHORIZED / SCHEDULED","INVALID")</x:f>
        <x:v>AUTHORIZED / SCHEDULED</x:v>
      </x:c>
      <x:c r="R7" s="63" t="n">
        <x:f>COUNTIFS($B$5:$B$94,B7)</x:f>
        <x:v>5</x:v>
      </x:c>
    </x:row>
    <x:row r="8">
      <x:c r="A8" s="62" t="str">
        <x:v>P004</x:v>
      </x:c>
      <x:c r="B8" s="62" t="str">
        <x:v>ET-A-A</x:v>
      </x:c>
      <x:c r="C8" s="62" t="str">
        <x:v>ET-A</x:v>
      </x:c>
      <x:c r="D8" s="62" t="str">
        <x:v>A</x:v>
      </x:c>
      <x:c r="E8" s="63" t="n">
        <x:v>1</x:v>
      </x:c>
      <x:c r="F8" s="63" t="str">
        <x:v>ARTICLE</x:v>
      </x:c>
      <x:c r="G8" s="62" t="str">
        <x:v>Destructive-article engineering</x:v>
      </x:c>
      <x:c r="H8" s="75" t="n">
        <x:v>0.25</x:v>
      </x:c>
      <x:c r="I8" s="63" t="n">
        <x:v>6</x:v>
      </x:c>
      <x:c r="J8" s="63" t="n">
        <x:v>14</x:v>
      </x:c>
      <x:c r="K8" s="63" t="n">
        <x:f>(E8-1)*Controls!$B$11+I8</x:f>
        <x:v>6</x:v>
      </x:c>
      <x:c r="L8" s="63" t="n">
        <x:f>K8+J8</x:f>
        <x:v>20</x:v>
      </x:c>
      <x:c r="M8" s="65" t="n">
        <x:f>H8*INDEX('Warrant Registry'!$N$5:$N$22,MATCH(B8,'Warrant Registry'!$A$5:$A$22,0))</x:f>
        <x:v>0.006255932726023125</x:v>
      </x:c>
      <x:c r="N8" s="63" t="n">
        <x:v>1</x:v>
      </x:c>
      <x:c r="O8" s="65" t="n">
        <x:v>0</x:v>
      </x:c>
      <x:c r="P8" s="65" t="n">
        <x:v>0</x:v>
      </x:c>
      <x:c r="Q8" s="62" t="str">
        <x:f>IF(AND(N8=1,O8=0,P8=0,L8&lt;=(E8*Controls!$B$11)),"AUTHORIZED / SCHEDULED","INVALID")</x:f>
        <x:v>AUTHORIZED / SCHEDULED</x:v>
      </x:c>
      <x:c r="R8" s="63" t="n">
        <x:f>COUNTIFS($B$5:$B$94,B8)</x:f>
        <x:v>5</x:v>
      </x:c>
    </x:row>
    <x:row r="9">
      <x:c r="A9" s="62" t="str">
        <x:v>P005</x:v>
      </x:c>
      <x:c r="B9" s="62" t="str">
        <x:v>ET-A-A</x:v>
      </x:c>
      <x:c r="C9" s="62" t="str">
        <x:v>ET-A</x:v>
      </x:c>
      <x:c r="D9" s="62" t="str">
        <x:v>A</x:v>
      </x:c>
      <x:c r="E9" s="63" t="n">
        <x:v>1</x:v>
      </x:c>
      <x:c r="F9" s="63" t="str">
        <x:v>REBUILD</x:v>
      </x:c>
      <x:c r="G9" s="62" t="str">
        <x:v>Cold reconstruction and challenge</x:v>
      </x:c>
      <x:c r="H9" s="75" t="n">
        <x:v>0.15</x:v>
      </x:c>
      <x:c r="I9" s="63" t="n">
        <x:v>18</x:v>
      </x:c>
      <x:c r="J9" s="63" t="n">
        <x:v>6</x:v>
      </x:c>
      <x:c r="K9" s="63" t="n">
        <x:f>(E9-1)*Controls!$B$11+I9</x:f>
        <x:v>18</x:v>
      </x:c>
      <x:c r="L9" s="63" t="n">
        <x:f>K9+J9</x:f>
        <x:v>24</x:v>
      </x:c>
      <x:c r="M9" s="65" t="n">
        <x:f>H9*INDEX('Warrant Registry'!$N$5:$N$22,MATCH(B9,'Warrant Registry'!$A$5:$A$22,0))</x:f>
        <x:v>0.003753559635613875</x:v>
      </x:c>
      <x:c r="N9" s="63" t="n">
        <x:v>1</x:v>
      </x:c>
      <x:c r="O9" s="65" t="n">
        <x:v>0</x:v>
      </x:c>
      <x:c r="P9" s="65" t="n">
        <x:v>0</x:v>
      </x:c>
      <x:c r="Q9" s="62" t="str">
        <x:f>IF(AND(N9=1,O9=0,P9=0,L9&lt;=(E9*Controls!$B$11)),"AUTHORIZED / SCHEDULED","INVALID")</x:f>
        <x:v>AUTHORIZED / SCHEDULED</x:v>
      </x:c>
      <x:c r="R9" s="63" t="n">
        <x:f>COUNTIFS($B$5:$B$94,B9)</x:f>
        <x:v>5</x:v>
      </x:c>
    </x:row>
    <x:row r="10">
      <x:c r="A10" s="62" t="str">
        <x:v>P006</x:v>
      </x:c>
      <x:c r="B10" s="62" t="str">
        <x:v>ET-A-B</x:v>
      </x:c>
      <x:c r="C10" s="62" t="str">
        <x:v>ET-A</x:v>
      </x:c>
      <x:c r="D10" s="62" t="str">
        <x:v>B</x:v>
      </x:c>
      <x:c r="E10" s="63" t="n">
        <x:v>2</x:v>
      </x:c>
      <x:c r="F10" s="63" t="str">
        <x:v>METHOD</x:v>
      </x:c>
      <x:c r="G10" s="62" t="str">
        <x:v>Event method and denominator</x:v>
      </x:c>
      <x:c r="H10" s="75" t="n">
        <x:v>0.2</x:v>
      </x:c>
      <x:c r="I10" s="63" t="n">
        <x:v>0</x:v>
      </x:c>
      <x:c r="J10" s="63" t="n">
        <x:v>4</x:v>
      </x:c>
      <x:c r="K10" s="63" t="n">
        <x:f>(E10-1)*Controls!$B$11+I10</x:f>
        <x:v>24</x:v>
      </x:c>
      <x:c r="L10" s="63" t="n">
        <x:f>K10+J10</x:f>
        <x:v>28</x:v>
      </x:c>
      <x:c r="M10" s="65" t="n">
        <x:f>H10*INDEX('Warrant Registry'!$N$5:$N$22,MATCH(B10,'Warrant Registry'!$A$5:$A$22,0))</x:f>
        <x:v>0.0050047461808185</x:v>
      </x:c>
      <x:c r="N10" s="63" t="n">
        <x:v>1</x:v>
      </x:c>
      <x:c r="O10" s="65" t="n">
        <x:v>0</x:v>
      </x:c>
      <x:c r="P10" s="65" t="n">
        <x:v>0</x:v>
      </x:c>
      <x:c r="Q10" s="62" t="str">
        <x:f>IF(AND(N10=1,O10=0,P10=0,L10&lt;=(E10*Controls!$B$11)),"AUTHORIZED / SCHEDULED","INVALID")</x:f>
        <x:v>AUTHORIZED / SCHEDULED</x:v>
      </x:c>
      <x:c r="R10" s="63" t="n">
        <x:f>COUNTIFS($B$5:$B$94,B10)</x:f>
        <x:v>5</x:v>
      </x:c>
    </x:row>
    <x:row r="11">
      <x:c r="A11" s="62" t="str">
        <x:v>P007</x:v>
      </x:c>
      <x:c r="B11" s="62" t="str">
        <x:v>ET-A-B</x:v>
      </x:c>
      <x:c r="C11" s="62" t="str">
        <x:v>ET-A</x:v>
      </x:c>
      <x:c r="D11" s="62" t="str">
        <x:v>B</x:v>
      </x:c>
      <x:c r="E11" s="63" t="n">
        <x:v>2</x:v>
      </x:c>
      <x:c r="F11" s="63" t="str">
        <x:v>MEASURE</x:v>
      </x:c>
      <x:c r="G11" s="62" t="str">
        <x:v>Instrumentation, custody and validity</x:v>
      </x:c>
      <x:c r="H11" s="75" t="n">
        <x:v>0.25</x:v>
      </x:c>
      <x:c r="I11" s="63" t="n">
        <x:v>2</x:v>
      </x:c>
      <x:c r="J11" s="63" t="n">
        <x:v>8</x:v>
      </x:c>
      <x:c r="K11" s="63" t="n">
        <x:f>(E11-1)*Controls!$B$11+I11</x:f>
        <x:v>26</x:v>
      </x:c>
      <x:c r="L11" s="63" t="n">
        <x:f>K11+J11</x:f>
        <x:v>34</x:v>
      </x:c>
      <x:c r="M11" s="65" t="n">
        <x:f>H11*INDEX('Warrant Registry'!$N$5:$N$22,MATCH(B11,'Warrant Registry'!$A$5:$A$22,0))</x:f>
        <x:v>0.006255932726023125</x:v>
      </x:c>
      <x:c r="N11" s="63" t="n">
        <x:v>1</x:v>
      </x:c>
      <x:c r="O11" s="65" t="n">
        <x:v>0</x:v>
      </x:c>
      <x:c r="P11" s="65" t="n">
        <x:v>0</x:v>
      </x:c>
      <x:c r="Q11" s="62" t="str">
        <x:f>IF(AND(N11=1,O11=0,P11=0,L11&lt;=(E11*Controls!$B$11)),"AUTHORIZED / SCHEDULED","INVALID")</x:f>
        <x:v>AUTHORIZED / SCHEDULED</x:v>
      </x:c>
      <x:c r="R11" s="63" t="n">
        <x:f>COUNTIFS($B$5:$B$94,B11)</x:f>
        <x:v>5</x:v>
      </x:c>
    </x:row>
    <x:row r="12">
      <x:c r="A12" s="62" t="str">
        <x:v>P008</x:v>
      </x:c>
      <x:c r="B12" s="62" t="str">
        <x:v>ET-A-B</x:v>
      </x:c>
      <x:c r="C12" s="62" t="str">
        <x:v>ET-A</x:v>
      </x:c>
      <x:c r="D12" s="62" t="str">
        <x:v>B</x:v>
      </x:c>
      <x:c r="E12" s="63" t="n">
        <x:v>2</x:v>
      </x:c>
      <x:c r="F12" s="63" t="str">
        <x:v>CIVIL</x:v>
      </x:c>
      <x:c r="G12" s="62" t="str">
        <x:v>Rights, receiver and residual closure</x:v>
      </x:c>
      <x:c r="H12" s="75" t="n">
        <x:v>0.15</x:v>
      </x:c>
      <x:c r="I12" s="63" t="n">
        <x:v>0</x:v>
      </x:c>
      <x:c r="J12" s="63" t="n">
        <x:v>8</x:v>
      </x:c>
      <x:c r="K12" s="63" t="n">
        <x:f>(E12-1)*Controls!$B$11+I12</x:f>
        <x:v>24</x:v>
      </x:c>
      <x:c r="L12" s="63" t="n">
        <x:f>K12+J12</x:f>
        <x:v>32</x:v>
      </x:c>
      <x:c r="M12" s="65" t="n">
        <x:f>H12*INDEX('Warrant Registry'!$N$5:$N$22,MATCH(B12,'Warrant Registry'!$A$5:$A$22,0))</x:f>
        <x:v>0.003753559635613875</x:v>
      </x:c>
      <x:c r="N12" s="63" t="n">
        <x:v>1</x:v>
      </x:c>
      <x:c r="O12" s="65" t="n">
        <x:v>0</x:v>
      </x:c>
      <x:c r="P12" s="65" t="n">
        <x:v>0</x:v>
      </x:c>
      <x:c r="Q12" s="62" t="str">
        <x:f>IF(AND(N12=1,O12=0,P12=0,L12&lt;=(E12*Controls!$B$11)),"AUTHORIZED / SCHEDULED","INVALID")</x:f>
        <x:v>AUTHORIZED / SCHEDULED</x:v>
      </x:c>
      <x:c r="R12" s="63" t="n">
        <x:f>COUNTIFS($B$5:$B$94,B12)</x:f>
        <x:v>5</x:v>
      </x:c>
    </x:row>
    <x:row r="13">
      <x:c r="A13" s="62" t="str">
        <x:v>P009</x:v>
      </x:c>
      <x:c r="B13" s="62" t="str">
        <x:v>ET-A-B</x:v>
      </x:c>
      <x:c r="C13" s="62" t="str">
        <x:v>ET-A</x:v>
      </x:c>
      <x:c r="D13" s="62" t="str">
        <x:v>B</x:v>
      </x:c>
      <x:c r="E13" s="63" t="n">
        <x:v>2</x:v>
      </x:c>
      <x:c r="F13" s="63" t="str">
        <x:v>ARTICLE</x:v>
      </x:c>
      <x:c r="G13" s="62" t="str">
        <x:v>Destructive-article engineering</x:v>
      </x:c>
      <x:c r="H13" s="75" t="n">
        <x:v>0.25</x:v>
      </x:c>
      <x:c r="I13" s="63" t="n">
        <x:v>6</x:v>
      </x:c>
      <x:c r="J13" s="63" t="n">
        <x:v>14</x:v>
      </x:c>
      <x:c r="K13" s="63" t="n">
        <x:f>(E13-1)*Controls!$B$11+I13</x:f>
        <x:v>30</x:v>
      </x:c>
      <x:c r="L13" s="63" t="n">
        <x:f>K13+J13</x:f>
        <x:v>44</x:v>
      </x:c>
      <x:c r="M13" s="65" t="n">
        <x:f>H13*INDEX('Warrant Registry'!$N$5:$N$22,MATCH(B13,'Warrant Registry'!$A$5:$A$22,0))</x:f>
        <x:v>0.006255932726023125</x:v>
      </x:c>
      <x:c r="N13" s="63" t="n">
        <x:v>1</x:v>
      </x:c>
      <x:c r="O13" s="65" t="n">
        <x:v>0</x:v>
      </x:c>
      <x:c r="P13" s="65" t="n">
        <x:v>0</x:v>
      </x:c>
      <x:c r="Q13" s="62" t="str">
        <x:f>IF(AND(N13=1,O13=0,P13=0,L13&lt;=(E13*Controls!$B$11)),"AUTHORIZED / SCHEDULED","INVALID")</x:f>
        <x:v>AUTHORIZED / SCHEDULED</x:v>
      </x:c>
      <x:c r="R13" s="63" t="n">
        <x:f>COUNTIFS($B$5:$B$94,B13)</x:f>
        <x:v>5</x:v>
      </x:c>
    </x:row>
    <x:row r="14">
      <x:c r="A14" s="62" t="str">
        <x:v>P010</x:v>
      </x:c>
      <x:c r="B14" s="62" t="str">
        <x:v>ET-A-B</x:v>
      </x:c>
      <x:c r="C14" s="62" t="str">
        <x:v>ET-A</x:v>
      </x:c>
      <x:c r="D14" s="62" t="str">
        <x:v>B</x:v>
      </x:c>
      <x:c r="E14" s="63" t="n">
        <x:v>2</x:v>
      </x:c>
      <x:c r="F14" s="63" t="str">
        <x:v>REBUILD</x:v>
      </x:c>
      <x:c r="G14" s="62" t="str">
        <x:v>Cold reconstruction and challenge</x:v>
      </x:c>
      <x:c r="H14" s="75" t="n">
        <x:v>0.15</x:v>
      </x:c>
      <x:c r="I14" s="63" t="n">
        <x:v>18</x:v>
      </x:c>
      <x:c r="J14" s="63" t="n">
        <x:v>6</x:v>
      </x:c>
      <x:c r="K14" s="63" t="n">
        <x:f>(E14-1)*Controls!$B$11+I14</x:f>
        <x:v>42</x:v>
      </x:c>
      <x:c r="L14" s="63" t="n">
        <x:f>K14+J14</x:f>
        <x:v>48</x:v>
      </x:c>
      <x:c r="M14" s="65" t="n">
        <x:f>H14*INDEX('Warrant Registry'!$N$5:$N$22,MATCH(B14,'Warrant Registry'!$A$5:$A$22,0))</x:f>
        <x:v>0.003753559635613875</x:v>
      </x:c>
      <x:c r="N14" s="63" t="n">
        <x:v>1</x:v>
      </x:c>
      <x:c r="O14" s="65" t="n">
        <x:v>0</x:v>
      </x:c>
      <x:c r="P14" s="65" t="n">
        <x:v>0</x:v>
      </x:c>
      <x:c r="Q14" s="62" t="str">
        <x:f>IF(AND(N14=1,O14=0,P14=0,L14&lt;=(E14*Controls!$B$11)),"AUTHORIZED / SCHEDULED","INVALID")</x:f>
        <x:v>AUTHORIZED / SCHEDULED</x:v>
      </x:c>
      <x:c r="R14" s="63" t="n">
        <x:f>COUNTIFS($B$5:$B$94,B14)</x:f>
        <x:v>5</x:v>
      </x:c>
    </x:row>
    <x:row r="15">
      <x:c r="A15" s="62" t="str">
        <x:v>P011</x:v>
      </x:c>
      <x:c r="B15" s="62" t="str">
        <x:v>ET-A-C</x:v>
      </x:c>
      <x:c r="C15" s="62" t="str">
        <x:v>ET-A</x:v>
      </x:c>
      <x:c r="D15" s="62" t="str">
        <x:v>C</x:v>
      </x:c>
      <x:c r="E15" s="63" t="n">
        <x:v>3</x:v>
      </x:c>
      <x:c r="F15" s="63" t="str">
        <x:v>METHOD</x:v>
      </x:c>
      <x:c r="G15" s="62" t="str">
        <x:v>Event method and denominator</x:v>
      </x:c>
      <x:c r="H15" s="75" t="n">
        <x:v>0.2</x:v>
      </x:c>
      <x:c r="I15" s="63" t="n">
        <x:v>0</x:v>
      </x:c>
      <x:c r="J15" s="63" t="n">
        <x:v>4</x:v>
      </x:c>
      <x:c r="K15" s="63" t="n">
        <x:f>(E15-1)*Controls!$B$11+I15</x:f>
        <x:v>48</x:v>
      </x:c>
      <x:c r="L15" s="63" t="n">
        <x:f>K15+J15</x:f>
        <x:v>52</x:v>
      </x:c>
      <x:c r="M15" s="65" t="n">
        <x:f>H15*INDEX('Warrant Registry'!$N$5:$N$22,MATCH(B15,'Warrant Registry'!$A$5:$A$22,0))</x:f>
        <x:v>0.0050047461808185</x:v>
      </x:c>
      <x:c r="N15" s="63" t="n">
        <x:v>1</x:v>
      </x:c>
      <x:c r="O15" s="65" t="n">
        <x:v>0</x:v>
      </x:c>
      <x:c r="P15" s="65" t="n">
        <x:v>0</x:v>
      </x:c>
      <x:c r="Q15" s="62" t="str">
        <x:f>IF(AND(N15=1,O15=0,P15=0,L15&lt;=(E15*Controls!$B$11)),"AUTHORIZED / SCHEDULED","INVALID")</x:f>
        <x:v>AUTHORIZED / SCHEDULED</x:v>
      </x:c>
      <x:c r="R15" s="63" t="n">
        <x:f>COUNTIFS($B$5:$B$94,B15)</x:f>
        <x:v>5</x:v>
      </x:c>
    </x:row>
    <x:row r="16">
      <x:c r="A16" s="62" t="str">
        <x:v>P012</x:v>
      </x:c>
      <x:c r="B16" s="62" t="str">
        <x:v>ET-A-C</x:v>
      </x:c>
      <x:c r="C16" s="62" t="str">
        <x:v>ET-A</x:v>
      </x:c>
      <x:c r="D16" s="62" t="str">
        <x:v>C</x:v>
      </x:c>
      <x:c r="E16" s="63" t="n">
        <x:v>3</x:v>
      </x:c>
      <x:c r="F16" s="63" t="str">
        <x:v>MEASURE</x:v>
      </x:c>
      <x:c r="G16" s="62" t="str">
        <x:v>Instrumentation, custody and validity</x:v>
      </x:c>
      <x:c r="H16" s="75" t="n">
        <x:v>0.25</x:v>
      </x:c>
      <x:c r="I16" s="63" t="n">
        <x:v>2</x:v>
      </x:c>
      <x:c r="J16" s="63" t="n">
        <x:v>8</x:v>
      </x:c>
      <x:c r="K16" s="63" t="n">
        <x:f>(E16-1)*Controls!$B$11+I16</x:f>
        <x:v>50</x:v>
      </x:c>
      <x:c r="L16" s="63" t="n">
        <x:f>K16+J16</x:f>
        <x:v>58</x:v>
      </x:c>
      <x:c r="M16" s="65" t="n">
        <x:f>H16*INDEX('Warrant Registry'!$N$5:$N$22,MATCH(B16,'Warrant Registry'!$A$5:$A$22,0))</x:f>
        <x:v>0.006255932726023125</x:v>
      </x:c>
      <x:c r="N16" s="63" t="n">
        <x:v>1</x:v>
      </x:c>
      <x:c r="O16" s="65" t="n">
        <x:v>0</x:v>
      </x:c>
      <x:c r="P16" s="65" t="n">
        <x:v>0</x:v>
      </x:c>
      <x:c r="Q16" s="62" t="str">
        <x:f>IF(AND(N16=1,O16=0,P16=0,L16&lt;=(E16*Controls!$B$11)),"AUTHORIZED / SCHEDULED","INVALID")</x:f>
        <x:v>AUTHORIZED / SCHEDULED</x:v>
      </x:c>
      <x:c r="R16" s="63" t="n">
        <x:f>COUNTIFS($B$5:$B$94,B16)</x:f>
        <x:v>5</x:v>
      </x:c>
    </x:row>
    <x:row r="17">
      <x:c r="A17" s="62" t="str">
        <x:v>P013</x:v>
      </x:c>
      <x:c r="B17" s="62" t="str">
        <x:v>ET-A-C</x:v>
      </x:c>
      <x:c r="C17" s="62" t="str">
        <x:v>ET-A</x:v>
      </x:c>
      <x:c r="D17" s="62" t="str">
        <x:v>C</x:v>
      </x:c>
      <x:c r="E17" s="63" t="n">
        <x:v>3</x:v>
      </x:c>
      <x:c r="F17" s="63" t="str">
        <x:v>CIVIL</x:v>
      </x:c>
      <x:c r="G17" s="62" t="str">
        <x:v>Rights, receiver and residual closure</x:v>
      </x:c>
      <x:c r="H17" s="75" t="n">
        <x:v>0.15</x:v>
      </x:c>
      <x:c r="I17" s="63" t="n">
        <x:v>0</x:v>
      </x:c>
      <x:c r="J17" s="63" t="n">
        <x:v>8</x:v>
      </x:c>
      <x:c r="K17" s="63" t="n">
        <x:f>(E17-1)*Controls!$B$11+I17</x:f>
        <x:v>48</x:v>
      </x:c>
      <x:c r="L17" s="63" t="n">
        <x:f>K17+J17</x:f>
        <x:v>56</x:v>
      </x:c>
      <x:c r="M17" s="65" t="n">
        <x:f>H17*INDEX('Warrant Registry'!$N$5:$N$22,MATCH(B17,'Warrant Registry'!$A$5:$A$22,0))</x:f>
        <x:v>0.003753559635613875</x:v>
      </x:c>
      <x:c r="N17" s="63" t="n">
        <x:v>1</x:v>
      </x:c>
      <x:c r="O17" s="65" t="n">
        <x:v>0</x:v>
      </x:c>
      <x:c r="P17" s="65" t="n">
        <x:v>0</x:v>
      </x:c>
      <x:c r="Q17" s="62" t="str">
        <x:f>IF(AND(N17=1,O17=0,P17=0,L17&lt;=(E17*Controls!$B$11)),"AUTHORIZED / SCHEDULED","INVALID")</x:f>
        <x:v>AUTHORIZED / SCHEDULED</x:v>
      </x:c>
      <x:c r="R17" s="63" t="n">
        <x:f>COUNTIFS($B$5:$B$94,B17)</x:f>
        <x:v>5</x:v>
      </x:c>
    </x:row>
    <x:row r="18">
      <x:c r="A18" s="62" t="str">
        <x:v>P014</x:v>
      </x:c>
      <x:c r="B18" s="62" t="str">
        <x:v>ET-A-C</x:v>
      </x:c>
      <x:c r="C18" s="62" t="str">
        <x:v>ET-A</x:v>
      </x:c>
      <x:c r="D18" s="62" t="str">
        <x:v>C</x:v>
      </x:c>
      <x:c r="E18" s="63" t="n">
        <x:v>3</x:v>
      </x:c>
      <x:c r="F18" s="63" t="str">
        <x:v>ARTICLE</x:v>
      </x:c>
      <x:c r="G18" s="62" t="str">
        <x:v>Destructive-article engineering</x:v>
      </x:c>
      <x:c r="H18" s="75" t="n">
        <x:v>0.25</x:v>
      </x:c>
      <x:c r="I18" s="63" t="n">
        <x:v>6</x:v>
      </x:c>
      <x:c r="J18" s="63" t="n">
        <x:v>14</x:v>
      </x:c>
      <x:c r="K18" s="63" t="n">
        <x:f>(E18-1)*Controls!$B$11+I18</x:f>
        <x:v>54</x:v>
      </x:c>
      <x:c r="L18" s="63" t="n">
        <x:f>K18+J18</x:f>
        <x:v>68</x:v>
      </x:c>
      <x:c r="M18" s="65" t="n">
        <x:f>H18*INDEX('Warrant Registry'!$N$5:$N$22,MATCH(B18,'Warrant Registry'!$A$5:$A$22,0))</x:f>
        <x:v>0.006255932726023125</x:v>
      </x:c>
      <x:c r="N18" s="63" t="n">
        <x:v>1</x:v>
      </x:c>
      <x:c r="O18" s="65" t="n">
        <x:v>0</x:v>
      </x:c>
      <x:c r="P18" s="65" t="n">
        <x:v>0</x:v>
      </x:c>
      <x:c r="Q18" s="62" t="str">
        <x:f>IF(AND(N18=1,O18=0,P18=0,L18&lt;=(E18*Controls!$B$11)),"AUTHORIZED / SCHEDULED","INVALID")</x:f>
        <x:v>AUTHORIZED / SCHEDULED</x:v>
      </x:c>
      <x:c r="R18" s="63" t="n">
        <x:f>COUNTIFS($B$5:$B$94,B18)</x:f>
        <x:v>5</x:v>
      </x:c>
    </x:row>
    <x:row r="19">
      <x:c r="A19" s="62" t="str">
        <x:v>P015</x:v>
      </x:c>
      <x:c r="B19" s="62" t="str">
        <x:v>ET-A-C</x:v>
      </x:c>
      <x:c r="C19" s="62" t="str">
        <x:v>ET-A</x:v>
      </x:c>
      <x:c r="D19" s="62" t="str">
        <x:v>C</x:v>
      </x:c>
      <x:c r="E19" s="63" t="n">
        <x:v>3</x:v>
      </x:c>
      <x:c r="F19" s="63" t="str">
        <x:v>REBUILD</x:v>
      </x:c>
      <x:c r="G19" s="62" t="str">
        <x:v>Cold reconstruction and challenge</x:v>
      </x:c>
      <x:c r="H19" s="75" t="n">
        <x:v>0.15</x:v>
      </x:c>
      <x:c r="I19" s="63" t="n">
        <x:v>18</x:v>
      </x:c>
      <x:c r="J19" s="63" t="n">
        <x:v>6</x:v>
      </x:c>
      <x:c r="K19" s="63" t="n">
        <x:f>(E19-1)*Controls!$B$11+I19</x:f>
        <x:v>66</x:v>
      </x:c>
      <x:c r="L19" s="63" t="n">
        <x:f>K19+J19</x:f>
        <x:v>72</x:v>
      </x:c>
      <x:c r="M19" s="65" t="n">
        <x:f>H19*INDEX('Warrant Registry'!$N$5:$N$22,MATCH(B19,'Warrant Registry'!$A$5:$A$22,0))</x:f>
        <x:v>0.003753559635613875</x:v>
      </x:c>
      <x:c r="N19" s="63" t="n">
        <x:v>1</x:v>
      </x:c>
      <x:c r="O19" s="65" t="n">
        <x:v>0</x:v>
      </x:c>
      <x:c r="P19" s="65" t="n">
        <x:v>0</x:v>
      </x:c>
      <x:c r="Q19" s="62" t="str">
        <x:f>IF(AND(N19=1,O19=0,P19=0,L19&lt;=(E19*Controls!$B$11)),"AUTHORIZED / SCHEDULED","INVALID")</x:f>
        <x:v>AUTHORIZED / SCHEDULED</x:v>
      </x:c>
      <x:c r="R19" s="63" t="n">
        <x:f>COUNTIFS($B$5:$B$94,B19)</x:f>
        <x:v>5</x:v>
      </x:c>
    </x:row>
    <x:row r="20">
      <x:c r="A20" s="62" t="str">
        <x:v>P016</x:v>
      </x:c>
      <x:c r="B20" s="62" t="str">
        <x:v>CT-C-A</x:v>
      </x:c>
      <x:c r="C20" s="62" t="str">
        <x:v>CT-C</x:v>
      </x:c>
      <x:c r="D20" s="62" t="str">
        <x:v>A</x:v>
      </x:c>
      <x:c r="E20" s="63" t="n">
        <x:v>3</x:v>
      </x:c>
      <x:c r="F20" s="63" t="str">
        <x:v>METHOD</x:v>
      </x:c>
      <x:c r="G20" s="62" t="str">
        <x:v>Event method and denominator</x:v>
      </x:c>
      <x:c r="H20" s="75" t="n">
        <x:v>0.2</x:v>
      </x:c>
      <x:c r="I20" s="63" t="n">
        <x:v>0</x:v>
      </x:c>
      <x:c r="J20" s="63" t="n">
        <x:v>4</x:v>
      </x:c>
      <x:c r="K20" s="63" t="n">
        <x:f>(E20-1)*Controls!$B$11+I20</x:f>
        <x:v>48</x:v>
      </x:c>
      <x:c r="L20" s="63" t="n">
        <x:f>K20+J20</x:f>
        <x:v>52</x:v>
      </x:c>
      <x:c r="M20" s="65" t="n">
        <x:f>H20*INDEX('Warrant Registry'!$N$5:$N$22,MATCH(B20,'Warrant Registry'!$A$5:$A$22,0))</x:f>
        <x:v>0.0051649348177396</x:v>
      </x:c>
      <x:c r="N20" s="63" t="n">
        <x:v>1</x:v>
      </x:c>
      <x:c r="O20" s="65" t="n">
        <x:v>0</x:v>
      </x:c>
      <x:c r="P20" s="65" t="n">
        <x:v>0</x:v>
      </x:c>
      <x:c r="Q20" s="62" t="str">
        <x:f>IF(AND(N20=1,O20=0,P20=0,L20&lt;=(E20*Controls!$B$11)),"AUTHORIZED / SCHEDULED","INVALID")</x:f>
        <x:v>AUTHORIZED / SCHEDULED</x:v>
      </x:c>
      <x:c r="R20" s="63" t="n">
        <x:f>COUNTIFS($B$5:$B$94,B20)</x:f>
        <x:v>5</x:v>
      </x:c>
    </x:row>
    <x:row r="21">
      <x:c r="A21" s="62" t="str">
        <x:v>P017</x:v>
      </x:c>
      <x:c r="B21" s="62" t="str">
        <x:v>CT-C-A</x:v>
      </x:c>
      <x:c r="C21" s="62" t="str">
        <x:v>CT-C</x:v>
      </x:c>
      <x:c r="D21" s="62" t="str">
        <x:v>A</x:v>
      </x:c>
      <x:c r="E21" s="63" t="n">
        <x:v>3</x:v>
      </x:c>
      <x:c r="F21" s="63" t="str">
        <x:v>MEASURE</x:v>
      </x:c>
      <x:c r="G21" s="62" t="str">
        <x:v>Instrumentation, custody and validity</x:v>
      </x:c>
      <x:c r="H21" s="75" t="n">
        <x:v>0.25</x:v>
      </x:c>
      <x:c r="I21" s="63" t="n">
        <x:v>2</x:v>
      </x:c>
      <x:c r="J21" s="63" t="n">
        <x:v>8</x:v>
      </x:c>
      <x:c r="K21" s="63" t="n">
        <x:f>(E21-1)*Controls!$B$11+I21</x:f>
        <x:v>50</x:v>
      </x:c>
      <x:c r="L21" s="63" t="n">
        <x:f>K21+J21</x:f>
        <x:v>58</x:v>
      </x:c>
      <x:c r="M21" s="65" t="n">
        <x:f>H21*INDEX('Warrant Registry'!$N$5:$N$22,MATCH(B21,'Warrant Registry'!$A$5:$A$22,0))</x:f>
        <x:v>0.0064561685221745</x:v>
      </x:c>
      <x:c r="N21" s="63" t="n">
        <x:v>1</x:v>
      </x:c>
      <x:c r="O21" s="65" t="n">
        <x:v>0</x:v>
      </x:c>
      <x:c r="P21" s="65" t="n">
        <x:v>0</x:v>
      </x:c>
      <x:c r="Q21" s="62" t="str">
        <x:f>IF(AND(N21=1,O21=0,P21=0,L21&lt;=(E21*Controls!$B$11)),"AUTHORIZED / SCHEDULED","INVALID")</x:f>
        <x:v>AUTHORIZED / SCHEDULED</x:v>
      </x:c>
      <x:c r="R21" s="63" t="n">
        <x:f>COUNTIFS($B$5:$B$94,B21)</x:f>
        <x:v>5</x:v>
      </x:c>
    </x:row>
    <x:row r="22">
      <x:c r="A22" s="62" t="str">
        <x:v>P018</x:v>
      </x:c>
      <x:c r="B22" s="62" t="str">
        <x:v>CT-C-A</x:v>
      </x:c>
      <x:c r="C22" s="62" t="str">
        <x:v>CT-C</x:v>
      </x:c>
      <x:c r="D22" s="62" t="str">
        <x:v>A</x:v>
      </x:c>
      <x:c r="E22" s="63" t="n">
        <x:v>3</x:v>
      </x:c>
      <x:c r="F22" s="63" t="str">
        <x:v>CIVIL</x:v>
      </x:c>
      <x:c r="G22" s="62" t="str">
        <x:v>Rights, receiver and residual closure</x:v>
      </x:c>
      <x:c r="H22" s="75" t="n">
        <x:v>0.15</x:v>
      </x:c>
      <x:c r="I22" s="63" t="n">
        <x:v>0</x:v>
      </x:c>
      <x:c r="J22" s="63" t="n">
        <x:v>8</x:v>
      </x:c>
      <x:c r="K22" s="63" t="n">
        <x:f>(E22-1)*Controls!$B$11+I22</x:f>
        <x:v>48</x:v>
      </x:c>
      <x:c r="L22" s="63" t="n">
        <x:f>K22+J22</x:f>
        <x:v>56</x:v>
      </x:c>
      <x:c r="M22" s="65" t="n">
        <x:f>H22*INDEX('Warrant Registry'!$N$5:$N$22,MATCH(B22,'Warrant Registry'!$A$5:$A$22,0))</x:f>
        <x:v>0.0038737011133046996</x:v>
      </x:c>
      <x:c r="N22" s="63" t="n">
        <x:v>1</x:v>
      </x:c>
      <x:c r="O22" s="65" t="n">
        <x:v>0</x:v>
      </x:c>
      <x:c r="P22" s="65" t="n">
        <x:v>0</x:v>
      </x:c>
      <x:c r="Q22" s="62" t="str">
        <x:f>IF(AND(N22=1,O22=0,P22=0,L22&lt;=(E22*Controls!$B$11)),"AUTHORIZED / SCHEDULED","INVALID")</x:f>
        <x:v>AUTHORIZED / SCHEDULED</x:v>
      </x:c>
      <x:c r="R22" s="63" t="n">
        <x:f>COUNTIFS($B$5:$B$94,B22)</x:f>
        <x:v>5</x:v>
      </x:c>
    </x:row>
    <x:row r="23">
      <x:c r="A23" s="62" t="str">
        <x:v>P019</x:v>
      </x:c>
      <x:c r="B23" s="62" t="str">
        <x:v>CT-C-A</x:v>
      </x:c>
      <x:c r="C23" s="62" t="str">
        <x:v>CT-C</x:v>
      </x:c>
      <x:c r="D23" s="62" t="str">
        <x:v>A</x:v>
      </x:c>
      <x:c r="E23" s="63" t="n">
        <x:v>3</x:v>
      </x:c>
      <x:c r="F23" s="63" t="str">
        <x:v>ARTICLE</x:v>
      </x:c>
      <x:c r="G23" s="62" t="str">
        <x:v>Destructive-article engineering</x:v>
      </x:c>
      <x:c r="H23" s="75" t="n">
        <x:v>0.25</x:v>
      </x:c>
      <x:c r="I23" s="63" t="n">
        <x:v>6</x:v>
      </x:c>
      <x:c r="J23" s="63" t="n">
        <x:v>14</x:v>
      </x:c>
      <x:c r="K23" s="63" t="n">
        <x:f>(E23-1)*Controls!$B$11+I23</x:f>
        <x:v>54</x:v>
      </x:c>
      <x:c r="L23" s="63" t="n">
        <x:f>K23+J23</x:f>
        <x:v>68</x:v>
      </x:c>
      <x:c r="M23" s="65" t="n">
        <x:f>H23*INDEX('Warrant Registry'!$N$5:$N$22,MATCH(B23,'Warrant Registry'!$A$5:$A$22,0))</x:f>
        <x:v>0.0064561685221745</x:v>
      </x:c>
      <x:c r="N23" s="63" t="n">
        <x:v>1</x:v>
      </x:c>
      <x:c r="O23" s="65" t="n">
        <x:v>0</x:v>
      </x:c>
      <x:c r="P23" s="65" t="n">
        <x:v>0</x:v>
      </x:c>
      <x:c r="Q23" s="62" t="str">
        <x:f>IF(AND(N23=1,O23=0,P23=0,L23&lt;=(E23*Controls!$B$11)),"AUTHORIZED / SCHEDULED","INVALID")</x:f>
        <x:v>AUTHORIZED / SCHEDULED</x:v>
      </x:c>
      <x:c r="R23" s="63" t="n">
        <x:f>COUNTIFS($B$5:$B$94,B23)</x:f>
        <x:v>5</x:v>
      </x:c>
    </x:row>
    <x:row r="24">
      <x:c r="A24" s="62" t="str">
        <x:v>P020</x:v>
      </x:c>
      <x:c r="B24" s="62" t="str">
        <x:v>CT-C-A</x:v>
      </x:c>
      <x:c r="C24" s="62" t="str">
        <x:v>CT-C</x:v>
      </x:c>
      <x:c r="D24" s="62" t="str">
        <x:v>A</x:v>
      </x:c>
      <x:c r="E24" s="63" t="n">
        <x:v>3</x:v>
      </x:c>
      <x:c r="F24" s="63" t="str">
        <x:v>REBUILD</x:v>
      </x:c>
      <x:c r="G24" s="62" t="str">
        <x:v>Cold reconstruction and challenge</x:v>
      </x:c>
      <x:c r="H24" s="75" t="n">
        <x:v>0.15</x:v>
      </x:c>
      <x:c r="I24" s="63" t="n">
        <x:v>18</x:v>
      </x:c>
      <x:c r="J24" s="63" t="n">
        <x:v>6</x:v>
      </x:c>
      <x:c r="K24" s="63" t="n">
        <x:f>(E24-1)*Controls!$B$11+I24</x:f>
        <x:v>66</x:v>
      </x:c>
      <x:c r="L24" s="63" t="n">
        <x:f>K24+J24</x:f>
        <x:v>72</x:v>
      </x:c>
      <x:c r="M24" s="65" t="n">
        <x:f>H24*INDEX('Warrant Registry'!$N$5:$N$22,MATCH(B24,'Warrant Registry'!$A$5:$A$22,0))</x:f>
        <x:v>0.0038737011133046996</x:v>
      </x:c>
      <x:c r="N24" s="63" t="n">
        <x:v>1</x:v>
      </x:c>
      <x:c r="O24" s="65" t="n">
        <x:v>0</x:v>
      </x:c>
      <x:c r="P24" s="65" t="n">
        <x:v>0</x:v>
      </x:c>
      <x:c r="Q24" s="62" t="str">
        <x:f>IF(AND(N24=1,O24=0,P24=0,L24&lt;=(E24*Controls!$B$11)),"AUTHORIZED / SCHEDULED","INVALID")</x:f>
        <x:v>AUTHORIZED / SCHEDULED</x:v>
      </x:c>
      <x:c r="R24" s="63" t="n">
        <x:f>COUNTIFS($B$5:$B$94,B24)</x:f>
        <x:v>5</x:v>
      </x:c>
    </x:row>
    <x:row r="25">
      <x:c r="A25" s="62" t="str">
        <x:v>P021</x:v>
      </x:c>
      <x:c r="B25" s="62" t="str">
        <x:v>CT-C-B</x:v>
      </x:c>
      <x:c r="C25" s="62" t="str">
        <x:v>CT-C</x:v>
      </x:c>
      <x:c r="D25" s="62" t="str">
        <x:v>B</x:v>
      </x:c>
      <x:c r="E25" s="63" t="n">
        <x:v>1</x:v>
      </x:c>
      <x:c r="F25" s="63" t="str">
        <x:v>METHOD</x:v>
      </x:c>
      <x:c r="G25" s="62" t="str">
        <x:v>Event method and denominator</x:v>
      </x:c>
      <x:c r="H25" s="75" t="n">
        <x:v>0.2</x:v>
      </x:c>
      <x:c r="I25" s="63" t="n">
        <x:v>0</x:v>
      </x:c>
      <x:c r="J25" s="63" t="n">
        <x:v>4</x:v>
      </x:c>
      <x:c r="K25" s="63" t="n">
        <x:f>(E25-1)*Controls!$B$11+I25</x:f>
        <x:v>0</x:v>
      </x:c>
      <x:c r="L25" s="63" t="n">
        <x:f>K25+J25</x:f>
        <x:v>4</x:v>
      </x:c>
      <x:c r="M25" s="65" t="n">
        <x:f>H25*INDEX('Warrant Registry'!$N$5:$N$22,MATCH(B25,'Warrant Registry'!$A$5:$A$22,0))</x:f>
        <x:v>0.0051649348177396</x:v>
      </x:c>
      <x:c r="N25" s="63" t="n">
        <x:v>1</x:v>
      </x:c>
      <x:c r="O25" s="65" t="n">
        <x:v>0</x:v>
      </x:c>
      <x:c r="P25" s="65" t="n">
        <x:v>0</x:v>
      </x:c>
      <x:c r="Q25" s="62" t="str">
        <x:f>IF(AND(N25=1,O25=0,P25=0,L25&lt;=(E25*Controls!$B$11)),"AUTHORIZED / SCHEDULED","INVALID")</x:f>
        <x:v>AUTHORIZED / SCHEDULED</x:v>
      </x:c>
      <x:c r="R25" s="63" t="n">
        <x:f>COUNTIFS($B$5:$B$94,B25)</x:f>
        <x:v>5</x:v>
      </x:c>
    </x:row>
    <x:row r="26">
      <x:c r="A26" s="62" t="str">
        <x:v>P022</x:v>
      </x:c>
      <x:c r="B26" s="62" t="str">
        <x:v>CT-C-B</x:v>
      </x:c>
      <x:c r="C26" s="62" t="str">
        <x:v>CT-C</x:v>
      </x:c>
      <x:c r="D26" s="62" t="str">
        <x:v>B</x:v>
      </x:c>
      <x:c r="E26" s="63" t="n">
        <x:v>1</x:v>
      </x:c>
      <x:c r="F26" s="63" t="str">
        <x:v>MEASURE</x:v>
      </x:c>
      <x:c r="G26" s="62" t="str">
        <x:v>Instrumentation, custody and validity</x:v>
      </x:c>
      <x:c r="H26" s="75" t="n">
        <x:v>0.25</x:v>
      </x:c>
      <x:c r="I26" s="63" t="n">
        <x:v>2</x:v>
      </x:c>
      <x:c r="J26" s="63" t="n">
        <x:v>8</x:v>
      </x:c>
      <x:c r="K26" s="63" t="n">
        <x:f>(E26-1)*Controls!$B$11+I26</x:f>
        <x:v>2</x:v>
      </x:c>
      <x:c r="L26" s="63" t="n">
        <x:f>K26+J26</x:f>
        <x:v>10</x:v>
      </x:c>
      <x:c r="M26" s="65" t="n">
        <x:f>H26*INDEX('Warrant Registry'!$N$5:$N$22,MATCH(B26,'Warrant Registry'!$A$5:$A$22,0))</x:f>
        <x:v>0.0064561685221745</x:v>
      </x:c>
      <x:c r="N26" s="63" t="n">
        <x:v>1</x:v>
      </x:c>
      <x:c r="O26" s="65" t="n">
        <x:v>0</x:v>
      </x:c>
      <x:c r="P26" s="65" t="n">
        <x:v>0</x:v>
      </x:c>
      <x:c r="Q26" s="62" t="str">
        <x:f>IF(AND(N26=1,O26=0,P26=0,L26&lt;=(E26*Controls!$B$11)),"AUTHORIZED / SCHEDULED","INVALID")</x:f>
        <x:v>AUTHORIZED / SCHEDULED</x:v>
      </x:c>
      <x:c r="R26" s="63" t="n">
        <x:f>COUNTIFS($B$5:$B$94,B26)</x:f>
        <x:v>5</x:v>
      </x:c>
    </x:row>
    <x:row r="27">
      <x:c r="A27" s="62" t="str">
        <x:v>P023</x:v>
      </x:c>
      <x:c r="B27" s="62" t="str">
        <x:v>CT-C-B</x:v>
      </x:c>
      <x:c r="C27" s="62" t="str">
        <x:v>CT-C</x:v>
      </x:c>
      <x:c r="D27" s="62" t="str">
        <x:v>B</x:v>
      </x:c>
      <x:c r="E27" s="63" t="n">
        <x:v>1</x:v>
      </x:c>
      <x:c r="F27" s="63" t="str">
        <x:v>CIVIL</x:v>
      </x:c>
      <x:c r="G27" s="62" t="str">
        <x:v>Rights, receiver and residual closure</x:v>
      </x:c>
      <x:c r="H27" s="75" t="n">
        <x:v>0.15</x:v>
      </x:c>
      <x:c r="I27" s="63" t="n">
        <x:v>0</x:v>
      </x:c>
      <x:c r="J27" s="63" t="n">
        <x:v>8</x:v>
      </x:c>
      <x:c r="K27" s="63" t="n">
        <x:f>(E27-1)*Controls!$B$11+I27</x:f>
        <x:v>0</x:v>
      </x:c>
      <x:c r="L27" s="63" t="n">
        <x:f>K27+J27</x:f>
        <x:v>8</x:v>
      </x:c>
      <x:c r="M27" s="65" t="n">
        <x:f>H27*INDEX('Warrant Registry'!$N$5:$N$22,MATCH(B27,'Warrant Registry'!$A$5:$A$22,0))</x:f>
        <x:v>0.0038737011133046996</x:v>
      </x:c>
      <x:c r="N27" s="63" t="n">
        <x:v>1</x:v>
      </x:c>
      <x:c r="O27" s="65" t="n">
        <x:v>0</x:v>
      </x:c>
      <x:c r="P27" s="65" t="n">
        <x:v>0</x:v>
      </x:c>
      <x:c r="Q27" s="62" t="str">
        <x:f>IF(AND(N27=1,O27=0,P27=0,L27&lt;=(E27*Controls!$B$11)),"AUTHORIZED / SCHEDULED","INVALID")</x:f>
        <x:v>AUTHORIZED / SCHEDULED</x:v>
      </x:c>
      <x:c r="R27" s="63" t="n">
        <x:f>COUNTIFS($B$5:$B$94,B27)</x:f>
        <x:v>5</x:v>
      </x:c>
    </x:row>
    <x:row r="28">
      <x:c r="A28" s="62" t="str">
        <x:v>P024</x:v>
      </x:c>
      <x:c r="B28" s="62" t="str">
        <x:v>CT-C-B</x:v>
      </x:c>
      <x:c r="C28" s="62" t="str">
        <x:v>CT-C</x:v>
      </x:c>
      <x:c r="D28" s="62" t="str">
        <x:v>B</x:v>
      </x:c>
      <x:c r="E28" s="63" t="n">
        <x:v>1</x:v>
      </x:c>
      <x:c r="F28" s="63" t="str">
        <x:v>ARTICLE</x:v>
      </x:c>
      <x:c r="G28" s="62" t="str">
        <x:v>Destructive-article engineering</x:v>
      </x:c>
      <x:c r="H28" s="75" t="n">
        <x:v>0.25</x:v>
      </x:c>
      <x:c r="I28" s="63" t="n">
        <x:v>6</x:v>
      </x:c>
      <x:c r="J28" s="63" t="n">
        <x:v>14</x:v>
      </x:c>
      <x:c r="K28" s="63" t="n">
        <x:f>(E28-1)*Controls!$B$11+I28</x:f>
        <x:v>6</x:v>
      </x:c>
      <x:c r="L28" s="63" t="n">
        <x:f>K28+J28</x:f>
        <x:v>20</x:v>
      </x:c>
      <x:c r="M28" s="65" t="n">
        <x:f>H28*INDEX('Warrant Registry'!$N$5:$N$22,MATCH(B28,'Warrant Registry'!$A$5:$A$22,0))</x:f>
        <x:v>0.0064561685221745</x:v>
      </x:c>
      <x:c r="N28" s="63" t="n">
        <x:v>1</x:v>
      </x:c>
      <x:c r="O28" s="65" t="n">
        <x:v>0</x:v>
      </x:c>
      <x:c r="P28" s="65" t="n">
        <x:v>0</x:v>
      </x:c>
      <x:c r="Q28" s="62" t="str">
        <x:f>IF(AND(N28=1,O28=0,P28=0,L28&lt;=(E28*Controls!$B$11)),"AUTHORIZED / SCHEDULED","INVALID")</x:f>
        <x:v>AUTHORIZED / SCHEDULED</x:v>
      </x:c>
      <x:c r="R28" s="63" t="n">
        <x:f>COUNTIFS($B$5:$B$94,B28)</x:f>
        <x:v>5</x:v>
      </x:c>
    </x:row>
    <x:row r="29">
      <x:c r="A29" s="62" t="str">
        <x:v>P025</x:v>
      </x:c>
      <x:c r="B29" s="62" t="str">
        <x:v>CT-C-B</x:v>
      </x:c>
      <x:c r="C29" s="62" t="str">
        <x:v>CT-C</x:v>
      </x:c>
      <x:c r="D29" s="62" t="str">
        <x:v>B</x:v>
      </x:c>
      <x:c r="E29" s="63" t="n">
        <x:v>1</x:v>
      </x:c>
      <x:c r="F29" s="63" t="str">
        <x:v>REBUILD</x:v>
      </x:c>
      <x:c r="G29" s="62" t="str">
        <x:v>Cold reconstruction and challenge</x:v>
      </x:c>
      <x:c r="H29" s="75" t="n">
        <x:v>0.15</x:v>
      </x:c>
      <x:c r="I29" s="63" t="n">
        <x:v>18</x:v>
      </x:c>
      <x:c r="J29" s="63" t="n">
        <x:v>6</x:v>
      </x:c>
      <x:c r="K29" s="63" t="n">
        <x:f>(E29-1)*Controls!$B$11+I29</x:f>
        <x:v>18</x:v>
      </x:c>
      <x:c r="L29" s="63" t="n">
        <x:f>K29+J29</x:f>
        <x:v>24</x:v>
      </x:c>
      <x:c r="M29" s="65" t="n">
        <x:f>H29*INDEX('Warrant Registry'!$N$5:$N$22,MATCH(B29,'Warrant Registry'!$A$5:$A$22,0))</x:f>
        <x:v>0.0038737011133046996</x:v>
      </x:c>
      <x:c r="N29" s="63" t="n">
        <x:v>1</x:v>
      </x:c>
      <x:c r="O29" s="65" t="n">
        <x:v>0</x:v>
      </x:c>
      <x:c r="P29" s="65" t="n">
        <x:v>0</x:v>
      </x:c>
      <x:c r="Q29" s="62" t="str">
        <x:f>IF(AND(N29=1,O29=0,P29=0,L29&lt;=(E29*Controls!$B$11)),"AUTHORIZED / SCHEDULED","INVALID")</x:f>
        <x:v>AUTHORIZED / SCHEDULED</x:v>
      </x:c>
      <x:c r="R29" s="63" t="n">
        <x:f>COUNTIFS($B$5:$B$94,B29)</x:f>
        <x:v>5</x:v>
      </x:c>
    </x:row>
    <x:row r="30">
      <x:c r="A30" s="62" t="str">
        <x:v>P026</x:v>
      </x:c>
      <x:c r="B30" s="62" t="str">
        <x:v>CT-C-C</x:v>
      </x:c>
      <x:c r="C30" s="62" t="str">
        <x:v>CT-C</x:v>
      </x:c>
      <x:c r="D30" s="62" t="str">
        <x:v>C</x:v>
      </x:c>
      <x:c r="E30" s="63" t="n">
        <x:v>2</x:v>
      </x:c>
      <x:c r="F30" s="63" t="str">
        <x:v>METHOD</x:v>
      </x:c>
      <x:c r="G30" s="62" t="str">
        <x:v>Event method and denominator</x:v>
      </x:c>
      <x:c r="H30" s="75" t="n">
        <x:v>0.2</x:v>
      </x:c>
      <x:c r="I30" s="63" t="n">
        <x:v>0</x:v>
      </x:c>
      <x:c r="J30" s="63" t="n">
        <x:v>4</x:v>
      </x:c>
      <x:c r="K30" s="63" t="n">
        <x:f>(E30-1)*Controls!$B$11+I30</x:f>
        <x:v>24</x:v>
      </x:c>
      <x:c r="L30" s="63" t="n">
        <x:f>K30+J30</x:f>
        <x:v>28</x:v>
      </x:c>
      <x:c r="M30" s="65" t="n">
        <x:f>H30*INDEX('Warrant Registry'!$N$5:$N$22,MATCH(B30,'Warrant Registry'!$A$5:$A$22,0))</x:f>
        <x:v>0.0051649348177396</x:v>
      </x:c>
      <x:c r="N30" s="63" t="n">
        <x:v>1</x:v>
      </x:c>
      <x:c r="O30" s="65" t="n">
        <x:v>0</x:v>
      </x:c>
      <x:c r="P30" s="65" t="n">
        <x:v>0</x:v>
      </x:c>
      <x:c r="Q30" s="62" t="str">
        <x:f>IF(AND(N30=1,O30=0,P30=0,L30&lt;=(E30*Controls!$B$11)),"AUTHORIZED / SCHEDULED","INVALID")</x:f>
        <x:v>AUTHORIZED / SCHEDULED</x:v>
      </x:c>
      <x:c r="R30" s="63" t="n">
        <x:f>COUNTIFS($B$5:$B$94,B30)</x:f>
        <x:v>5</x:v>
      </x:c>
    </x:row>
    <x:row r="31">
      <x:c r="A31" s="62" t="str">
        <x:v>P027</x:v>
      </x:c>
      <x:c r="B31" s="62" t="str">
        <x:v>CT-C-C</x:v>
      </x:c>
      <x:c r="C31" s="62" t="str">
        <x:v>CT-C</x:v>
      </x:c>
      <x:c r="D31" s="62" t="str">
        <x:v>C</x:v>
      </x:c>
      <x:c r="E31" s="63" t="n">
        <x:v>2</x:v>
      </x:c>
      <x:c r="F31" s="63" t="str">
        <x:v>MEASURE</x:v>
      </x:c>
      <x:c r="G31" s="62" t="str">
        <x:v>Instrumentation, custody and validity</x:v>
      </x:c>
      <x:c r="H31" s="75" t="n">
        <x:v>0.25</x:v>
      </x:c>
      <x:c r="I31" s="63" t="n">
        <x:v>2</x:v>
      </x:c>
      <x:c r="J31" s="63" t="n">
        <x:v>8</x:v>
      </x:c>
      <x:c r="K31" s="63" t="n">
        <x:f>(E31-1)*Controls!$B$11+I31</x:f>
        <x:v>26</x:v>
      </x:c>
      <x:c r="L31" s="63" t="n">
        <x:f>K31+J31</x:f>
        <x:v>34</x:v>
      </x:c>
      <x:c r="M31" s="65" t="n">
        <x:f>H31*INDEX('Warrant Registry'!$N$5:$N$22,MATCH(B31,'Warrant Registry'!$A$5:$A$22,0))</x:f>
        <x:v>0.0064561685221745</x:v>
      </x:c>
      <x:c r="N31" s="63" t="n">
        <x:v>1</x:v>
      </x:c>
      <x:c r="O31" s="65" t="n">
        <x:v>0</x:v>
      </x:c>
      <x:c r="P31" s="65" t="n">
        <x:v>0</x:v>
      </x:c>
      <x:c r="Q31" s="62" t="str">
        <x:f>IF(AND(N31=1,O31=0,P31=0,L31&lt;=(E31*Controls!$B$11)),"AUTHORIZED / SCHEDULED","INVALID")</x:f>
        <x:v>AUTHORIZED / SCHEDULED</x:v>
      </x:c>
      <x:c r="R31" s="63" t="n">
        <x:f>COUNTIFS($B$5:$B$94,B31)</x:f>
        <x:v>5</x:v>
      </x:c>
    </x:row>
    <x:row r="32">
      <x:c r="A32" s="62" t="str">
        <x:v>P028</x:v>
      </x:c>
      <x:c r="B32" s="62" t="str">
        <x:v>CT-C-C</x:v>
      </x:c>
      <x:c r="C32" s="62" t="str">
        <x:v>CT-C</x:v>
      </x:c>
      <x:c r="D32" s="62" t="str">
        <x:v>C</x:v>
      </x:c>
      <x:c r="E32" s="63" t="n">
        <x:v>2</x:v>
      </x:c>
      <x:c r="F32" s="63" t="str">
        <x:v>CIVIL</x:v>
      </x:c>
      <x:c r="G32" s="62" t="str">
        <x:v>Rights, receiver and residual closure</x:v>
      </x:c>
      <x:c r="H32" s="75" t="n">
        <x:v>0.15</x:v>
      </x:c>
      <x:c r="I32" s="63" t="n">
        <x:v>0</x:v>
      </x:c>
      <x:c r="J32" s="63" t="n">
        <x:v>8</x:v>
      </x:c>
      <x:c r="K32" s="63" t="n">
        <x:f>(E32-1)*Controls!$B$11+I32</x:f>
        <x:v>24</x:v>
      </x:c>
      <x:c r="L32" s="63" t="n">
        <x:f>K32+J32</x:f>
        <x:v>32</x:v>
      </x:c>
      <x:c r="M32" s="65" t="n">
        <x:f>H32*INDEX('Warrant Registry'!$N$5:$N$22,MATCH(B32,'Warrant Registry'!$A$5:$A$22,0))</x:f>
        <x:v>0.0038737011133046996</x:v>
      </x:c>
      <x:c r="N32" s="63" t="n">
        <x:v>1</x:v>
      </x:c>
      <x:c r="O32" s="65" t="n">
        <x:v>0</x:v>
      </x:c>
      <x:c r="P32" s="65" t="n">
        <x:v>0</x:v>
      </x:c>
      <x:c r="Q32" s="62" t="str">
        <x:f>IF(AND(N32=1,O32=0,P32=0,L32&lt;=(E32*Controls!$B$11)),"AUTHORIZED / SCHEDULED","INVALID")</x:f>
        <x:v>AUTHORIZED / SCHEDULED</x:v>
      </x:c>
      <x:c r="R32" s="63" t="n">
        <x:f>COUNTIFS($B$5:$B$94,B32)</x:f>
        <x:v>5</x:v>
      </x:c>
    </x:row>
    <x:row r="33">
      <x:c r="A33" s="62" t="str">
        <x:v>P029</x:v>
      </x:c>
      <x:c r="B33" s="62" t="str">
        <x:v>CT-C-C</x:v>
      </x:c>
      <x:c r="C33" s="62" t="str">
        <x:v>CT-C</x:v>
      </x:c>
      <x:c r="D33" s="62" t="str">
        <x:v>C</x:v>
      </x:c>
      <x:c r="E33" s="63" t="n">
        <x:v>2</x:v>
      </x:c>
      <x:c r="F33" s="63" t="str">
        <x:v>ARTICLE</x:v>
      </x:c>
      <x:c r="G33" s="62" t="str">
        <x:v>Destructive-article engineering</x:v>
      </x:c>
      <x:c r="H33" s="75" t="n">
        <x:v>0.25</x:v>
      </x:c>
      <x:c r="I33" s="63" t="n">
        <x:v>6</x:v>
      </x:c>
      <x:c r="J33" s="63" t="n">
        <x:v>14</x:v>
      </x:c>
      <x:c r="K33" s="63" t="n">
        <x:f>(E33-1)*Controls!$B$11+I33</x:f>
        <x:v>30</x:v>
      </x:c>
      <x:c r="L33" s="63" t="n">
        <x:f>K33+J33</x:f>
        <x:v>44</x:v>
      </x:c>
      <x:c r="M33" s="65" t="n">
        <x:f>H33*INDEX('Warrant Registry'!$N$5:$N$22,MATCH(B33,'Warrant Registry'!$A$5:$A$22,0))</x:f>
        <x:v>0.0064561685221745</x:v>
      </x:c>
      <x:c r="N33" s="63" t="n">
        <x:v>1</x:v>
      </x:c>
      <x:c r="O33" s="65" t="n">
        <x:v>0</x:v>
      </x:c>
      <x:c r="P33" s="65" t="n">
        <x:v>0</x:v>
      </x:c>
      <x:c r="Q33" s="62" t="str">
        <x:f>IF(AND(N33=1,O33=0,P33=0,L33&lt;=(E33*Controls!$B$11)),"AUTHORIZED / SCHEDULED","INVALID")</x:f>
        <x:v>AUTHORIZED / SCHEDULED</x:v>
      </x:c>
      <x:c r="R33" s="63" t="n">
        <x:f>COUNTIFS($B$5:$B$94,B33)</x:f>
        <x:v>5</x:v>
      </x:c>
    </x:row>
    <x:row r="34">
      <x:c r="A34" s="62" t="str">
        <x:v>P030</x:v>
      </x:c>
      <x:c r="B34" s="62" t="str">
        <x:v>CT-C-C</x:v>
      </x:c>
      <x:c r="C34" s="62" t="str">
        <x:v>CT-C</x:v>
      </x:c>
      <x:c r="D34" s="62" t="str">
        <x:v>C</x:v>
      </x:c>
      <x:c r="E34" s="63" t="n">
        <x:v>2</x:v>
      </x:c>
      <x:c r="F34" s="63" t="str">
        <x:v>REBUILD</x:v>
      </x:c>
      <x:c r="G34" s="62" t="str">
        <x:v>Cold reconstruction and challenge</x:v>
      </x:c>
      <x:c r="H34" s="75" t="n">
        <x:v>0.15</x:v>
      </x:c>
      <x:c r="I34" s="63" t="n">
        <x:v>18</x:v>
      </x:c>
      <x:c r="J34" s="63" t="n">
        <x:v>6</x:v>
      </x:c>
      <x:c r="K34" s="63" t="n">
        <x:f>(E34-1)*Controls!$B$11+I34</x:f>
        <x:v>42</x:v>
      </x:c>
      <x:c r="L34" s="63" t="n">
        <x:f>K34+J34</x:f>
        <x:v>48</x:v>
      </x:c>
      <x:c r="M34" s="65" t="n">
        <x:f>H34*INDEX('Warrant Registry'!$N$5:$N$22,MATCH(B34,'Warrant Registry'!$A$5:$A$22,0))</x:f>
        <x:v>0.0038737011133046996</x:v>
      </x:c>
      <x:c r="N34" s="63" t="n">
        <x:v>1</x:v>
      </x:c>
      <x:c r="O34" s="65" t="n">
        <x:v>0</x:v>
      </x:c>
      <x:c r="P34" s="65" t="n">
        <x:v>0</x:v>
      </x:c>
      <x:c r="Q34" s="62" t="str">
        <x:f>IF(AND(N34=1,O34=0,P34=0,L34&lt;=(E34*Controls!$B$11)),"AUTHORIZED / SCHEDULED","INVALID")</x:f>
        <x:v>AUTHORIZED / SCHEDULED</x:v>
      </x:c>
      <x:c r="R34" s="63" t="n">
        <x:f>COUNTIFS($B$5:$B$94,B34)</x:f>
        <x:v>5</x:v>
      </x:c>
    </x:row>
    <x:row r="35">
      <x:c r="A35" s="62" t="str">
        <x:v>P031</x:v>
      </x:c>
      <x:c r="B35" s="62" t="str">
        <x:v>HC-A-A</x:v>
      </x:c>
      <x:c r="C35" s="62" t="str">
        <x:v>HC-A</x:v>
      </x:c>
      <x:c r="D35" s="62" t="str">
        <x:v>A</x:v>
      </x:c>
      <x:c r="E35" s="63" t="n">
        <x:v>2</x:v>
      </x:c>
      <x:c r="F35" s="63" t="str">
        <x:v>METHOD</x:v>
      </x:c>
      <x:c r="G35" s="62" t="str">
        <x:v>Event method and denominator</x:v>
      </x:c>
      <x:c r="H35" s="75" t="n">
        <x:v>0.2</x:v>
      </x:c>
      <x:c r="I35" s="63" t="n">
        <x:v>0</x:v>
      </x:c>
      <x:c r="J35" s="63" t="n">
        <x:v>4</x:v>
      </x:c>
      <x:c r="K35" s="63" t="n">
        <x:f>(E35-1)*Controls!$B$11+I35</x:f>
        <x:v>24</x:v>
      </x:c>
      <x:c r="L35" s="63" t="n">
        <x:f>K35+J35</x:f>
        <x:v>28</x:v>
      </x:c>
      <x:c r="M35" s="65" t="n">
        <x:f>H35*INDEX('Warrant Registry'!$N$5:$N$22,MATCH(B35,'Warrant Registry'!$A$5:$A$22,0))</x:f>
        <x:v>0.0030722165406713298</x:v>
      </x:c>
      <x:c r="N35" s="63" t="n">
        <x:v>1</x:v>
      </x:c>
      <x:c r="O35" s="65" t="n">
        <x:v>0</x:v>
      </x:c>
      <x:c r="P35" s="65" t="n">
        <x:v>0</x:v>
      </x:c>
      <x:c r="Q35" s="62" t="str">
        <x:f>IF(AND(N35=1,O35=0,P35=0,L35&lt;=(E35*Controls!$B$11)),"AUTHORIZED / SCHEDULED","INVALID")</x:f>
        <x:v>AUTHORIZED / SCHEDULED</x:v>
      </x:c>
      <x:c r="R35" s="63" t="n">
        <x:f>COUNTIFS($B$5:$B$94,B35)</x:f>
        <x:v>5</x:v>
      </x:c>
    </x:row>
    <x:row r="36">
      <x:c r="A36" s="62" t="str">
        <x:v>P032</x:v>
      </x:c>
      <x:c r="B36" s="62" t="str">
        <x:v>HC-A-A</x:v>
      </x:c>
      <x:c r="C36" s="62" t="str">
        <x:v>HC-A</x:v>
      </x:c>
      <x:c r="D36" s="62" t="str">
        <x:v>A</x:v>
      </x:c>
      <x:c r="E36" s="63" t="n">
        <x:v>2</x:v>
      </x:c>
      <x:c r="F36" s="63" t="str">
        <x:v>MEASURE</x:v>
      </x:c>
      <x:c r="G36" s="62" t="str">
        <x:v>Instrumentation, custody and validity</x:v>
      </x:c>
      <x:c r="H36" s="75" t="n">
        <x:v>0.25</x:v>
      </x:c>
      <x:c r="I36" s="63" t="n">
        <x:v>2</x:v>
      </x:c>
      <x:c r="J36" s="63" t="n">
        <x:v>8</x:v>
      </x:c>
      <x:c r="K36" s="63" t="n">
        <x:f>(E36-1)*Controls!$B$11+I36</x:f>
        <x:v>26</x:v>
      </x:c>
      <x:c r="L36" s="63" t="n">
        <x:f>K36+J36</x:f>
        <x:v>34</x:v>
      </x:c>
      <x:c r="M36" s="65" t="n">
        <x:f>H36*INDEX('Warrant Registry'!$N$5:$N$22,MATCH(B36,'Warrant Registry'!$A$5:$A$22,0))</x:f>
        <x:v>0.003840270675839162</x:v>
      </x:c>
      <x:c r="N36" s="63" t="n">
        <x:v>1</x:v>
      </x:c>
      <x:c r="O36" s="65" t="n">
        <x:v>0</x:v>
      </x:c>
      <x:c r="P36" s="65" t="n">
        <x:v>0</x:v>
      </x:c>
      <x:c r="Q36" s="62" t="str">
        <x:f>IF(AND(N36=1,O36=0,P36=0,L36&lt;=(E36*Controls!$B$11)),"AUTHORIZED / SCHEDULED","INVALID")</x:f>
        <x:v>AUTHORIZED / SCHEDULED</x:v>
      </x:c>
      <x:c r="R36" s="63" t="n">
        <x:f>COUNTIFS($B$5:$B$94,B36)</x:f>
        <x:v>5</x:v>
      </x:c>
    </x:row>
    <x:row r="37">
      <x:c r="A37" s="62" t="str">
        <x:v>P033</x:v>
      </x:c>
      <x:c r="B37" s="62" t="str">
        <x:v>HC-A-A</x:v>
      </x:c>
      <x:c r="C37" s="62" t="str">
        <x:v>HC-A</x:v>
      </x:c>
      <x:c r="D37" s="62" t="str">
        <x:v>A</x:v>
      </x:c>
      <x:c r="E37" s="63" t="n">
        <x:v>2</x:v>
      </x:c>
      <x:c r="F37" s="63" t="str">
        <x:v>CIVIL</x:v>
      </x:c>
      <x:c r="G37" s="62" t="str">
        <x:v>Rights, receiver and residual closure</x:v>
      </x:c>
      <x:c r="H37" s="75" t="n">
        <x:v>0.15</x:v>
      </x:c>
      <x:c r="I37" s="63" t="n">
        <x:v>0</x:v>
      </x:c>
      <x:c r="J37" s="63" t="n">
        <x:v>8</x:v>
      </x:c>
      <x:c r="K37" s="63" t="n">
        <x:f>(E37-1)*Controls!$B$11+I37</x:f>
        <x:v>24</x:v>
      </x:c>
      <x:c r="L37" s="63" t="n">
        <x:f>K37+J37</x:f>
        <x:v>32</x:v>
      </x:c>
      <x:c r="M37" s="65" t="n">
        <x:f>H37*INDEX('Warrant Registry'!$N$5:$N$22,MATCH(B37,'Warrant Registry'!$A$5:$A$22,0))</x:f>
        <x:v>0.0023041624055034973</x:v>
      </x:c>
      <x:c r="N37" s="63" t="n">
        <x:v>1</x:v>
      </x:c>
      <x:c r="O37" s="65" t="n">
        <x:v>0</x:v>
      </x:c>
      <x:c r="P37" s="65" t="n">
        <x:v>0</x:v>
      </x:c>
      <x:c r="Q37" s="62" t="str">
        <x:f>IF(AND(N37=1,O37=0,P37=0,L37&lt;=(E37*Controls!$B$11)),"AUTHORIZED / SCHEDULED","INVALID")</x:f>
        <x:v>AUTHORIZED / SCHEDULED</x:v>
      </x:c>
      <x:c r="R37" s="63" t="n">
        <x:f>COUNTIFS($B$5:$B$94,B37)</x:f>
        <x:v>5</x:v>
      </x:c>
    </x:row>
    <x:row r="38">
      <x:c r="A38" s="62" t="str">
        <x:v>P034</x:v>
      </x:c>
      <x:c r="B38" s="62" t="str">
        <x:v>HC-A-A</x:v>
      </x:c>
      <x:c r="C38" s="62" t="str">
        <x:v>HC-A</x:v>
      </x:c>
      <x:c r="D38" s="62" t="str">
        <x:v>A</x:v>
      </x:c>
      <x:c r="E38" s="63" t="n">
        <x:v>2</x:v>
      </x:c>
      <x:c r="F38" s="63" t="str">
        <x:v>ARTICLE</x:v>
      </x:c>
      <x:c r="G38" s="62" t="str">
        <x:v>Destructive-article engineering</x:v>
      </x:c>
      <x:c r="H38" s="75" t="n">
        <x:v>0.25</x:v>
      </x:c>
      <x:c r="I38" s="63" t="n">
        <x:v>6</x:v>
      </x:c>
      <x:c r="J38" s="63" t="n">
        <x:v>14</x:v>
      </x:c>
      <x:c r="K38" s="63" t="n">
        <x:f>(E38-1)*Controls!$B$11+I38</x:f>
        <x:v>30</x:v>
      </x:c>
      <x:c r="L38" s="63" t="n">
        <x:f>K38+J38</x:f>
        <x:v>44</x:v>
      </x:c>
      <x:c r="M38" s="65" t="n">
        <x:f>H38*INDEX('Warrant Registry'!$N$5:$N$22,MATCH(B38,'Warrant Registry'!$A$5:$A$22,0))</x:f>
        <x:v>0.003840270675839162</x:v>
      </x:c>
      <x:c r="N38" s="63" t="n">
        <x:v>1</x:v>
      </x:c>
      <x:c r="O38" s="65" t="n">
        <x:v>0</x:v>
      </x:c>
      <x:c r="P38" s="65" t="n">
        <x:v>0</x:v>
      </x:c>
      <x:c r="Q38" s="62" t="str">
        <x:f>IF(AND(N38=1,O38=0,P38=0,L38&lt;=(E38*Controls!$B$11)),"AUTHORIZED / SCHEDULED","INVALID")</x:f>
        <x:v>AUTHORIZED / SCHEDULED</x:v>
      </x:c>
      <x:c r="R38" s="63" t="n">
        <x:f>COUNTIFS($B$5:$B$94,B38)</x:f>
        <x:v>5</x:v>
      </x:c>
    </x:row>
    <x:row r="39">
      <x:c r="A39" s="62" t="str">
        <x:v>P035</x:v>
      </x:c>
      <x:c r="B39" s="62" t="str">
        <x:v>HC-A-A</x:v>
      </x:c>
      <x:c r="C39" s="62" t="str">
        <x:v>HC-A</x:v>
      </x:c>
      <x:c r="D39" s="62" t="str">
        <x:v>A</x:v>
      </x:c>
      <x:c r="E39" s="63" t="n">
        <x:v>2</x:v>
      </x:c>
      <x:c r="F39" s="63" t="str">
        <x:v>REBUILD</x:v>
      </x:c>
      <x:c r="G39" s="62" t="str">
        <x:v>Cold reconstruction and challenge</x:v>
      </x:c>
      <x:c r="H39" s="75" t="n">
        <x:v>0.15</x:v>
      </x:c>
      <x:c r="I39" s="63" t="n">
        <x:v>18</x:v>
      </x:c>
      <x:c r="J39" s="63" t="n">
        <x:v>6</x:v>
      </x:c>
      <x:c r="K39" s="63" t="n">
        <x:f>(E39-1)*Controls!$B$11+I39</x:f>
        <x:v>42</x:v>
      </x:c>
      <x:c r="L39" s="63" t="n">
        <x:f>K39+J39</x:f>
        <x:v>48</x:v>
      </x:c>
      <x:c r="M39" s="65" t="n">
        <x:f>H39*INDEX('Warrant Registry'!$N$5:$N$22,MATCH(B39,'Warrant Registry'!$A$5:$A$22,0))</x:f>
        <x:v>0.0023041624055034973</x:v>
      </x:c>
      <x:c r="N39" s="63" t="n">
        <x:v>1</x:v>
      </x:c>
      <x:c r="O39" s="65" t="n">
        <x:v>0</x:v>
      </x:c>
      <x:c r="P39" s="65" t="n">
        <x:v>0</x:v>
      </x:c>
      <x:c r="Q39" s="62" t="str">
        <x:f>IF(AND(N39=1,O39=0,P39=0,L39&lt;=(E39*Controls!$B$11)),"AUTHORIZED / SCHEDULED","INVALID")</x:f>
        <x:v>AUTHORIZED / SCHEDULED</x:v>
      </x:c>
      <x:c r="R39" s="63" t="n">
        <x:f>COUNTIFS($B$5:$B$94,B39)</x:f>
        <x:v>5</x:v>
      </x:c>
    </x:row>
    <x:row r="40">
      <x:c r="A40" s="62" t="str">
        <x:v>P036</x:v>
      </x:c>
      <x:c r="B40" s="62" t="str">
        <x:v>HC-A-B</x:v>
      </x:c>
      <x:c r="C40" s="62" t="str">
        <x:v>HC-A</x:v>
      </x:c>
      <x:c r="D40" s="62" t="str">
        <x:v>B</x:v>
      </x:c>
      <x:c r="E40" s="63" t="n">
        <x:v>3</x:v>
      </x:c>
      <x:c r="F40" s="63" t="str">
        <x:v>METHOD</x:v>
      </x:c>
      <x:c r="G40" s="62" t="str">
        <x:v>Event method and denominator</x:v>
      </x:c>
      <x:c r="H40" s="75" t="n">
        <x:v>0.2</x:v>
      </x:c>
      <x:c r="I40" s="63" t="n">
        <x:v>0</x:v>
      </x:c>
      <x:c r="J40" s="63" t="n">
        <x:v>4</x:v>
      </x:c>
      <x:c r="K40" s="63" t="n">
        <x:f>(E40-1)*Controls!$B$11+I40</x:f>
        <x:v>48</x:v>
      </x:c>
      <x:c r="L40" s="63" t="n">
        <x:f>K40+J40</x:f>
        <x:v>52</x:v>
      </x:c>
      <x:c r="M40" s="65" t="n">
        <x:f>H40*INDEX('Warrant Registry'!$N$5:$N$22,MATCH(B40,'Warrant Registry'!$A$5:$A$22,0))</x:f>
        <x:v>0.0030722165406713298</x:v>
      </x:c>
      <x:c r="N40" s="63" t="n">
        <x:v>1</x:v>
      </x:c>
      <x:c r="O40" s="65" t="n">
        <x:v>0</x:v>
      </x:c>
      <x:c r="P40" s="65" t="n">
        <x:v>0</x:v>
      </x:c>
      <x:c r="Q40" s="62" t="str">
        <x:f>IF(AND(N40=1,O40=0,P40=0,L40&lt;=(E40*Controls!$B$11)),"AUTHORIZED / SCHEDULED","INVALID")</x:f>
        <x:v>AUTHORIZED / SCHEDULED</x:v>
      </x:c>
      <x:c r="R40" s="63" t="n">
        <x:f>COUNTIFS($B$5:$B$94,B40)</x:f>
        <x:v>5</x:v>
      </x:c>
    </x:row>
    <x:row r="41">
      <x:c r="A41" s="62" t="str">
        <x:v>P037</x:v>
      </x:c>
      <x:c r="B41" s="62" t="str">
        <x:v>HC-A-B</x:v>
      </x:c>
      <x:c r="C41" s="62" t="str">
        <x:v>HC-A</x:v>
      </x:c>
      <x:c r="D41" s="62" t="str">
        <x:v>B</x:v>
      </x:c>
      <x:c r="E41" s="63" t="n">
        <x:v>3</x:v>
      </x:c>
      <x:c r="F41" s="63" t="str">
        <x:v>MEASURE</x:v>
      </x:c>
      <x:c r="G41" s="62" t="str">
        <x:v>Instrumentation, custody and validity</x:v>
      </x:c>
      <x:c r="H41" s="75" t="n">
        <x:v>0.25</x:v>
      </x:c>
      <x:c r="I41" s="63" t="n">
        <x:v>2</x:v>
      </x:c>
      <x:c r="J41" s="63" t="n">
        <x:v>8</x:v>
      </x:c>
      <x:c r="K41" s="63" t="n">
        <x:f>(E41-1)*Controls!$B$11+I41</x:f>
        <x:v>50</x:v>
      </x:c>
      <x:c r="L41" s="63" t="n">
        <x:f>K41+J41</x:f>
        <x:v>58</x:v>
      </x:c>
      <x:c r="M41" s="65" t="n">
        <x:f>H41*INDEX('Warrant Registry'!$N$5:$N$22,MATCH(B41,'Warrant Registry'!$A$5:$A$22,0))</x:f>
        <x:v>0.003840270675839162</x:v>
      </x:c>
      <x:c r="N41" s="63" t="n">
        <x:v>1</x:v>
      </x:c>
      <x:c r="O41" s="65" t="n">
        <x:v>0</x:v>
      </x:c>
      <x:c r="P41" s="65" t="n">
        <x:v>0</x:v>
      </x:c>
      <x:c r="Q41" s="62" t="str">
        <x:f>IF(AND(N41=1,O41=0,P41=0,L41&lt;=(E41*Controls!$B$11)),"AUTHORIZED / SCHEDULED","INVALID")</x:f>
        <x:v>AUTHORIZED / SCHEDULED</x:v>
      </x:c>
      <x:c r="R41" s="63" t="n">
        <x:f>COUNTIFS($B$5:$B$94,B41)</x:f>
        <x:v>5</x:v>
      </x:c>
    </x:row>
    <x:row r="42">
      <x:c r="A42" s="62" t="str">
        <x:v>P038</x:v>
      </x:c>
      <x:c r="B42" s="62" t="str">
        <x:v>HC-A-B</x:v>
      </x:c>
      <x:c r="C42" s="62" t="str">
        <x:v>HC-A</x:v>
      </x:c>
      <x:c r="D42" s="62" t="str">
        <x:v>B</x:v>
      </x:c>
      <x:c r="E42" s="63" t="n">
        <x:v>3</x:v>
      </x:c>
      <x:c r="F42" s="63" t="str">
        <x:v>CIVIL</x:v>
      </x:c>
      <x:c r="G42" s="62" t="str">
        <x:v>Rights, receiver and residual closure</x:v>
      </x:c>
      <x:c r="H42" s="75" t="n">
        <x:v>0.15</x:v>
      </x:c>
      <x:c r="I42" s="63" t="n">
        <x:v>0</x:v>
      </x:c>
      <x:c r="J42" s="63" t="n">
        <x:v>8</x:v>
      </x:c>
      <x:c r="K42" s="63" t="n">
        <x:f>(E42-1)*Controls!$B$11+I42</x:f>
        <x:v>48</x:v>
      </x:c>
      <x:c r="L42" s="63" t="n">
        <x:f>K42+J42</x:f>
        <x:v>56</x:v>
      </x:c>
      <x:c r="M42" s="65" t="n">
        <x:f>H42*INDEX('Warrant Registry'!$N$5:$N$22,MATCH(B42,'Warrant Registry'!$A$5:$A$22,0))</x:f>
        <x:v>0.0023041624055034973</x:v>
      </x:c>
      <x:c r="N42" s="63" t="n">
        <x:v>1</x:v>
      </x:c>
      <x:c r="O42" s="65" t="n">
        <x:v>0</x:v>
      </x:c>
      <x:c r="P42" s="65" t="n">
        <x:v>0</x:v>
      </x:c>
      <x:c r="Q42" s="62" t="str">
        <x:f>IF(AND(N42=1,O42=0,P42=0,L42&lt;=(E42*Controls!$B$11)),"AUTHORIZED / SCHEDULED","INVALID")</x:f>
        <x:v>AUTHORIZED / SCHEDULED</x:v>
      </x:c>
      <x:c r="R42" s="63" t="n">
        <x:f>COUNTIFS($B$5:$B$94,B42)</x:f>
        <x:v>5</x:v>
      </x:c>
    </x:row>
    <x:row r="43">
      <x:c r="A43" s="62" t="str">
        <x:v>P039</x:v>
      </x:c>
      <x:c r="B43" s="62" t="str">
        <x:v>HC-A-B</x:v>
      </x:c>
      <x:c r="C43" s="62" t="str">
        <x:v>HC-A</x:v>
      </x:c>
      <x:c r="D43" s="62" t="str">
        <x:v>B</x:v>
      </x:c>
      <x:c r="E43" s="63" t="n">
        <x:v>3</x:v>
      </x:c>
      <x:c r="F43" s="63" t="str">
        <x:v>ARTICLE</x:v>
      </x:c>
      <x:c r="G43" s="62" t="str">
        <x:v>Destructive-article engineering</x:v>
      </x:c>
      <x:c r="H43" s="75" t="n">
        <x:v>0.25</x:v>
      </x:c>
      <x:c r="I43" s="63" t="n">
        <x:v>6</x:v>
      </x:c>
      <x:c r="J43" s="63" t="n">
        <x:v>14</x:v>
      </x:c>
      <x:c r="K43" s="63" t="n">
        <x:f>(E43-1)*Controls!$B$11+I43</x:f>
        <x:v>54</x:v>
      </x:c>
      <x:c r="L43" s="63" t="n">
        <x:f>K43+J43</x:f>
        <x:v>68</x:v>
      </x:c>
      <x:c r="M43" s="65" t="n">
        <x:f>H43*INDEX('Warrant Registry'!$N$5:$N$22,MATCH(B43,'Warrant Registry'!$A$5:$A$22,0))</x:f>
        <x:v>0.003840270675839162</x:v>
      </x:c>
      <x:c r="N43" s="63" t="n">
        <x:v>1</x:v>
      </x:c>
      <x:c r="O43" s="65" t="n">
        <x:v>0</x:v>
      </x:c>
      <x:c r="P43" s="65" t="n">
        <x:v>0</x:v>
      </x:c>
      <x:c r="Q43" s="62" t="str">
        <x:f>IF(AND(N43=1,O43=0,P43=0,L43&lt;=(E43*Controls!$B$11)),"AUTHORIZED / SCHEDULED","INVALID")</x:f>
        <x:v>AUTHORIZED / SCHEDULED</x:v>
      </x:c>
      <x:c r="R43" s="63" t="n">
        <x:f>COUNTIFS($B$5:$B$94,B43)</x:f>
        <x:v>5</x:v>
      </x:c>
    </x:row>
    <x:row r="44">
      <x:c r="A44" s="62" t="str">
        <x:v>P040</x:v>
      </x:c>
      <x:c r="B44" s="62" t="str">
        <x:v>HC-A-B</x:v>
      </x:c>
      <x:c r="C44" s="62" t="str">
        <x:v>HC-A</x:v>
      </x:c>
      <x:c r="D44" s="62" t="str">
        <x:v>B</x:v>
      </x:c>
      <x:c r="E44" s="63" t="n">
        <x:v>3</x:v>
      </x:c>
      <x:c r="F44" s="63" t="str">
        <x:v>REBUILD</x:v>
      </x:c>
      <x:c r="G44" s="62" t="str">
        <x:v>Cold reconstruction and challenge</x:v>
      </x:c>
      <x:c r="H44" s="75" t="n">
        <x:v>0.15</x:v>
      </x:c>
      <x:c r="I44" s="63" t="n">
        <x:v>18</x:v>
      </x:c>
      <x:c r="J44" s="63" t="n">
        <x:v>6</x:v>
      </x:c>
      <x:c r="K44" s="63" t="n">
        <x:f>(E44-1)*Controls!$B$11+I44</x:f>
        <x:v>66</x:v>
      </x:c>
      <x:c r="L44" s="63" t="n">
        <x:f>K44+J44</x:f>
        <x:v>72</x:v>
      </x:c>
      <x:c r="M44" s="65" t="n">
        <x:f>H44*INDEX('Warrant Registry'!$N$5:$N$22,MATCH(B44,'Warrant Registry'!$A$5:$A$22,0))</x:f>
        <x:v>0.0023041624055034973</x:v>
      </x:c>
      <x:c r="N44" s="63" t="n">
        <x:v>1</x:v>
      </x:c>
      <x:c r="O44" s="65" t="n">
        <x:v>0</x:v>
      </x:c>
      <x:c r="P44" s="65" t="n">
        <x:v>0</x:v>
      </x:c>
      <x:c r="Q44" s="62" t="str">
        <x:f>IF(AND(N44=1,O44=0,P44=0,L44&lt;=(E44*Controls!$B$11)),"AUTHORIZED / SCHEDULED","INVALID")</x:f>
        <x:v>AUTHORIZED / SCHEDULED</x:v>
      </x:c>
      <x:c r="R44" s="63" t="n">
        <x:f>COUNTIFS($B$5:$B$94,B44)</x:f>
        <x:v>5</x:v>
      </x:c>
    </x:row>
    <x:row r="45">
      <x:c r="A45" s="62" t="str">
        <x:v>P041</x:v>
      </x:c>
      <x:c r="B45" s="62" t="str">
        <x:v>HC-A-C</x:v>
      </x:c>
      <x:c r="C45" s="62" t="str">
        <x:v>HC-A</x:v>
      </x:c>
      <x:c r="D45" s="62" t="str">
        <x:v>C</x:v>
      </x:c>
      <x:c r="E45" s="63" t="n">
        <x:v>1</x:v>
      </x:c>
      <x:c r="F45" s="63" t="str">
        <x:v>METHOD</x:v>
      </x:c>
      <x:c r="G45" s="62" t="str">
        <x:v>Event method and denominator</x:v>
      </x:c>
      <x:c r="H45" s="75" t="n">
        <x:v>0.2</x:v>
      </x:c>
      <x:c r="I45" s="63" t="n">
        <x:v>0</x:v>
      </x:c>
      <x:c r="J45" s="63" t="n">
        <x:v>4</x:v>
      </x:c>
      <x:c r="K45" s="63" t="n">
        <x:f>(E45-1)*Controls!$B$11+I45</x:f>
        <x:v>0</x:v>
      </x:c>
      <x:c r="L45" s="63" t="n">
        <x:f>K45+J45</x:f>
        <x:v>4</x:v>
      </x:c>
      <x:c r="M45" s="65" t="n">
        <x:f>H45*INDEX('Warrant Registry'!$N$5:$N$22,MATCH(B45,'Warrant Registry'!$A$5:$A$22,0))</x:f>
        <x:v>0.0030722165406713298</x:v>
      </x:c>
      <x:c r="N45" s="63" t="n">
        <x:v>1</x:v>
      </x:c>
      <x:c r="O45" s="65" t="n">
        <x:v>0</x:v>
      </x:c>
      <x:c r="P45" s="65" t="n">
        <x:v>0</x:v>
      </x:c>
      <x:c r="Q45" s="62" t="str">
        <x:f>IF(AND(N45=1,O45=0,P45=0,L45&lt;=(E45*Controls!$B$11)),"AUTHORIZED / SCHEDULED","INVALID")</x:f>
        <x:v>AUTHORIZED / SCHEDULED</x:v>
      </x:c>
      <x:c r="R45" s="63" t="n">
        <x:f>COUNTIFS($B$5:$B$94,B45)</x:f>
        <x:v>5</x:v>
      </x:c>
    </x:row>
    <x:row r="46">
      <x:c r="A46" s="62" t="str">
        <x:v>P042</x:v>
      </x:c>
      <x:c r="B46" s="62" t="str">
        <x:v>HC-A-C</x:v>
      </x:c>
      <x:c r="C46" s="62" t="str">
        <x:v>HC-A</x:v>
      </x:c>
      <x:c r="D46" s="62" t="str">
        <x:v>C</x:v>
      </x:c>
      <x:c r="E46" s="63" t="n">
        <x:v>1</x:v>
      </x:c>
      <x:c r="F46" s="63" t="str">
        <x:v>MEASURE</x:v>
      </x:c>
      <x:c r="G46" s="62" t="str">
        <x:v>Instrumentation, custody and validity</x:v>
      </x:c>
      <x:c r="H46" s="75" t="n">
        <x:v>0.25</x:v>
      </x:c>
      <x:c r="I46" s="63" t="n">
        <x:v>2</x:v>
      </x:c>
      <x:c r="J46" s="63" t="n">
        <x:v>8</x:v>
      </x:c>
      <x:c r="K46" s="63" t="n">
        <x:f>(E46-1)*Controls!$B$11+I46</x:f>
        <x:v>2</x:v>
      </x:c>
      <x:c r="L46" s="63" t="n">
        <x:f>K46+J46</x:f>
        <x:v>10</x:v>
      </x:c>
      <x:c r="M46" s="65" t="n">
        <x:f>H46*INDEX('Warrant Registry'!$N$5:$N$22,MATCH(B46,'Warrant Registry'!$A$5:$A$22,0))</x:f>
        <x:v>0.003840270675839162</x:v>
      </x:c>
      <x:c r="N46" s="63" t="n">
        <x:v>1</x:v>
      </x:c>
      <x:c r="O46" s="65" t="n">
        <x:v>0</x:v>
      </x:c>
      <x:c r="P46" s="65" t="n">
        <x:v>0</x:v>
      </x:c>
      <x:c r="Q46" s="62" t="str">
        <x:f>IF(AND(N46=1,O46=0,P46=0,L46&lt;=(E46*Controls!$B$11)),"AUTHORIZED / SCHEDULED","INVALID")</x:f>
        <x:v>AUTHORIZED / SCHEDULED</x:v>
      </x:c>
      <x:c r="R46" s="63" t="n">
        <x:f>COUNTIFS($B$5:$B$94,B46)</x:f>
        <x:v>5</x:v>
      </x:c>
    </x:row>
    <x:row r="47">
      <x:c r="A47" s="62" t="str">
        <x:v>P043</x:v>
      </x:c>
      <x:c r="B47" s="62" t="str">
        <x:v>HC-A-C</x:v>
      </x:c>
      <x:c r="C47" s="62" t="str">
        <x:v>HC-A</x:v>
      </x:c>
      <x:c r="D47" s="62" t="str">
        <x:v>C</x:v>
      </x:c>
      <x:c r="E47" s="63" t="n">
        <x:v>1</x:v>
      </x:c>
      <x:c r="F47" s="63" t="str">
        <x:v>CIVIL</x:v>
      </x:c>
      <x:c r="G47" s="62" t="str">
        <x:v>Rights, receiver and residual closure</x:v>
      </x:c>
      <x:c r="H47" s="75" t="n">
        <x:v>0.15</x:v>
      </x:c>
      <x:c r="I47" s="63" t="n">
        <x:v>0</x:v>
      </x:c>
      <x:c r="J47" s="63" t="n">
        <x:v>8</x:v>
      </x:c>
      <x:c r="K47" s="63" t="n">
        <x:f>(E47-1)*Controls!$B$11+I47</x:f>
        <x:v>0</x:v>
      </x:c>
      <x:c r="L47" s="63" t="n">
        <x:f>K47+J47</x:f>
        <x:v>8</x:v>
      </x:c>
      <x:c r="M47" s="65" t="n">
        <x:f>H47*INDEX('Warrant Registry'!$N$5:$N$22,MATCH(B47,'Warrant Registry'!$A$5:$A$22,0))</x:f>
        <x:v>0.0023041624055034973</x:v>
      </x:c>
      <x:c r="N47" s="63" t="n">
        <x:v>1</x:v>
      </x:c>
      <x:c r="O47" s="65" t="n">
        <x:v>0</x:v>
      </x:c>
      <x:c r="P47" s="65" t="n">
        <x:v>0</x:v>
      </x:c>
      <x:c r="Q47" s="62" t="str">
        <x:f>IF(AND(N47=1,O47=0,P47=0,L47&lt;=(E47*Controls!$B$11)),"AUTHORIZED / SCHEDULED","INVALID")</x:f>
        <x:v>AUTHORIZED / SCHEDULED</x:v>
      </x:c>
      <x:c r="R47" s="63" t="n">
        <x:f>COUNTIFS($B$5:$B$94,B47)</x:f>
        <x:v>5</x:v>
      </x:c>
    </x:row>
    <x:row r="48">
      <x:c r="A48" s="62" t="str">
        <x:v>P044</x:v>
      </x:c>
      <x:c r="B48" s="62" t="str">
        <x:v>HC-A-C</x:v>
      </x:c>
      <x:c r="C48" s="62" t="str">
        <x:v>HC-A</x:v>
      </x:c>
      <x:c r="D48" s="62" t="str">
        <x:v>C</x:v>
      </x:c>
      <x:c r="E48" s="63" t="n">
        <x:v>1</x:v>
      </x:c>
      <x:c r="F48" s="63" t="str">
        <x:v>ARTICLE</x:v>
      </x:c>
      <x:c r="G48" s="62" t="str">
        <x:v>Destructive-article engineering</x:v>
      </x:c>
      <x:c r="H48" s="75" t="n">
        <x:v>0.25</x:v>
      </x:c>
      <x:c r="I48" s="63" t="n">
        <x:v>6</x:v>
      </x:c>
      <x:c r="J48" s="63" t="n">
        <x:v>14</x:v>
      </x:c>
      <x:c r="K48" s="63" t="n">
        <x:f>(E48-1)*Controls!$B$11+I48</x:f>
        <x:v>6</x:v>
      </x:c>
      <x:c r="L48" s="63" t="n">
        <x:f>K48+J48</x:f>
        <x:v>20</x:v>
      </x:c>
      <x:c r="M48" s="65" t="n">
        <x:f>H48*INDEX('Warrant Registry'!$N$5:$N$22,MATCH(B48,'Warrant Registry'!$A$5:$A$22,0))</x:f>
        <x:v>0.003840270675839162</x:v>
      </x:c>
      <x:c r="N48" s="63" t="n">
        <x:v>1</x:v>
      </x:c>
      <x:c r="O48" s="65" t="n">
        <x:v>0</x:v>
      </x:c>
      <x:c r="P48" s="65" t="n">
        <x:v>0</x:v>
      </x:c>
      <x:c r="Q48" s="62" t="str">
        <x:f>IF(AND(N48=1,O48=0,P48=0,L48&lt;=(E48*Controls!$B$11)),"AUTHORIZED / SCHEDULED","INVALID")</x:f>
        <x:v>AUTHORIZED / SCHEDULED</x:v>
      </x:c>
      <x:c r="R48" s="63" t="n">
        <x:f>COUNTIFS($B$5:$B$94,B48)</x:f>
        <x:v>5</x:v>
      </x:c>
    </x:row>
    <x:row r="49">
      <x:c r="A49" s="62" t="str">
        <x:v>P045</x:v>
      </x:c>
      <x:c r="B49" s="62" t="str">
        <x:v>HC-A-C</x:v>
      </x:c>
      <x:c r="C49" s="62" t="str">
        <x:v>HC-A</x:v>
      </x:c>
      <x:c r="D49" s="62" t="str">
        <x:v>C</x:v>
      </x:c>
      <x:c r="E49" s="63" t="n">
        <x:v>1</x:v>
      </x:c>
      <x:c r="F49" s="63" t="str">
        <x:v>REBUILD</x:v>
      </x:c>
      <x:c r="G49" s="62" t="str">
        <x:v>Cold reconstruction and challenge</x:v>
      </x:c>
      <x:c r="H49" s="75" t="n">
        <x:v>0.15</x:v>
      </x:c>
      <x:c r="I49" s="63" t="n">
        <x:v>18</x:v>
      </x:c>
      <x:c r="J49" s="63" t="n">
        <x:v>6</x:v>
      </x:c>
      <x:c r="K49" s="63" t="n">
        <x:f>(E49-1)*Controls!$B$11+I49</x:f>
        <x:v>18</x:v>
      </x:c>
      <x:c r="L49" s="63" t="n">
        <x:f>K49+J49</x:f>
        <x:v>24</x:v>
      </x:c>
      <x:c r="M49" s="65" t="n">
        <x:f>H49*INDEX('Warrant Registry'!$N$5:$N$22,MATCH(B49,'Warrant Registry'!$A$5:$A$22,0))</x:f>
        <x:v>0.0023041624055034973</x:v>
      </x:c>
      <x:c r="N49" s="63" t="n">
        <x:v>1</x:v>
      </x:c>
      <x:c r="O49" s="65" t="n">
        <x:v>0</x:v>
      </x:c>
      <x:c r="P49" s="65" t="n">
        <x:v>0</x:v>
      </x:c>
      <x:c r="Q49" s="62" t="str">
        <x:f>IF(AND(N49=1,O49=0,P49=0,L49&lt;=(E49*Controls!$B$11)),"AUTHORIZED / SCHEDULED","INVALID")</x:f>
        <x:v>AUTHORIZED / SCHEDULED</x:v>
      </x:c>
      <x:c r="R49" s="63" t="n">
        <x:f>COUNTIFS($B$5:$B$94,B49)</x:f>
        <x:v>5</x:v>
      </x:c>
    </x:row>
    <x:row r="50">
      <x:c r="A50" s="62" t="str">
        <x:v>P046</x:v>
      </x:c>
      <x:c r="B50" s="62" t="str">
        <x:v>LF-B-A</x:v>
      </x:c>
      <x:c r="C50" s="62" t="str">
        <x:v>LF-B</x:v>
      </x:c>
      <x:c r="D50" s="62" t="str">
        <x:v>A</x:v>
      </x:c>
      <x:c r="E50" s="63" t="n">
        <x:v>1</x:v>
      </x:c>
      <x:c r="F50" s="63" t="str">
        <x:v>METHOD</x:v>
      </x:c>
      <x:c r="G50" s="62" t="str">
        <x:v>Event method and denominator</x:v>
      </x:c>
      <x:c r="H50" s="75" t="n">
        <x:v>0.2</x:v>
      </x:c>
      <x:c r="I50" s="63" t="n">
        <x:v>0</x:v>
      </x:c>
      <x:c r="J50" s="63" t="n">
        <x:v>4</x:v>
      </x:c>
      <x:c r="K50" s="63" t="n">
        <x:f>(E50-1)*Controls!$B$11+I50</x:f>
        <x:v>0</x:v>
      </x:c>
      <x:c r="L50" s="63" t="n">
        <x:f>K50+J50</x:f>
        <x:v>4</x:v>
      </x:c>
      <x:c r="M50" s="65" t="n">
        <x:f>H50*INDEX('Warrant Registry'!$N$5:$N$22,MATCH(B50,'Warrant Registry'!$A$5:$A$22,0))</x:f>
        <x:v>0.008994128193205652</x:v>
      </x:c>
      <x:c r="N50" s="63" t="n">
        <x:v>1</x:v>
      </x:c>
      <x:c r="O50" s="65" t="n">
        <x:v>0</x:v>
      </x:c>
      <x:c r="P50" s="65" t="n">
        <x:v>0</x:v>
      </x:c>
      <x:c r="Q50" s="62" t="str">
        <x:f>IF(AND(N50=1,O50=0,P50=0,L50&lt;=(E50*Controls!$B$11)),"AUTHORIZED / SCHEDULED","INVALID")</x:f>
        <x:v>AUTHORIZED / SCHEDULED</x:v>
      </x:c>
      <x:c r="R50" s="63" t="n">
        <x:f>COUNTIFS($B$5:$B$94,B50)</x:f>
        <x:v>5</x:v>
      </x:c>
    </x:row>
    <x:row r="51">
      <x:c r="A51" s="62" t="str">
        <x:v>P047</x:v>
      </x:c>
      <x:c r="B51" s="62" t="str">
        <x:v>LF-B-A</x:v>
      </x:c>
      <x:c r="C51" s="62" t="str">
        <x:v>LF-B</x:v>
      </x:c>
      <x:c r="D51" s="62" t="str">
        <x:v>A</x:v>
      </x:c>
      <x:c r="E51" s="63" t="n">
        <x:v>1</x:v>
      </x:c>
      <x:c r="F51" s="63" t="str">
        <x:v>MEASURE</x:v>
      </x:c>
      <x:c r="G51" s="62" t="str">
        <x:v>Instrumentation, custody and validity</x:v>
      </x:c>
      <x:c r="H51" s="75" t="n">
        <x:v>0.25</x:v>
      </x:c>
      <x:c r="I51" s="63" t="n">
        <x:v>2</x:v>
      </x:c>
      <x:c r="J51" s="63" t="n">
        <x:v>8</x:v>
      </x:c>
      <x:c r="K51" s="63" t="n">
        <x:f>(E51-1)*Controls!$B$11+I51</x:f>
        <x:v>2</x:v>
      </x:c>
      <x:c r="L51" s="63" t="n">
        <x:f>K51+J51</x:f>
        <x:v>10</x:v>
      </x:c>
      <x:c r="M51" s="65" t="n">
        <x:f>H51*INDEX('Warrant Registry'!$N$5:$N$22,MATCH(B51,'Warrant Registry'!$A$5:$A$22,0))</x:f>
        <x:v>0.011242660241507064</x:v>
      </x:c>
      <x:c r="N51" s="63" t="n">
        <x:v>1</x:v>
      </x:c>
      <x:c r="O51" s="65" t="n">
        <x:v>0</x:v>
      </x:c>
      <x:c r="P51" s="65" t="n">
        <x:v>0</x:v>
      </x:c>
      <x:c r="Q51" s="62" t="str">
        <x:f>IF(AND(N51=1,O51=0,P51=0,L51&lt;=(E51*Controls!$B$11)),"AUTHORIZED / SCHEDULED","INVALID")</x:f>
        <x:v>AUTHORIZED / SCHEDULED</x:v>
      </x:c>
      <x:c r="R51" s="63" t="n">
        <x:f>COUNTIFS($B$5:$B$94,B51)</x:f>
        <x:v>5</x:v>
      </x:c>
    </x:row>
    <x:row r="52">
      <x:c r="A52" s="62" t="str">
        <x:v>P048</x:v>
      </x:c>
      <x:c r="B52" s="62" t="str">
        <x:v>LF-B-A</x:v>
      </x:c>
      <x:c r="C52" s="62" t="str">
        <x:v>LF-B</x:v>
      </x:c>
      <x:c r="D52" s="62" t="str">
        <x:v>A</x:v>
      </x:c>
      <x:c r="E52" s="63" t="n">
        <x:v>1</x:v>
      </x:c>
      <x:c r="F52" s="63" t="str">
        <x:v>CIVIL</x:v>
      </x:c>
      <x:c r="G52" s="62" t="str">
        <x:v>Rights, receiver and residual closure</x:v>
      </x:c>
      <x:c r="H52" s="75" t="n">
        <x:v>0.15</x:v>
      </x:c>
      <x:c r="I52" s="63" t="n">
        <x:v>0</x:v>
      </x:c>
      <x:c r="J52" s="63" t="n">
        <x:v>8</x:v>
      </x:c>
      <x:c r="K52" s="63" t="n">
        <x:f>(E52-1)*Controls!$B$11+I52</x:f>
        <x:v>0</x:v>
      </x:c>
      <x:c r="L52" s="63" t="n">
        <x:f>K52+J52</x:f>
        <x:v>8</x:v>
      </x:c>
      <x:c r="M52" s="65" t="n">
        <x:f>H52*INDEX('Warrant Registry'!$N$5:$N$22,MATCH(B52,'Warrant Registry'!$A$5:$A$22,0))</x:f>
        <x:v>0.006745596144904238</x:v>
      </x:c>
      <x:c r="N52" s="63" t="n">
        <x:v>1</x:v>
      </x:c>
      <x:c r="O52" s="65" t="n">
        <x:v>0</x:v>
      </x:c>
      <x:c r="P52" s="65" t="n">
        <x:v>0</x:v>
      </x:c>
      <x:c r="Q52" s="62" t="str">
        <x:f>IF(AND(N52=1,O52=0,P52=0,L52&lt;=(E52*Controls!$B$11)),"AUTHORIZED / SCHEDULED","INVALID")</x:f>
        <x:v>AUTHORIZED / SCHEDULED</x:v>
      </x:c>
      <x:c r="R52" s="63" t="n">
        <x:f>COUNTIFS($B$5:$B$94,B52)</x:f>
        <x:v>5</x:v>
      </x:c>
    </x:row>
    <x:row r="53">
      <x:c r="A53" s="62" t="str">
        <x:v>P049</x:v>
      </x:c>
      <x:c r="B53" s="62" t="str">
        <x:v>LF-B-A</x:v>
      </x:c>
      <x:c r="C53" s="62" t="str">
        <x:v>LF-B</x:v>
      </x:c>
      <x:c r="D53" s="62" t="str">
        <x:v>A</x:v>
      </x:c>
      <x:c r="E53" s="63" t="n">
        <x:v>1</x:v>
      </x:c>
      <x:c r="F53" s="63" t="str">
        <x:v>ARTICLE</x:v>
      </x:c>
      <x:c r="G53" s="62" t="str">
        <x:v>Destructive-article engineering</x:v>
      </x:c>
      <x:c r="H53" s="75" t="n">
        <x:v>0.25</x:v>
      </x:c>
      <x:c r="I53" s="63" t="n">
        <x:v>6</x:v>
      </x:c>
      <x:c r="J53" s="63" t="n">
        <x:v>14</x:v>
      </x:c>
      <x:c r="K53" s="63" t="n">
        <x:f>(E53-1)*Controls!$B$11+I53</x:f>
        <x:v>6</x:v>
      </x:c>
      <x:c r="L53" s="63" t="n">
        <x:f>K53+J53</x:f>
        <x:v>20</x:v>
      </x:c>
      <x:c r="M53" s="65" t="n">
        <x:f>H53*INDEX('Warrant Registry'!$N$5:$N$22,MATCH(B53,'Warrant Registry'!$A$5:$A$22,0))</x:f>
        <x:v>0.011242660241507064</x:v>
      </x:c>
      <x:c r="N53" s="63" t="n">
        <x:v>1</x:v>
      </x:c>
      <x:c r="O53" s="65" t="n">
        <x:v>0</x:v>
      </x:c>
      <x:c r="P53" s="65" t="n">
        <x:v>0</x:v>
      </x:c>
      <x:c r="Q53" s="62" t="str">
        <x:f>IF(AND(N53=1,O53=0,P53=0,L53&lt;=(E53*Controls!$B$11)),"AUTHORIZED / SCHEDULED","INVALID")</x:f>
        <x:v>AUTHORIZED / SCHEDULED</x:v>
      </x:c>
      <x:c r="R53" s="63" t="n">
        <x:f>COUNTIFS($B$5:$B$94,B53)</x:f>
        <x:v>5</x:v>
      </x:c>
    </x:row>
    <x:row r="54">
      <x:c r="A54" s="62" t="str">
        <x:v>P050</x:v>
      </x:c>
      <x:c r="B54" s="62" t="str">
        <x:v>LF-B-A</x:v>
      </x:c>
      <x:c r="C54" s="62" t="str">
        <x:v>LF-B</x:v>
      </x:c>
      <x:c r="D54" s="62" t="str">
        <x:v>A</x:v>
      </x:c>
      <x:c r="E54" s="63" t="n">
        <x:v>1</x:v>
      </x:c>
      <x:c r="F54" s="63" t="str">
        <x:v>REBUILD</x:v>
      </x:c>
      <x:c r="G54" s="62" t="str">
        <x:v>Cold reconstruction and challenge</x:v>
      </x:c>
      <x:c r="H54" s="75" t="n">
        <x:v>0.15</x:v>
      </x:c>
      <x:c r="I54" s="63" t="n">
        <x:v>18</x:v>
      </x:c>
      <x:c r="J54" s="63" t="n">
        <x:v>6</x:v>
      </x:c>
      <x:c r="K54" s="63" t="n">
        <x:f>(E54-1)*Controls!$B$11+I54</x:f>
        <x:v>18</x:v>
      </x:c>
      <x:c r="L54" s="63" t="n">
        <x:f>K54+J54</x:f>
        <x:v>24</x:v>
      </x:c>
      <x:c r="M54" s="65" t="n">
        <x:f>H54*INDEX('Warrant Registry'!$N$5:$N$22,MATCH(B54,'Warrant Registry'!$A$5:$A$22,0))</x:f>
        <x:v>0.006745596144904238</x:v>
      </x:c>
      <x:c r="N54" s="63" t="n">
        <x:v>1</x:v>
      </x:c>
      <x:c r="O54" s="65" t="n">
        <x:v>0</x:v>
      </x:c>
      <x:c r="P54" s="65" t="n">
        <x:v>0</x:v>
      </x:c>
      <x:c r="Q54" s="62" t="str">
        <x:f>IF(AND(N54=1,O54=0,P54=0,L54&lt;=(E54*Controls!$B$11)),"AUTHORIZED / SCHEDULED","INVALID")</x:f>
        <x:v>AUTHORIZED / SCHEDULED</x:v>
      </x:c>
      <x:c r="R54" s="63" t="n">
        <x:f>COUNTIFS($B$5:$B$94,B54)</x:f>
        <x:v>5</x:v>
      </x:c>
    </x:row>
    <x:row r="55">
      <x:c r="A55" s="62" t="str">
        <x:v>P051</x:v>
      </x:c>
      <x:c r="B55" s="62" t="str">
        <x:v>LF-B-B</x:v>
      </x:c>
      <x:c r="C55" s="62" t="str">
        <x:v>LF-B</x:v>
      </x:c>
      <x:c r="D55" s="62" t="str">
        <x:v>B</x:v>
      </x:c>
      <x:c r="E55" s="63" t="n">
        <x:v>3</x:v>
      </x:c>
      <x:c r="F55" s="63" t="str">
        <x:v>METHOD</x:v>
      </x:c>
      <x:c r="G55" s="62" t="str">
        <x:v>Event method and denominator</x:v>
      </x:c>
      <x:c r="H55" s="75" t="n">
        <x:v>0.2</x:v>
      </x:c>
      <x:c r="I55" s="63" t="n">
        <x:v>0</x:v>
      </x:c>
      <x:c r="J55" s="63" t="n">
        <x:v>4</x:v>
      </x:c>
      <x:c r="K55" s="63" t="n">
        <x:f>(E55-1)*Controls!$B$11+I55</x:f>
        <x:v>48</x:v>
      </x:c>
      <x:c r="L55" s="63" t="n">
        <x:f>K55+J55</x:f>
        <x:v>52</x:v>
      </x:c>
      <x:c r="M55" s="65" t="n">
        <x:f>H55*INDEX('Warrant Registry'!$N$5:$N$22,MATCH(B55,'Warrant Registry'!$A$5:$A$22,0))</x:f>
        <x:v>0.008994128193205652</x:v>
      </x:c>
      <x:c r="N55" s="63" t="n">
        <x:v>1</x:v>
      </x:c>
      <x:c r="O55" s="65" t="n">
        <x:v>0</x:v>
      </x:c>
      <x:c r="P55" s="65" t="n">
        <x:v>0</x:v>
      </x:c>
      <x:c r="Q55" s="62" t="str">
        <x:f>IF(AND(N55=1,O55=0,P55=0,L55&lt;=(E55*Controls!$B$11)),"AUTHORIZED / SCHEDULED","INVALID")</x:f>
        <x:v>AUTHORIZED / SCHEDULED</x:v>
      </x:c>
      <x:c r="R55" s="63" t="n">
        <x:f>COUNTIFS($B$5:$B$94,B55)</x:f>
        <x:v>5</x:v>
      </x:c>
    </x:row>
    <x:row r="56">
      <x:c r="A56" s="62" t="str">
        <x:v>P052</x:v>
      </x:c>
      <x:c r="B56" s="62" t="str">
        <x:v>LF-B-B</x:v>
      </x:c>
      <x:c r="C56" s="62" t="str">
        <x:v>LF-B</x:v>
      </x:c>
      <x:c r="D56" s="62" t="str">
        <x:v>B</x:v>
      </x:c>
      <x:c r="E56" s="63" t="n">
        <x:v>3</x:v>
      </x:c>
      <x:c r="F56" s="63" t="str">
        <x:v>MEASURE</x:v>
      </x:c>
      <x:c r="G56" s="62" t="str">
        <x:v>Instrumentation, custody and validity</x:v>
      </x:c>
      <x:c r="H56" s="75" t="n">
        <x:v>0.25</x:v>
      </x:c>
      <x:c r="I56" s="63" t="n">
        <x:v>2</x:v>
      </x:c>
      <x:c r="J56" s="63" t="n">
        <x:v>8</x:v>
      </x:c>
      <x:c r="K56" s="63" t="n">
        <x:f>(E56-1)*Controls!$B$11+I56</x:f>
        <x:v>50</x:v>
      </x:c>
      <x:c r="L56" s="63" t="n">
        <x:f>K56+J56</x:f>
        <x:v>58</x:v>
      </x:c>
      <x:c r="M56" s="65" t="n">
        <x:f>H56*INDEX('Warrant Registry'!$N$5:$N$22,MATCH(B56,'Warrant Registry'!$A$5:$A$22,0))</x:f>
        <x:v>0.011242660241507064</x:v>
      </x:c>
      <x:c r="N56" s="63" t="n">
        <x:v>1</x:v>
      </x:c>
      <x:c r="O56" s="65" t="n">
        <x:v>0</x:v>
      </x:c>
      <x:c r="P56" s="65" t="n">
        <x:v>0</x:v>
      </x:c>
      <x:c r="Q56" s="62" t="str">
        <x:f>IF(AND(N56=1,O56=0,P56=0,L56&lt;=(E56*Controls!$B$11)),"AUTHORIZED / SCHEDULED","INVALID")</x:f>
        <x:v>AUTHORIZED / SCHEDULED</x:v>
      </x:c>
      <x:c r="R56" s="63" t="n">
        <x:f>COUNTIFS($B$5:$B$94,B56)</x:f>
        <x:v>5</x:v>
      </x:c>
    </x:row>
    <x:row r="57">
      <x:c r="A57" s="62" t="str">
        <x:v>P053</x:v>
      </x:c>
      <x:c r="B57" s="62" t="str">
        <x:v>LF-B-B</x:v>
      </x:c>
      <x:c r="C57" s="62" t="str">
        <x:v>LF-B</x:v>
      </x:c>
      <x:c r="D57" s="62" t="str">
        <x:v>B</x:v>
      </x:c>
      <x:c r="E57" s="63" t="n">
        <x:v>3</x:v>
      </x:c>
      <x:c r="F57" s="63" t="str">
        <x:v>CIVIL</x:v>
      </x:c>
      <x:c r="G57" s="62" t="str">
        <x:v>Rights, receiver and residual closure</x:v>
      </x:c>
      <x:c r="H57" s="75" t="n">
        <x:v>0.15</x:v>
      </x:c>
      <x:c r="I57" s="63" t="n">
        <x:v>0</x:v>
      </x:c>
      <x:c r="J57" s="63" t="n">
        <x:v>8</x:v>
      </x:c>
      <x:c r="K57" s="63" t="n">
        <x:f>(E57-1)*Controls!$B$11+I57</x:f>
        <x:v>48</x:v>
      </x:c>
      <x:c r="L57" s="63" t="n">
        <x:f>K57+J57</x:f>
        <x:v>56</x:v>
      </x:c>
      <x:c r="M57" s="65" t="n">
        <x:f>H57*INDEX('Warrant Registry'!$N$5:$N$22,MATCH(B57,'Warrant Registry'!$A$5:$A$22,0))</x:f>
        <x:v>0.006745596144904238</x:v>
      </x:c>
      <x:c r="N57" s="63" t="n">
        <x:v>1</x:v>
      </x:c>
      <x:c r="O57" s="65" t="n">
        <x:v>0</x:v>
      </x:c>
      <x:c r="P57" s="65" t="n">
        <x:v>0</x:v>
      </x:c>
      <x:c r="Q57" s="62" t="str">
        <x:f>IF(AND(N57=1,O57=0,P57=0,L57&lt;=(E57*Controls!$B$11)),"AUTHORIZED / SCHEDULED","INVALID")</x:f>
        <x:v>AUTHORIZED / SCHEDULED</x:v>
      </x:c>
      <x:c r="R57" s="63" t="n">
        <x:f>COUNTIFS($B$5:$B$94,B57)</x:f>
        <x:v>5</x:v>
      </x:c>
    </x:row>
    <x:row r="58">
      <x:c r="A58" s="62" t="str">
        <x:v>P054</x:v>
      </x:c>
      <x:c r="B58" s="62" t="str">
        <x:v>LF-B-B</x:v>
      </x:c>
      <x:c r="C58" s="62" t="str">
        <x:v>LF-B</x:v>
      </x:c>
      <x:c r="D58" s="62" t="str">
        <x:v>B</x:v>
      </x:c>
      <x:c r="E58" s="63" t="n">
        <x:v>3</x:v>
      </x:c>
      <x:c r="F58" s="63" t="str">
        <x:v>ARTICLE</x:v>
      </x:c>
      <x:c r="G58" s="62" t="str">
        <x:v>Destructive-article engineering</x:v>
      </x:c>
      <x:c r="H58" s="75" t="n">
        <x:v>0.25</x:v>
      </x:c>
      <x:c r="I58" s="63" t="n">
        <x:v>6</x:v>
      </x:c>
      <x:c r="J58" s="63" t="n">
        <x:v>14</x:v>
      </x:c>
      <x:c r="K58" s="63" t="n">
        <x:f>(E58-1)*Controls!$B$11+I58</x:f>
        <x:v>54</x:v>
      </x:c>
      <x:c r="L58" s="63" t="n">
        <x:f>K58+J58</x:f>
        <x:v>68</x:v>
      </x:c>
      <x:c r="M58" s="65" t="n">
        <x:f>H58*INDEX('Warrant Registry'!$N$5:$N$22,MATCH(B58,'Warrant Registry'!$A$5:$A$22,0))</x:f>
        <x:v>0.011242660241507064</x:v>
      </x:c>
      <x:c r="N58" s="63" t="n">
        <x:v>1</x:v>
      </x:c>
      <x:c r="O58" s="65" t="n">
        <x:v>0</x:v>
      </x:c>
      <x:c r="P58" s="65" t="n">
        <x:v>0</x:v>
      </x:c>
      <x:c r="Q58" s="62" t="str">
        <x:f>IF(AND(N58=1,O58=0,P58=0,L58&lt;=(E58*Controls!$B$11)),"AUTHORIZED / SCHEDULED","INVALID")</x:f>
        <x:v>AUTHORIZED / SCHEDULED</x:v>
      </x:c>
      <x:c r="R58" s="63" t="n">
        <x:f>COUNTIFS($B$5:$B$94,B58)</x:f>
        <x:v>5</x:v>
      </x:c>
    </x:row>
    <x:row r="59">
      <x:c r="A59" s="62" t="str">
        <x:v>P055</x:v>
      </x:c>
      <x:c r="B59" s="62" t="str">
        <x:v>LF-B-B</x:v>
      </x:c>
      <x:c r="C59" s="62" t="str">
        <x:v>LF-B</x:v>
      </x:c>
      <x:c r="D59" s="62" t="str">
        <x:v>B</x:v>
      </x:c>
      <x:c r="E59" s="63" t="n">
        <x:v>3</x:v>
      </x:c>
      <x:c r="F59" s="63" t="str">
        <x:v>REBUILD</x:v>
      </x:c>
      <x:c r="G59" s="62" t="str">
        <x:v>Cold reconstruction and challenge</x:v>
      </x:c>
      <x:c r="H59" s="75" t="n">
        <x:v>0.15</x:v>
      </x:c>
      <x:c r="I59" s="63" t="n">
        <x:v>18</x:v>
      </x:c>
      <x:c r="J59" s="63" t="n">
        <x:v>6</x:v>
      </x:c>
      <x:c r="K59" s="63" t="n">
        <x:f>(E59-1)*Controls!$B$11+I59</x:f>
        <x:v>66</x:v>
      </x:c>
      <x:c r="L59" s="63" t="n">
        <x:f>K59+J59</x:f>
        <x:v>72</x:v>
      </x:c>
      <x:c r="M59" s="65" t="n">
        <x:f>H59*INDEX('Warrant Registry'!$N$5:$N$22,MATCH(B59,'Warrant Registry'!$A$5:$A$22,0))</x:f>
        <x:v>0.006745596144904238</x:v>
      </x:c>
      <x:c r="N59" s="63" t="n">
        <x:v>1</x:v>
      </x:c>
      <x:c r="O59" s="65" t="n">
        <x:v>0</x:v>
      </x:c>
      <x:c r="P59" s="65" t="n">
        <x:v>0</x:v>
      </x:c>
      <x:c r="Q59" s="62" t="str">
        <x:f>IF(AND(N59=1,O59=0,P59=0,L59&lt;=(E59*Controls!$B$11)),"AUTHORIZED / SCHEDULED","INVALID")</x:f>
        <x:v>AUTHORIZED / SCHEDULED</x:v>
      </x:c>
      <x:c r="R59" s="63" t="n">
        <x:f>COUNTIFS($B$5:$B$94,B59)</x:f>
        <x:v>5</x:v>
      </x:c>
    </x:row>
    <x:row r="60">
      <x:c r="A60" s="62" t="str">
        <x:v>P056</x:v>
      </x:c>
      <x:c r="B60" s="62" t="str">
        <x:v>LF-B-C</x:v>
      </x:c>
      <x:c r="C60" s="62" t="str">
        <x:v>LF-B</x:v>
      </x:c>
      <x:c r="D60" s="62" t="str">
        <x:v>C</x:v>
      </x:c>
      <x:c r="E60" s="63" t="n">
        <x:v>2</x:v>
      </x:c>
      <x:c r="F60" s="63" t="str">
        <x:v>METHOD</x:v>
      </x:c>
      <x:c r="G60" s="62" t="str">
        <x:v>Event method and denominator</x:v>
      </x:c>
      <x:c r="H60" s="75" t="n">
        <x:v>0.2</x:v>
      </x:c>
      <x:c r="I60" s="63" t="n">
        <x:v>0</x:v>
      </x:c>
      <x:c r="J60" s="63" t="n">
        <x:v>4</x:v>
      </x:c>
      <x:c r="K60" s="63" t="n">
        <x:f>(E60-1)*Controls!$B$11+I60</x:f>
        <x:v>24</x:v>
      </x:c>
      <x:c r="L60" s="63" t="n">
        <x:f>K60+J60</x:f>
        <x:v>28</x:v>
      </x:c>
      <x:c r="M60" s="65" t="n">
        <x:f>H60*INDEX('Warrant Registry'!$N$5:$N$22,MATCH(B60,'Warrant Registry'!$A$5:$A$22,0))</x:f>
        <x:v>0.008994128193205652</x:v>
      </x:c>
      <x:c r="N60" s="63" t="n">
        <x:v>1</x:v>
      </x:c>
      <x:c r="O60" s="65" t="n">
        <x:v>0</x:v>
      </x:c>
      <x:c r="P60" s="65" t="n">
        <x:v>0</x:v>
      </x:c>
      <x:c r="Q60" s="62" t="str">
        <x:f>IF(AND(N60=1,O60=0,P60=0,L60&lt;=(E60*Controls!$B$11)),"AUTHORIZED / SCHEDULED","INVALID")</x:f>
        <x:v>AUTHORIZED / SCHEDULED</x:v>
      </x:c>
      <x:c r="R60" s="63" t="n">
        <x:f>COUNTIFS($B$5:$B$94,B60)</x:f>
        <x:v>5</x:v>
      </x:c>
    </x:row>
    <x:row r="61">
      <x:c r="A61" s="62" t="str">
        <x:v>P057</x:v>
      </x:c>
      <x:c r="B61" s="62" t="str">
        <x:v>LF-B-C</x:v>
      </x:c>
      <x:c r="C61" s="62" t="str">
        <x:v>LF-B</x:v>
      </x:c>
      <x:c r="D61" s="62" t="str">
        <x:v>C</x:v>
      </x:c>
      <x:c r="E61" s="63" t="n">
        <x:v>2</x:v>
      </x:c>
      <x:c r="F61" s="63" t="str">
        <x:v>MEASURE</x:v>
      </x:c>
      <x:c r="G61" s="62" t="str">
        <x:v>Instrumentation, custody and validity</x:v>
      </x:c>
      <x:c r="H61" s="75" t="n">
        <x:v>0.25</x:v>
      </x:c>
      <x:c r="I61" s="63" t="n">
        <x:v>2</x:v>
      </x:c>
      <x:c r="J61" s="63" t="n">
        <x:v>8</x:v>
      </x:c>
      <x:c r="K61" s="63" t="n">
        <x:f>(E61-1)*Controls!$B$11+I61</x:f>
        <x:v>26</x:v>
      </x:c>
      <x:c r="L61" s="63" t="n">
        <x:f>K61+J61</x:f>
        <x:v>34</x:v>
      </x:c>
      <x:c r="M61" s="65" t="n">
        <x:f>H61*INDEX('Warrant Registry'!$N$5:$N$22,MATCH(B61,'Warrant Registry'!$A$5:$A$22,0))</x:f>
        <x:v>0.011242660241507064</x:v>
      </x:c>
      <x:c r="N61" s="63" t="n">
        <x:v>1</x:v>
      </x:c>
      <x:c r="O61" s="65" t="n">
        <x:v>0</x:v>
      </x:c>
      <x:c r="P61" s="65" t="n">
        <x:v>0</x:v>
      </x:c>
      <x:c r="Q61" s="62" t="str">
        <x:f>IF(AND(N61=1,O61=0,P61=0,L61&lt;=(E61*Controls!$B$11)),"AUTHORIZED / SCHEDULED","INVALID")</x:f>
        <x:v>AUTHORIZED / SCHEDULED</x:v>
      </x:c>
      <x:c r="R61" s="63" t="n">
        <x:f>COUNTIFS($B$5:$B$94,B61)</x:f>
        <x:v>5</x:v>
      </x:c>
    </x:row>
    <x:row r="62">
      <x:c r="A62" s="62" t="str">
        <x:v>P058</x:v>
      </x:c>
      <x:c r="B62" s="62" t="str">
        <x:v>LF-B-C</x:v>
      </x:c>
      <x:c r="C62" s="62" t="str">
        <x:v>LF-B</x:v>
      </x:c>
      <x:c r="D62" s="62" t="str">
        <x:v>C</x:v>
      </x:c>
      <x:c r="E62" s="63" t="n">
        <x:v>2</x:v>
      </x:c>
      <x:c r="F62" s="63" t="str">
        <x:v>CIVIL</x:v>
      </x:c>
      <x:c r="G62" s="62" t="str">
        <x:v>Rights, receiver and residual closure</x:v>
      </x:c>
      <x:c r="H62" s="75" t="n">
        <x:v>0.15</x:v>
      </x:c>
      <x:c r="I62" s="63" t="n">
        <x:v>0</x:v>
      </x:c>
      <x:c r="J62" s="63" t="n">
        <x:v>8</x:v>
      </x:c>
      <x:c r="K62" s="63" t="n">
        <x:f>(E62-1)*Controls!$B$11+I62</x:f>
        <x:v>24</x:v>
      </x:c>
      <x:c r="L62" s="63" t="n">
        <x:f>K62+J62</x:f>
        <x:v>32</x:v>
      </x:c>
      <x:c r="M62" s="65" t="n">
        <x:f>H62*INDEX('Warrant Registry'!$N$5:$N$22,MATCH(B62,'Warrant Registry'!$A$5:$A$22,0))</x:f>
        <x:v>0.006745596144904238</x:v>
      </x:c>
      <x:c r="N62" s="63" t="n">
        <x:v>1</x:v>
      </x:c>
      <x:c r="O62" s="65" t="n">
        <x:v>0</x:v>
      </x:c>
      <x:c r="P62" s="65" t="n">
        <x:v>0</x:v>
      </x:c>
      <x:c r="Q62" s="62" t="str">
        <x:f>IF(AND(N62=1,O62=0,P62=0,L62&lt;=(E62*Controls!$B$11)),"AUTHORIZED / SCHEDULED","INVALID")</x:f>
        <x:v>AUTHORIZED / SCHEDULED</x:v>
      </x:c>
      <x:c r="R62" s="63" t="n">
        <x:f>COUNTIFS($B$5:$B$94,B62)</x:f>
        <x:v>5</x:v>
      </x:c>
    </x:row>
    <x:row r="63">
      <x:c r="A63" s="62" t="str">
        <x:v>P059</x:v>
      </x:c>
      <x:c r="B63" s="62" t="str">
        <x:v>LF-B-C</x:v>
      </x:c>
      <x:c r="C63" s="62" t="str">
        <x:v>LF-B</x:v>
      </x:c>
      <x:c r="D63" s="62" t="str">
        <x:v>C</x:v>
      </x:c>
      <x:c r="E63" s="63" t="n">
        <x:v>2</x:v>
      </x:c>
      <x:c r="F63" s="63" t="str">
        <x:v>ARTICLE</x:v>
      </x:c>
      <x:c r="G63" s="62" t="str">
        <x:v>Destructive-article engineering</x:v>
      </x:c>
      <x:c r="H63" s="75" t="n">
        <x:v>0.25</x:v>
      </x:c>
      <x:c r="I63" s="63" t="n">
        <x:v>6</x:v>
      </x:c>
      <x:c r="J63" s="63" t="n">
        <x:v>14</x:v>
      </x:c>
      <x:c r="K63" s="63" t="n">
        <x:f>(E63-1)*Controls!$B$11+I63</x:f>
        <x:v>30</x:v>
      </x:c>
      <x:c r="L63" s="63" t="n">
        <x:f>K63+J63</x:f>
        <x:v>44</x:v>
      </x:c>
      <x:c r="M63" s="65" t="n">
        <x:f>H63*INDEX('Warrant Registry'!$N$5:$N$22,MATCH(B63,'Warrant Registry'!$A$5:$A$22,0))</x:f>
        <x:v>0.011242660241507064</x:v>
      </x:c>
      <x:c r="N63" s="63" t="n">
        <x:v>1</x:v>
      </x:c>
      <x:c r="O63" s="65" t="n">
        <x:v>0</x:v>
      </x:c>
      <x:c r="P63" s="65" t="n">
        <x:v>0</x:v>
      </x:c>
      <x:c r="Q63" s="62" t="str">
        <x:f>IF(AND(N63=1,O63=0,P63=0,L63&lt;=(E63*Controls!$B$11)),"AUTHORIZED / SCHEDULED","INVALID")</x:f>
        <x:v>AUTHORIZED / SCHEDULED</x:v>
      </x:c>
      <x:c r="R63" s="63" t="n">
        <x:f>COUNTIFS($B$5:$B$94,B63)</x:f>
        <x:v>5</x:v>
      </x:c>
    </x:row>
    <x:row r="64">
      <x:c r="A64" s="62" t="str">
        <x:v>P060</x:v>
      </x:c>
      <x:c r="B64" s="62" t="str">
        <x:v>LF-B-C</x:v>
      </x:c>
      <x:c r="C64" s="62" t="str">
        <x:v>LF-B</x:v>
      </x:c>
      <x:c r="D64" s="62" t="str">
        <x:v>C</x:v>
      </x:c>
      <x:c r="E64" s="63" t="n">
        <x:v>2</x:v>
      </x:c>
      <x:c r="F64" s="63" t="str">
        <x:v>REBUILD</x:v>
      </x:c>
      <x:c r="G64" s="62" t="str">
        <x:v>Cold reconstruction and challenge</x:v>
      </x:c>
      <x:c r="H64" s="75" t="n">
        <x:v>0.15</x:v>
      </x:c>
      <x:c r="I64" s="63" t="n">
        <x:v>18</x:v>
      </x:c>
      <x:c r="J64" s="63" t="n">
        <x:v>6</x:v>
      </x:c>
      <x:c r="K64" s="63" t="n">
        <x:f>(E64-1)*Controls!$B$11+I64</x:f>
        <x:v>42</x:v>
      </x:c>
      <x:c r="L64" s="63" t="n">
        <x:f>K64+J64</x:f>
        <x:v>48</x:v>
      </x:c>
      <x:c r="M64" s="65" t="n">
        <x:f>H64*INDEX('Warrant Registry'!$N$5:$N$22,MATCH(B64,'Warrant Registry'!$A$5:$A$22,0))</x:f>
        <x:v>0.006745596144904238</x:v>
      </x:c>
      <x:c r="N64" s="63" t="n">
        <x:v>1</x:v>
      </x:c>
      <x:c r="O64" s="65" t="n">
        <x:v>0</x:v>
      </x:c>
      <x:c r="P64" s="65" t="n">
        <x:v>0</x:v>
      </x:c>
      <x:c r="Q64" s="62" t="str">
        <x:f>IF(AND(N64=1,O64=0,P64=0,L64&lt;=(E64*Controls!$B$11)),"AUTHORIZED / SCHEDULED","INVALID")</x:f>
        <x:v>AUTHORIZED / SCHEDULED</x:v>
      </x:c>
      <x:c r="R64" s="63" t="n">
        <x:f>COUNTIFS($B$5:$B$94,B64)</x:f>
        <x:v>5</x:v>
      </x:c>
    </x:row>
    <x:row r="65">
      <x:c r="A65" s="62" t="str">
        <x:v>P061</x:v>
      </x:c>
      <x:c r="B65" s="62" t="str">
        <x:v>HU-A-A</x:v>
      </x:c>
      <x:c r="C65" s="62" t="str">
        <x:v>HU-A</x:v>
      </x:c>
      <x:c r="D65" s="62" t="str">
        <x:v>A</x:v>
      </x:c>
      <x:c r="E65" s="63" t="n">
        <x:v>2</x:v>
      </x:c>
      <x:c r="F65" s="63" t="str">
        <x:v>METHOD</x:v>
      </x:c>
      <x:c r="G65" s="62" t="str">
        <x:v>Event method and denominator</x:v>
      </x:c>
      <x:c r="H65" s="75" t="n">
        <x:v>0.2</x:v>
      </x:c>
      <x:c r="I65" s="63" t="n">
        <x:v>0</x:v>
      </x:c>
      <x:c r="J65" s="63" t="n">
        <x:v>4</x:v>
      </x:c>
      <x:c r="K65" s="63" t="n">
        <x:f>(E65-1)*Controls!$B$11+I65</x:f>
        <x:v>24</x:v>
      </x:c>
      <x:c r="L65" s="63" t="n">
        <x:f>K65+J65</x:f>
        <x:v>28</x:v>
      </x:c>
      <x:c r="M65" s="65" t="n">
        <x:f>H65*INDEX('Warrant Registry'!$N$5:$N$22,MATCH(B65,'Warrant Registry'!$A$5:$A$22,0))</x:f>
        <x:v>0.00860712452941095</x:v>
      </x:c>
      <x:c r="N65" s="63" t="n">
        <x:v>1</x:v>
      </x:c>
      <x:c r="O65" s="65" t="n">
        <x:v>0</x:v>
      </x:c>
      <x:c r="P65" s="65" t="n">
        <x:v>0</x:v>
      </x:c>
      <x:c r="Q65" s="62" t="str">
        <x:f>IF(AND(N65=1,O65=0,P65=0,L65&lt;=(E65*Controls!$B$11)),"AUTHORIZED / SCHEDULED","INVALID")</x:f>
        <x:v>AUTHORIZED / SCHEDULED</x:v>
      </x:c>
      <x:c r="R65" s="63" t="n">
        <x:f>COUNTIFS($B$5:$B$94,B65)</x:f>
        <x:v>5</x:v>
      </x:c>
    </x:row>
    <x:row r="66">
      <x:c r="A66" s="62" t="str">
        <x:v>P062</x:v>
      </x:c>
      <x:c r="B66" s="62" t="str">
        <x:v>HU-A-A</x:v>
      </x:c>
      <x:c r="C66" s="62" t="str">
        <x:v>HU-A</x:v>
      </x:c>
      <x:c r="D66" s="62" t="str">
        <x:v>A</x:v>
      </x:c>
      <x:c r="E66" s="63" t="n">
        <x:v>2</x:v>
      </x:c>
      <x:c r="F66" s="63" t="str">
        <x:v>MEASURE</x:v>
      </x:c>
      <x:c r="G66" s="62" t="str">
        <x:v>Instrumentation, custody and validity</x:v>
      </x:c>
      <x:c r="H66" s="75" t="n">
        <x:v>0.25</x:v>
      </x:c>
      <x:c r="I66" s="63" t="n">
        <x:v>2</x:v>
      </x:c>
      <x:c r="J66" s="63" t="n">
        <x:v>8</x:v>
      </x:c>
      <x:c r="K66" s="63" t="n">
        <x:f>(E66-1)*Controls!$B$11+I66</x:f>
        <x:v>26</x:v>
      </x:c>
      <x:c r="L66" s="63" t="n">
        <x:f>K66+J66</x:f>
        <x:v>34</x:v>
      </x:c>
      <x:c r="M66" s="65" t="n">
        <x:f>H66*INDEX('Warrant Registry'!$N$5:$N$22,MATCH(B66,'Warrant Registry'!$A$5:$A$22,0))</x:f>
        <x:v>0.010758905661763686</x:v>
      </x:c>
      <x:c r="N66" s="63" t="n">
        <x:v>1</x:v>
      </x:c>
      <x:c r="O66" s="65" t="n">
        <x:v>0</x:v>
      </x:c>
      <x:c r="P66" s="65" t="n">
        <x:v>0</x:v>
      </x:c>
      <x:c r="Q66" s="62" t="str">
        <x:f>IF(AND(N66=1,O66=0,P66=0,L66&lt;=(E66*Controls!$B$11)),"AUTHORIZED / SCHEDULED","INVALID")</x:f>
        <x:v>AUTHORIZED / SCHEDULED</x:v>
      </x:c>
      <x:c r="R66" s="63" t="n">
        <x:f>COUNTIFS($B$5:$B$94,B66)</x:f>
        <x:v>5</x:v>
      </x:c>
    </x:row>
    <x:row r="67">
      <x:c r="A67" s="62" t="str">
        <x:v>P063</x:v>
      </x:c>
      <x:c r="B67" s="62" t="str">
        <x:v>HU-A-A</x:v>
      </x:c>
      <x:c r="C67" s="62" t="str">
        <x:v>HU-A</x:v>
      </x:c>
      <x:c r="D67" s="62" t="str">
        <x:v>A</x:v>
      </x:c>
      <x:c r="E67" s="63" t="n">
        <x:v>2</x:v>
      </x:c>
      <x:c r="F67" s="63" t="str">
        <x:v>CIVIL</x:v>
      </x:c>
      <x:c r="G67" s="62" t="str">
        <x:v>Rights, receiver and residual closure</x:v>
      </x:c>
      <x:c r="H67" s="75" t="n">
        <x:v>0.15</x:v>
      </x:c>
      <x:c r="I67" s="63" t="n">
        <x:v>0</x:v>
      </x:c>
      <x:c r="J67" s="63" t="n">
        <x:v>8</x:v>
      </x:c>
      <x:c r="K67" s="63" t="n">
        <x:f>(E67-1)*Controls!$B$11+I67</x:f>
        <x:v>24</x:v>
      </x:c>
      <x:c r="L67" s="63" t="n">
        <x:f>K67+J67</x:f>
        <x:v>32</x:v>
      </x:c>
      <x:c r="M67" s="65" t="n">
        <x:f>H67*INDEX('Warrant Registry'!$N$5:$N$22,MATCH(B67,'Warrant Registry'!$A$5:$A$22,0))</x:f>
        <x:v>0.0064553433970582115</x:v>
      </x:c>
      <x:c r="N67" s="63" t="n">
        <x:v>1</x:v>
      </x:c>
      <x:c r="O67" s="65" t="n">
        <x:v>0</x:v>
      </x:c>
      <x:c r="P67" s="65" t="n">
        <x:v>0</x:v>
      </x:c>
      <x:c r="Q67" s="62" t="str">
        <x:f>IF(AND(N67=1,O67=0,P67=0,L67&lt;=(E67*Controls!$B$11)),"AUTHORIZED / SCHEDULED","INVALID")</x:f>
        <x:v>AUTHORIZED / SCHEDULED</x:v>
      </x:c>
      <x:c r="R67" s="63" t="n">
        <x:f>COUNTIFS($B$5:$B$94,B67)</x:f>
        <x:v>5</x:v>
      </x:c>
    </x:row>
    <x:row r="68">
      <x:c r="A68" s="62" t="str">
        <x:v>P064</x:v>
      </x:c>
      <x:c r="B68" s="62" t="str">
        <x:v>HU-A-A</x:v>
      </x:c>
      <x:c r="C68" s="62" t="str">
        <x:v>HU-A</x:v>
      </x:c>
      <x:c r="D68" s="62" t="str">
        <x:v>A</x:v>
      </x:c>
      <x:c r="E68" s="63" t="n">
        <x:v>2</x:v>
      </x:c>
      <x:c r="F68" s="63" t="str">
        <x:v>ARTICLE</x:v>
      </x:c>
      <x:c r="G68" s="62" t="str">
        <x:v>Destructive-article engineering</x:v>
      </x:c>
      <x:c r="H68" s="75" t="n">
        <x:v>0.25</x:v>
      </x:c>
      <x:c r="I68" s="63" t="n">
        <x:v>6</x:v>
      </x:c>
      <x:c r="J68" s="63" t="n">
        <x:v>14</x:v>
      </x:c>
      <x:c r="K68" s="63" t="n">
        <x:f>(E68-1)*Controls!$B$11+I68</x:f>
        <x:v>30</x:v>
      </x:c>
      <x:c r="L68" s="63" t="n">
        <x:f>K68+J68</x:f>
        <x:v>44</x:v>
      </x:c>
      <x:c r="M68" s="65" t="n">
        <x:f>H68*INDEX('Warrant Registry'!$N$5:$N$22,MATCH(B68,'Warrant Registry'!$A$5:$A$22,0))</x:f>
        <x:v>0.010758905661763686</x:v>
      </x:c>
      <x:c r="N68" s="63" t="n">
        <x:v>1</x:v>
      </x:c>
      <x:c r="O68" s="65" t="n">
        <x:v>0</x:v>
      </x:c>
      <x:c r="P68" s="65" t="n">
        <x:v>0</x:v>
      </x:c>
      <x:c r="Q68" s="62" t="str">
        <x:f>IF(AND(N68=1,O68=0,P68=0,L68&lt;=(E68*Controls!$B$11)),"AUTHORIZED / SCHEDULED","INVALID")</x:f>
        <x:v>AUTHORIZED / SCHEDULED</x:v>
      </x:c>
      <x:c r="R68" s="63" t="n">
        <x:f>COUNTIFS($B$5:$B$94,B68)</x:f>
        <x:v>5</x:v>
      </x:c>
    </x:row>
    <x:row r="69">
      <x:c r="A69" s="62" t="str">
        <x:v>P065</x:v>
      </x:c>
      <x:c r="B69" s="62" t="str">
        <x:v>HU-A-A</x:v>
      </x:c>
      <x:c r="C69" s="62" t="str">
        <x:v>HU-A</x:v>
      </x:c>
      <x:c r="D69" s="62" t="str">
        <x:v>A</x:v>
      </x:c>
      <x:c r="E69" s="63" t="n">
        <x:v>2</x:v>
      </x:c>
      <x:c r="F69" s="63" t="str">
        <x:v>REBUILD</x:v>
      </x:c>
      <x:c r="G69" s="62" t="str">
        <x:v>Cold reconstruction and challenge</x:v>
      </x:c>
      <x:c r="H69" s="75" t="n">
        <x:v>0.15</x:v>
      </x:c>
      <x:c r="I69" s="63" t="n">
        <x:v>18</x:v>
      </x:c>
      <x:c r="J69" s="63" t="n">
        <x:v>6</x:v>
      </x:c>
      <x:c r="K69" s="63" t="n">
        <x:f>(E69-1)*Controls!$B$11+I69</x:f>
        <x:v>42</x:v>
      </x:c>
      <x:c r="L69" s="63" t="n">
        <x:f>K69+J69</x:f>
        <x:v>48</x:v>
      </x:c>
      <x:c r="M69" s="65" t="n">
        <x:f>H69*INDEX('Warrant Registry'!$N$5:$N$22,MATCH(B69,'Warrant Registry'!$A$5:$A$22,0))</x:f>
        <x:v>0.0064553433970582115</x:v>
      </x:c>
      <x:c r="N69" s="63" t="n">
        <x:v>1</x:v>
      </x:c>
      <x:c r="O69" s="65" t="n">
        <x:v>0</x:v>
      </x:c>
      <x:c r="P69" s="65" t="n">
        <x:v>0</x:v>
      </x:c>
      <x:c r="Q69" s="62" t="str">
        <x:f>IF(AND(N69=1,O69=0,P69=0,L69&lt;=(E69*Controls!$B$11)),"AUTHORIZED / SCHEDULED","INVALID")</x:f>
        <x:v>AUTHORIZED / SCHEDULED</x:v>
      </x:c>
      <x:c r="R69" s="63" t="n">
        <x:f>COUNTIFS($B$5:$B$94,B69)</x:f>
        <x:v>5</x:v>
      </x:c>
    </x:row>
    <x:row r="70">
      <x:c r="A70" s="62" t="str">
        <x:v>P066</x:v>
      </x:c>
      <x:c r="B70" s="62" t="str">
        <x:v>HU-A-B</x:v>
      </x:c>
      <x:c r="C70" s="62" t="str">
        <x:v>HU-A</x:v>
      </x:c>
      <x:c r="D70" s="62" t="str">
        <x:v>B</x:v>
      </x:c>
      <x:c r="E70" s="63" t="n">
        <x:v>1</x:v>
      </x:c>
      <x:c r="F70" s="63" t="str">
        <x:v>METHOD</x:v>
      </x:c>
      <x:c r="G70" s="62" t="str">
        <x:v>Event method and denominator</x:v>
      </x:c>
      <x:c r="H70" s="75" t="n">
        <x:v>0.2</x:v>
      </x:c>
      <x:c r="I70" s="63" t="n">
        <x:v>0</x:v>
      </x:c>
      <x:c r="J70" s="63" t="n">
        <x:v>4</x:v>
      </x:c>
      <x:c r="K70" s="63" t="n">
        <x:f>(E70-1)*Controls!$B$11+I70</x:f>
        <x:v>0</x:v>
      </x:c>
      <x:c r="L70" s="63" t="n">
        <x:f>K70+J70</x:f>
        <x:v>4</x:v>
      </x:c>
      <x:c r="M70" s="65" t="n">
        <x:f>H70*INDEX('Warrant Registry'!$N$5:$N$22,MATCH(B70,'Warrant Registry'!$A$5:$A$22,0))</x:f>
        <x:v>0.00860712452941095</x:v>
      </x:c>
      <x:c r="N70" s="63" t="n">
        <x:v>1</x:v>
      </x:c>
      <x:c r="O70" s="65" t="n">
        <x:v>0</x:v>
      </x:c>
      <x:c r="P70" s="65" t="n">
        <x:v>0</x:v>
      </x:c>
      <x:c r="Q70" s="62" t="str">
        <x:f>IF(AND(N70=1,O70=0,P70=0,L70&lt;=(E70*Controls!$B$11)),"AUTHORIZED / SCHEDULED","INVALID")</x:f>
        <x:v>AUTHORIZED / SCHEDULED</x:v>
      </x:c>
      <x:c r="R70" s="63" t="n">
        <x:f>COUNTIFS($B$5:$B$94,B70)</x:f>
        <x:v>5</x:v>
      </x:c>
    </x:row>
    <x:row r="71">
      <x:c r="A71" s="62" t="str">
        <x:v>P067</x:v>
      </x:c>
      <x:c r="B71" s="62" t="str">
        <x:v>HU-A-B</x:v>
      </x:c>
      <x:c r="C71" s="62" t="str">
        <x:v>HU-A</x:v>
      </x:c>
      <x:c r="D71" s="62" t="str">
        <x:v>B</x:v>
      </x:c>
      <x:c r="E71" s="63" t="n">
        <x:v>1</x:v>
      </x:c>
      <x:c r="F71" s="63" t="str">
        <x:v>MEASURE</x:v>
      </x:c>
      <x:c r="G71" s="62" t="str">
        <x:v>Instrumentation, custody and validity</x:v>
      </x:c>
      <x:c r="H71" s="75" t="n">
        <x:v>0.25</x:v>
      </x:c>
      <x:c r="I71" s="63" t="n">
        <x:v>2</x:v>
      </x:c>
      <x:c r="J71" s="63" t="n">
        <x:v>8</x:v>
      </x:c>
      <x:c r="K71" s="63" t="n">
        <x:f>(E71-1)*Controls!$B$11+I71</x:f>
        <x:v>2</x:v>
      </x:c>
      <x:c r="L71" s="63" t="n">
        <x:f>K71+J71</x:f>
        <x:v>10</x:v>
      </x:c>
      <x:c r="M71" s="65" t="n">
        <x:f>H71*INDEX('Warrant Registry'!$N$5:$N$22,MATCH(B71,'Warrant Registry'!$A$5:$A$22,0))</x:f>
        <x:v>0.010758905661763686</x:v>
      </x:c>
      <x:c r="N71" s="63" t="n">
        <x:v>1</x:v>
      </x:c>
      <x:c r="O71" s="65" t="n">
        <x:v>0</x:v>
      </x:c>
      <x:c r="P71" s="65" t="n">
        <x:v>0</x:v>
      </x:c>
      <x:c r="Q71" s="62" t="str">
        <x:f>IF(AND(N71=1,O71=0,P71=0,L71&lt;=(E71*Controls!$B$11)),"AUTHORIZED / SCHEDULED","INVALID")</x:f>
        <x:v>AUTHORIZED / SCHEDULED</x:v>
      </x:c>
      <x:c r="R71" s="63" t="n">
        <x:f>COUNTIFS($B$5:$B$94,B71)</x:f>
        <x:v>5</x:v>
      </x:c>
    </x:row>
    <x:row r="72">
      <x:c r="A72" s="62" t="str">
        <x:v>P068</x:v>
      </x:c>
      <x:c r="B72" s="62" t="str">
        <x:v>HU-A-B</x:v>
      </x:c>
      <x:c r="C72" s="62" t="str">
        <x:v>HU-A</x:v>
      </x:c>
      <x:c r="D72" s="62" t="str">
        <x:v>B</x:v>
      </x:c>
      <x:c r="E72" s="63" t="n">
        <x:v>1</x:v>
      </x:c>
      <x:c r="F72" s="63" t="str">
        <x:v>CIVIL</x:v>
      </x:c>
      <x:c r="G72" s="62" t="str">
        <x:v>Rights, receiver and residual closure</x:v>
      </x:c>
      <x:c r="H72" s="75" t="n">
        <x:v>0.15</x:v>
      </x:c>
      <x:c r="I72" s="63" t="n">
        <x:v>0</x:v>
      </x:c>
      <x:c r="J72" s="63" t="n">
        <x:v>8</x:v>
      </x:c>
      <x:c r="K72" s="63" t="n">
        <x:f>(E72-1)*Controls!$B$11+I72</x:f>
        <x:v>0</x:v>
      </x:c>
      <x:c r="L72" s="63" t="n">
        <x:f>K72+J72</x:f>
        <x:v>8</x:v>
      </x:c>
      <x:c r="M72" s="65" t="n">
        <x:f>H72*INDEX('Warrant Registry'!$N$5:$N$22,MATCH(B72,'Warrant Registry'!$A$5:$A$22,0))</x:f>
        <x:v>0.0064553433970582115</x:v>
      </x:c>
      <x:c r="N72" s="63" t="n">
        <x:v>1</x:v>
      </x:c>
      <x:c r="O72" s="65" t="n">
        <x:v>0</x:v>
      </x:c>
      <x:c r="P72" s="65" t="n">
        <x:v>0</x:v>
      </x:c>
      <x:c r="Q72" s="62" t="str">
        <x:f>IF(AND(N72=1,O72=0,P72=0,L72&lt;=(E72*Controls!$B$11)),"AUTHORIZED / SCHEDULED","INVALID")</x:f>
        <x:v>AUTHORIZED / SCHEDULED</x:v>
      </x:c>
      <x:c r="R72" s="63" t="n">
        <x:f>COUNTIFS($B$5:$B$94,B72)</x:f>
        <x:v>5</x:v>
      </x:c>
    </x:row>
    <x:row r="73">
      <x:c r="A73" s="62" t="str">
        <x:v>P069</x:v>
      </x:c>
      <x:c r="B73" s="62" t="str">
        <x:v>HU-A-B</x:v>
      </x:c>
      <x:c r="C73" s="62" t="str">
        <x:v>HU-A</x:v>
      </x:c>
      <x:c r="D73" s="62" t="str">
        <x:v>B</x:v>
      </x:c>
      <x:c r="E73" s="63" t="n">
        <x:v>1</x:v>
      </x:c>
      <x:c r="F73" s="63" t="str">
        <x:v>ARTICLE</x:v>
      </x:c>
      <x:c r="G73" s="62" t="str">
        <x:v>Destructive-article engineering</x:v>
      </x:c>
      <x:c r="H73" s="75" t="n">
        <x:v>0.25</x:v>
      </x:c>
      <x:c r="I73" s="63" t="n">
        <x:v>6</x:v>
      </x:c>
      <x:c r="J73" s="63" t="n">
        <x:v>14</x:v>
      </x:c>
      <x:c r="K73" s="63" t="n">
        <x:f>(E73-1)*Controls!$B$11+I73</x:f>
        <x:v>6</x:v>
      </x:c>
      <x:c r="L73" s="63" t="n">
        <x:f>K73+J73</x:f>
        <x:v>20</x:v>
      </x:c>
      <x:c r="M73" s="65" t="n">
        <x:f>H73*INDEX('Warrant Registry'!$N$5:$N$22,MATCH(B73,'Warrant Registry'!$A$5:$A$22,0))</x:f>
        <x:v>0.010758905661763686</x:v>
      </x:c>
      <x:c r="N73" s="63" t="n">
        <x:v>1</x:v>
      </x:c>
      <x:c r="O73" s="65" t="n">
        <x:v>0</x:v>
      </x:c>
      <x:c r="P73" s="65" t="n">
        <x:v>0</x:v>
      </x:c>
      <x:c r="Q73" s="62" t="str">
        <x:f>IF(AND(N73=1,O73=0,P73=0,L73&lt;=(E73*Controls!$B$11)),"AUTHORIZED / SCHEDULED","INVALID")</x:f>
        <x:v>AUTHORIZED / SCHEDULED</x:v>
      </x:c>
      <x:c r="R73" s="63" t="n">
        <x:f>COUNTIFS($B$5:$B$94,B73)</x:f>
        <x:v>5</x:v>
      </x:c>
    </x:row>
    <x:row r="74">
      <x:c r="A74" s="62" t="str">
        <x:v>P070</x:v>
      </x:c>
      <x:c r="B74" s="62" t="str">
        <x:v>HU-A-B</x:v>
      </x:c>
      <x:c r="C74" s="62" t="str">
        <x:v>HU-A</x:v>
      </x:c>
      <x:c r="D74" s="62" t="str">
        <x:v>B</x:v>
      </x:c>
      <x:c r="E74" s="63" t="n">
        <x:v>1</x:v>
      </x:c>
      <x:c r="F74" s="63" t="str">
        <x:v>REBUILD</x:v>
      </x:c>
      <x:c r="G74" s="62" t="str">
        <x:v>Cold reconstruction and challenge</x:v>
      </x:c>
      <x:c r="H74" s="75" t="n">
        <x:v>0.15</x:v>
      </x:c>
      <x:c r="I74" s="63" t="n">
        <x:v>18</x:v>
      </x:c>
      <x:c r="J74" s="63" t="n">
        <x:v>6</x:v>
      </x:c>
      <x:c r="K74" s="63" t="n">
        <x:f>(E74-1)*Controls!$B$11+I74</x:f>
        <x:v>18</x:v>
      </x:c>
      <x:c r="L74" s="63" t="n">
        <x:f>K74+J74</x:f>
        <x:v>24</x:v>
      </x:c>
      <x:c r="M74" s="65" t="n">
        <x:f>H74*INDEX('Warrant Registry'!$N$5:$N$22,MATCH(B74,'Warrant Registry'!$A$5:$A$22,0))</x:f>
        <x:v>0.0064553433970582115</x:v>
      </x:c>
      <x:c r="N74" s="63" t="n">
        <x:v>1</x:v>
      </x:c>
      <x:c r="O74" s="65" t="n">
        <x:v>0</x:v>
      </x:c>
      <x:c r="P74" s="65" t="n">
        <x:v>0</x:v>
      </x:c>
      <x:c r="Q74" s="62" t="str">
        <x:f>IF(AND(N74=1,O74=0,P74=0,L74&lt;=(E74*Controls!$B$11)),"AUTHORIZED / SCHEDULED","INVALID")</x:f>
        <x:v>AUTHORIZED / SCHEDULED</x:v>
      </x:c>
      <x:c r="R74" s="63" t="n">
        <x:f>COUNTIFS($B$5:$B$94,B74)</x:f>
        <x:v>5</x:v>
      </x:c>
    </x:row>
    <x:row r="75">
      <x:c r="A75" s="62" t="str">
        <x:v>P071</x:v>
      </x:c>
      <x:c r="B75" s="62" t="str">
        <x:v>HU-A-C</x:v>
      </x:c>
      <x:c r="C75" s="62" t="str">
        <x:v>HU-A</x:v>
      </x:c>
      <x:c r="D75" s="62" t="str">
        <x:v>C</x:v>
      </x:c>
      <x:c r="E75" s="63" t="n">
        <x:v>3</x:v>
      </x:c>
      <x:c r="F75" s="63" t="str">
        <x:v>METHOD</x:v>
      </x:c>
      <x:c r="G75" s="62" t="str">
        <x:v>Event method and denominator</x:v>
      </x:c>
      <x:c r="H75" s="75" t="n">
        <x:v>0.2</x:v>
      </x:c>
      <x:c r="I75" s="63" t="n">
        <x:v>0</x:v>
      </x:c>
      <x:c r="J75" s="63" t="n">
        <x:v>4</x:v>
      </x:c>
      <x:c r="K75" s="63" t="n">
        <x:f>(E75-1)*Controls!$B$11+I75</x:f>
        <x:v>48</x:v>
      </x:c>
      <x:c r="L75" s="63" t="n">
        <x:f>K75+J75</x:f>
        <x:v>52</x:v>
      </x:c>
      <x:c r="M75" s="65" t="n">
        <x:f>H75*INDEX('Warrant Registry'!$N$5:$N$22,MATCH(B75,'Warrant Registry'!$A$5:$A$22,0))</x:f>
        <x:v>0.00860712452941095</x:v>
      </x:c>
      <x:c r="N75" s="63" t="n">
        <x:v>1</x:v>
      </x:c>
      <x:c r="O75" s="65" t="n">
        <x:v>0</x:v>
      </x:c>
      <x:c r="P75" s="65" t="n">
        <x:v>0</x:v>
      </x:c>
      <x:c r="Q75" s="62" t="str">
        <x:f>IF(AND(N75=1,O75=0,P75=0,L75&lt;=(E75*Controls!$B$11)),"AUTHORIZED / SCHEDULED","INVALID")</x:f>
        <x:v>AUTHORIZED / SCHEDULED</x:v>
      </x:c>
      <x:c r="R75" s="63" t="n">
        <x:f>COUNTIFS($B$5:$B$94,B75)</x:f>
        <x:v>5</x:v>
      </x:c>
    </x:row>
    <x:row r="76">
      <x:c r="A76" s="62" t="str">
        <x:v>P072</x:v>
      </x:c>
      <x:c r="B76" s="62" t="str">
        <x:v>HU-A-C</x:v>
      </x:c>
      <x:c r="C76" s="62" t="str">
        <x:v>HU-A</x:v>
      </x:c>
      <x:c r="D76" s="62" t="str">
        <x:v>C</x:v>
      </x:c>
      <x:c r="E76" s="63" t="n">
        <x:v>3</x:v>
      </x:c>
      <x:c r="F76" s="63" t="str">
        <x:v>MEASURE</x:v>
      </x:c>
      <x:c r="G76" s="62" t="str">
        <x:v>Instrumentation, custody and validity</x:v>
      </x:c>
      <x:c r="H76" s="75" t="n">
        <x:v>0.25</x:v>
      </x:c>
      <x:c r="I76" s="63" t="n">
        <x:v>2</x:v>
      </x:c>
      <x:c r="J76" s="63" t="n">
        <x:v>8</x:v>
      </x:c>
      <x:c r="K76" s="63" t="n">
        <x:f>(E76-1)*Controls!$B$11+I76</x:f>
        <x:v>50</x:v>
      </x:c>
      <x:c r="L76" s="63" t="n">
        <x:f>K76+J76</x:f>
        <x:v>58</x:v>
      </x:c>
      <x:c r="M76" s="65" t="n">
        <x:f>H76*INDEX('Warrant Registry'!$N$5:$N$22,MATCH(B76,'Warrant Registry'!$A$5:$A$22,0))</x:f>
        <x:v>0.010758905661763686</x:v>
      </x:c>
      <x:c r="N76" s="63" t="n">
        <x:v>1</x:v>
      </x:c>
      <x:c r="O76" s="65" t="n">
        <x:v>0</x:v>
      </x:c>
      <x:c r="P76" s="65" t="n">
        <x:v>0</x:v>
      </x:c>
      <x:c r="Q76" s="62" t="str">
        <x:f>IF(AND(N76=1,O76=0,P76=0,L76&lt;=(E76*Controls!$B$11)),"AUTHORIZED / SCHEDULED","INVALID")</x:f>
        <x:v>AUTHORIZED / SCHEDULED</x:v>
      </x:c>
      <x:c r="R76" s="63" t="n">
        <x:f>COUNTIFS($B$5:$B$94,B76)</x:f>
        <x:v>5</x:v>
      </x:c>
    </x:row>
    <x:row r="77">
      <x:c r="A77" s="62" t="str">
        <x:v>P073</x:v>
      </x:c>
      <x:c r="B77" s="62" t="str">
        <x:v>HU-A-C</x:v>
      </x:c>
      <x:c r="C77" s="62" t="str">
        <x:v>HU-A</x:v>
      </x:c>
      <x:c r="D77" s="62" t="str">
        <x:v>C</x:v>
      </x:c>
      <x:c r="E77" s="63" t="n">
        <x:v>3</x:v>
      </x:c>
      <x:c r="F77" s="63" t="str">
        <x:v>CIVIL</x:v>
      </x:c>
      <x:c r="G77" s="62" t="str">
        <x:v>Rights, receiver and residual closure</x:v>
      </x:c>
      <x:c r="H77" s="75" t="n">
        <x:v>0.15</x:v>
      </x:c>
      <x:c r="I77" s="63" t="n">
        <x:v>0</x:v>
      </x:c>
      <x:c r="J77" s="63" t="n">
        <x:v>8</x:v>
      </x:c>
      <x:c r="K77" s="63" t="n">
        <x:f>(E77-1)*Controls!$B$11+I77</x:f>
        <x:v>48</x:v>
      </x:c>
      <x:c r="L77" s="63" t="n">
        <x:f>K77+J77</x:f>
        <x:v>56</x:v>
      </x:c>
      <x:c r="M77" s="65" t="n">
        <x:f>H77*INDEX('Warrant Registry'!$N$5:$N$22,MATCH(B77,'Warrant Registry'!$A$5:$A$22,0))</x:f>
        <x:v>0.0064553433970582115</x:v>
      </x:c>
      <x:c r="N77" s="63" t="n">
        <x:v>1</x:v>
      </x:c>
      <x:c r="O77" s="65" t="n">
        <x:v>0</x:v>
      </x:c>
      <x:c r="P77" s="65" t="n">
        <x:v>0</x:v>
      </x:c>
      <x:c r="Q77" s="62" t="str">
        <x:f>IF(AND(N77=1,O77=0,P77=0,L77&lt;=(E77*Controls!$B$11)),"AUTHORIZED / SCHEDULED","INVALID")</x:f>
        <x:v>AUTHORIZED / SCHEDULED</x:v>
      </x:c>
      <x:c r="R77" s="63" t="n">
        <x:f>COUNTIFS($B$5:$B$94,B77)</x:f>
        <x:v>5</x:v>
      </x:c>
    </x:row>
    <x:row r="78">
      <x:c r="A78" s="62" t="str">
        <x:v>P074</x:v>
      </x:c>
      <x:c r="B78" s="62" t="str">
        <x:v>HU-A-C</x:v>
      </x:c>
      <x:c r="C78" s="62" t="str">
        <x:v>HU-A</x:v>
      </x:c>
      <x:c r="D78" s="62" t="str">
        <x:v>C</x:v>
      </x:c>
      <x:c r="E78" s="63" t="n">
        <x:v>3</x:v>
      </x:c>
      <x:c r="F78" s="63" t="str">
        <x:v>ARTICLE</x:v>
      </x:c>
      <x:c r="G78" s="62" t="str">
        <x:v>Destructive-article engineering</x:v>
      </x:c>
      <x:c r="H78" s="75" t="n">
        <x:v>0.25</x:v>
      </x:c>
      <x:c r="I78" s="63" t="n">
        <x:v>6</x:v>
      </x:c>
      <x:c r="J78" s="63" t="n">
        <x:v>14</x:v>
      </x:c>
      <x:c r="K78" s="63" t="n">
        <x:f>(E78-1)*Controls!$B$11+I78</x:f>
        <x:v>54</x:v>
      </x:c>
      <x:c r="L78" s="63" t="n">
        <x:f>K78+J78</x:f>
        <x:v>68</x:v>
      </x:c>
      <x:c r="M78" s="65" t="n">
        <x:f>H78*INDEX('Warrant Registry'!$N$5:$N$22,MATCH(B78,'Warrant Registry'!$A$5:$A$22,0))</x:f>
        <x:v>0.010758905661763686</x:v>
      </x:c>
      <x:c r="N78" s="63" t="n">
        <x:v>1</x:v>
      </x:c>
      <x:c r="O78" s="65" t="n">
        <x:v>0</x:v>
      </x:c>
      <x:c r="P78" s="65" t="n">
        <x:v>0</x:v>
      </x:c>
      <x:c r="Q78" s="62" t="str">
        <x:f>IF(AND(N78=1,O78=0,P78=0,L78&lt;=(E78*Controls!$B$11)),"AUTHORIZED / SCHEDULED","INVALID")</x:f>
        <x:v>AUTHORIZED / SCHEDULED</x:v>
      </x:c>
      <x:c r="R78" s="63" t="n">
        <x:f>COUNTIFS($B$5:$B$94,B78)</x:f>
        <x:v>5</x:v>
      </x:c>
    </x:row>
    <x:row r="79">
      <x:c r="A79" s="62" t="str">
        <x:v>P075</x:v>
      </x:c>
      <x:c r="B79" s="62" t="str">
        <x:v>HU-A-C</x:v>
      </x:c>
      <x:c r="C79" s="62" t="str">
        <x:v>HU-A</x:v>
      </x:c>
      <x:c r="D79" s="62" t="str">
        <x:v>C</x:v>
      </x:c>
      <x:c r="E79" s="63" t="n">
        <x:v>3</x:v>
      </x:c>
      <x:c r="F79" s="63" t="str">
        <x:v>REBUILD</x:v>
      </x:c>
      <x:c r="G79" s="62" t="str">
        <x:v>Cold reconstruction and challenge</x:v>
      </x:c>
      <x:c r="H79" s="75" t="n">
        <x:v>0.15</x:v>
      </x:c>
      <x:c r="I79" s="63" t="n">
        <x:v>18</x:v>
      </x:c>
      <x:c r="J79" s="63" t="n">
        <x:v>6</x:v>
      </x:c>
      <x:c r="K79" s="63" t="n">
        <x:f>(E79-1)*Controls!$B$11+I79</x:f>
        <x:v>66</x:v>
      </x:c>
      <x:c r="L79" s="63" t="n">
        <x:f>K79+J79</x:f>
        <x:v>72</x:v>
      </x:c>
      <x:c r="M79" s="65" t="n">
        <x:f>H79*INDEX('Warrant Registry'!$N$5:$N$22,MATCH(B79,'Warrant Registry'!$A$5:$A$22,0))</x:f>
        <x:v>0.0064553433970582115</x:v>
      </x:c>
      <x:c r="N79" s="63" t="n">
        <x:v>1</x:v>
      </x:c>
      <x:c r="O79" s="65" t="n">
        <x:v>0</x:v>
      </x:c>
      <x:c r="P79" s="65" t="n">
        <x:v>0</x:v>
      </x:c>
      <x:c r="Q79" s="62" t="str">
        <x:f>IF(AND(N79=1,O79=0,P79=0,L79&lt;=(E79*Controls!$B$11)),"AUTHORIZED / SCHEDULED","INVALID")</x:f>
        <x:v>AUTHORIZED / SCHEDULED</x:v>
      </x:c>
      <x:c r="R79" s="63" t="n">
        <x:f>COUNTIFS($B$5:$B$94,B79)</x:f>
        <x:v>5</x:v>
      </x:c>
    </x:row>
    <x:row r="80">
      <x:c r="A80" s="62" t="str">
        <x:v>P076</x:v>
      </x:c>
      <x:c r="B80" s="62" t="str">
        <x:v>RT-B-A</x:v>
      </x:c>
      <x:c r="C80" s="62" t="str">
        <x:v>RT-B</x:v>
      </x:c>
      <x:c r="D80" s="62" t="str">
        <x:v>A</x:v>
      </x:c>
      <x:c r="E80" s="63" t="n">
        <x:v>3</x:v>
      </x:c>
      <x:c r="F80" s="63" t="str">
        <x:v>METHOD</x:v>
      </x:c>
      <x:c r="G80" s="62" t="str">
        <x:v>Event method and denominator</x:v>
      </x:c>
      <x:c r="H80" s="75" t="n">
        <x:v>0.2</x:v>
      </x:c>
      <x:c r="I80" s="63" t="n">
        <x:v>0</x:v>
      </x:c>
      <x:c r="J80" s="63" t="n">
        <x:v>4</x:v>
      </x:c>
      <x:c r="K80" s="63" t="n">
        <x:f>(E80-1)*Controls!$B$11+I80</x:f>
        <x:v>48</x:v>
      </x:c>
      <x:c r="L80" s="63" t="n">
        <x:f>K80+J80</x:f>
        <x:v>52</x:v>
      </x:c>
      <x:c r="M80" s="65" t="n">
        <x:f>H80*INDEX('Warrant Registry'!$N$5:$N$22,MATCH(B80,'Warrant Registry'!$A$5:$A$22,0))</x:f>
        <x:v>0.005025977931359629</x:v>
      </x:c>
      <x:c r="N80" s="63" t="n">
        <x:v>1</x:v>
      </x:c>
      <x:c r="O80" s="65" t="n">
        <x:v>0</x:v>
      </x:c>
      <x:c r="P80" s="65" t="n">
        <x:v>0</x:v>
      </x:c>
      <x:c r="Q80" s="62" t="str">
        <x:f>IF(AND(N80=1,O80=0,P80=0,L80&lt;=(E80*Controls!$B$11)),"AUTHORIZED / SCHEDULED","INVALID")</x:f>
        <x:v>AUTHORIZED / SCHEDULED</x:v>
      </x:c>
      <x:c r="R80" s="63" t="n">
        <x:f>COUNTIFS($B$5:$B$94,B80)</x:f>
        <x:v>5</x:v>
      </x:c>
    </x:row>
    <x:row r="81">
      <x:c r="A81" s="62" t="str">
        <x:v>P077</x:v>
      </x:c>
      <x:c r="B81" s="62" t="str">
        <x:v>RT-B-A</x:v>
      </x:c>
      <x:c r="C81" s="62" t="str">
        <x:v>RT-B</x:v>
      </x:c>
      <x:c r="D81" s="62" t="str">
        <x:v>A</x:v>
      </x:c>
      <x:c r="E81" s="63" t="n">
        <x:v>3</x:v>
      </x:c>
      <x:c r="F81" s="63" t="str">
        <x:v>MEASURE</x:v>
      </x:c>
      <x:c r="G81" s="62" t="str">
        <x:v>Instrumentation, custody and validity</x:v>
      </x:c>
      <x:c r="H81" s="75" t="n">
        <x:v>0.25</x:v>
      </x:c>
      <x:c r="I81" s="63" t="n">
        <x:v>2</x:v>
      </x:c>
      <x:c r="J81" s="63" t="n">
        <x:v>8</x:v>
      </x:c>
      <x:c r="K81" s="63" t="n">
        <x:f>(E81-1)*Controls!$B$11+I81</x:f>
        <x:v>50</x:v>
      </x:c>
      <x:c r="L81" s="63" t="n">
        <x:f>K81+J81</x:f>
        <x:v>58</x:v>
      </x:c>
      <x:c r="M81" s="65" t="n">
        <x:f>H81*INDEX('Warrant Registry'!$N$5:$N$22,MATCH(B81,'Warrant Registry'!$A$5:$A$22,0))</x:f>
        <x:v>0.0062824724141995365</x:v>
      </x:c>
      <x:c r="N81" s="63" t="n">
        <x:v>1</x:v>
      </x:c>
      <x:c r="O81" s="65" t="n">
        <x:v>0</x:v>
      </x:c>
      <x:c r="P81" s="65" t="n">
        <x:v>0</x:v>
      </x:c>
      <x:c r="Q81" s="62" t="str">
        <x:f>IF(AND(N81=1,O81=0,P81=0,L81&lt;=(E81*Controls!$B$11)),"AUTHORIZED / SCHEDULED","INVALID")</x:f>
        <x:v>AUTHORIZED / SCHEDULED</x:v>
      </x:c>
      <x:c r="R81" s="63" t="n">
        <x:f>COUNTIFS($B$5:$B$94,B81)</x:f>
        <x:v>5</x:v>
      </x:c>
    </x:row>
    <x:row r="82">
      <x:c r="A82" s="62" t="str">
        <x:v>P078</x:v>
      </x:c>
      <x:c r="B82" s="62" t="str">
        <x:v>RT-B-A</x:v>
      </x:c>
      <x:c r="C82" s="62" t="str">
        <x:v>RT-B</x:v>
      </x:c>
      <x:c r="D82" s="62" t="str">
        <x:v>A</x:v>
      </x:c>
      <x:c r="E82" s="63" t="n">
        <x:v>3</x:v>
      </x:c>
      <x:c r="F82" s="63" t="str">
        <x:v>CIVIL</x:v>
      </x:c>
      <x:c r="G82" s="62" t="str">
        <x:v>Rights, receiver and residual closure</x:v>
      </x:c>
      <x:c r="H82" s="75" t="n">
        <x:v>0.15</x:v>
      </x:c>
      <x:c r="I82" s="63" t="n">
        <x:v>0</x:v>
      </x:c>
      <x:c r="J82" s="63" t="n">
        <x:v>8</x:v>
      </x:c>
      <x:c r="K82" s="63" t="n">
        <x:f>(E82-1)*Controls!$B$11+I82</x:f>
        <x:v>48</x:v>
      </x:c>
      <x:c r="L82" s="63" t="n">
        <x:f>K82+J82</x:f>
        <x:v>56</x:v>
      </x:c>
      <x:c r="M82" s="65" t="n">
        <x:f>H82*INDEX('Warrant Registry'!$N$5:$N$22,MATCH(B82,'Warrant Registry'!$A$5:$A$22,0))</x:f>
        <x:v>0.003769483448519722</x:v>
      </x:c>
      <x:c r="N82" s="63" t="n">
        <x:v>1</x:v>
      </x:c>
      <x:c r="O82" s="65" t="n">
        <x:v>0</x:v>
      </x:c>
      <x:c r="P82" s="65" t="n">
        <x:v>0</x:v>
      </x:c>
      <x:c r="Q82" s="62" t="str">
        <x:f>IF(AND(N82=1,O82=0,P82=0,L82&lt;=(E82*Controls!$B$11)),"AUTHORIZED / SCHEDULED","INVALID")</x:f>
        <x:v>AUTHORIZED / SCHEDULED</x:v>
      </x:c>
      <x:c r="R82" s="63" t="n">
        <x:f>COUNTIFS($B$5:$B$94,B82)</x:f>
        <x:v>5</x:v>
      </x:c>
    </x:row>
    <x:row r="83">
      <x:c r="A83" s="62" t="str">
        <x:v>P079</x:v>
      </x:c>
      <x:c r="B83" s="62" t="str">
        <x:v>RT-B-A</x:v>
      </x:c>
      <x:c r="C83" s="62" t="str">
        <x:v>RT-B</x:v>
      </x:c>
      <x:c r="D83" s="62" t="str">
        <x:v>A</x:v>
      </x:c>
      <x:c r="E83" s="63" t="n">
        <x:v>3</x:v>
      </x:c>
      <x:c r="F83" s="63" t="str">
        <x:v>ARTICLE</x:v>
      </x:c>
      <x:c r="G83" s="62" t="str">
        <x:v>Destructive-article engineering</x:v>
      </x:c>
      <x:c r="H83" s="75" t="n">
        <x:v>0.25</x:v>
      </x:c>
      <x:c r="I83" s="63" t="n">
        <x:v>6</x:v>
      </x:c>
      <x:c r="J83" s="63" t="n">
        <x:v>14</x:v>
      </x:c>
      <x:c r="K83" s="63" t="n">
        <x:f>(E83-1)*Controls!$B$11+I83</x:f>
        <x:v>54</x:v>
      </x:c>
      <x:c r="L83" s="63" t="n">
        <x:f>K83+J83</x:f>
        <x:v>68</x:v>
      </x:c>
      <x:c r="M83" s="65" t="n">
        <x:f>H83*INDEX('Warrant Registry'!$N$5:$N$22,MATCH(B83,'Warrant Registry'!$A$5:$A$22,0))</x:f>
        <x:v>0.0062824724141995365</x:v>
      </x:c>
      <x:c r="N83" s="63" t="n">
        <x:v>1</x:v>
      </x:c>
      <x:c r="O83" s="65" t="n">
        <x:v>0</x:v>
      </x:c>
      <x:c r="P83" s="65" t="n">
        <x:v>0</x:v>
      </x:c>
      <x:c r="Q83" s="62" t="str">
        <x:f>IF(AND(N83=1,O83=0,P83=0,L83&lt;=(E83*Controls!$B$11)),"AUTHORIZED / SCHEDULED","INVALID")</x:f>
        <x:v>AUTHORIZED / SCHEDULED</x:v>
      </x:c>
      <x:c r="R83" s="63" t="n">
        <x:f>COUNTIFS($B$5:$B$94,B83)</x:f>
        <x:v>5</x:v>
      </x:c>
    </x:row>
    <x:row r="84">
      <x:c r="A84" s="62" t="str">
        <x:v>P080</x:v>
      </x:c>
      <x:c r="B84" s="62" t="str">
        <x:v>RT-B-A</x:v>
      </x:c>
      <x:c r="C84" s="62" t="str">
        <x:v>RT-B</x:v>
      </x:c>
      <x:c r="D84" s="62" t="str">
        <x:v>A</x:v>
      </x:c>
      <x:c r="E84" s="63" t="n">
        <x:v>3</x:v>
      </x:c>
      <x:c r="F84" s="63" t="str">
        <x:v>REBUILD</x:v>
      </x:c>
      <x:c r="G84" s="62" t="str">
        <x:v>Cold reconstruction and challenge</x:v>
      </x:c>
      <x:c r="H84" s="75" t="n">
        <x:v>0.15</x:v>
      </x:c>
      <x:c r="I84" s="63" t="n">
        <x:v>18</x:v>
      </x:c>
      <x:c r="J84" s="63" t="n">
        <x:v>6</x:v>
      </x:c>
      <x:c r="K84" s="63" t="n">
        <x:f>(E84-1)*Controls!$B$11+I84</x:f>
        <x:v>66</x:v>
      </x:c>
      <x:c r="L84" s="63" t="n">
        <x:f>K84+J84</x:f>
        <x:v>72</x:v>
      </x:c>
      <x:c r="M84" s="65" t="n">
        <x:f>H84*INDEX('Warrant Registry'!$N$5:$N$22,MATCH(B84,'Warrant Registry'!$A$5:$A$22,0))</x:f>
        <x:v>0.003769483448519722</x:v>
      </x:c>
      <x:c r="N84" s="63" t="n">
        <x:v>1</x:v>
      </x:c>
      <x:c r="O84" s="65" t="n">
        <x:v>0</x:v>
      </x:c>
      <x:c r="P84" s="65" t="n">
        <x:v>0</x:v>
      </x:c>
      <x:c r="Q84" s="62" t="str">
        <x:f>IF(AND(N84=1,O84=0,P84=0,L84&lt;=(E84*Controls!$B$11)),"AUTHORIZED / SCHEDULED","INVALID")</x:f>
        <x:v>AUTHORIZED / SCHEDULED</x:v>
      </x:c>
      <x:c r="R84" s="63" t="n">
        <x:f>COUNTIFS($B$5:$B$94,B84)</x:f>
        <x:v>5</x:v>
      </x:c>
    </x:row>
    <x:row r="85">
      <x:c r="A85" s="62" t="str">
        <x:v>P081</x:v>
      </x:c>
      <x:c r="B85" s="62" t="str">
        <x:v>RT-B-B</x:v>
      </x:c>
      <x:c r="C85" s="62" t="str">
        <x:v>RT-B</x:v>
      </x:c>
      <x:c r="D85" s="62" t="str">
        <x:v>B</x:v>
      </x:c>
      <x:c r="E85" s="63" t="n">
        <x:v>2</x:v>
      </x:c>
      <x:c r="F85" s="63" t="str">
        <x:v>METHOD</x:v>
      </x:c>
      <x:c r="G85" s="62" t="str">
        <x:v>Event method and denominator</x:v>
      </x:c>
      <x:c r="H85" s="75" t="n">
        <x:v>0.2</x:v>
      </x:c>
      <x:c r="I85" s="63" t="n">
        <x:v>0</x:v>
      </x:c>
      <x:c r="J85" s="63" t="n">
        <x:v>4</x:v>
      </x:c>
      <x:c r="K85" s="63" t="n">
        <x:f>(E85-1)*Controls!$B$11+I85</x:f>
        <x:v>24</x:v>
      </x:c>
      <x:c r="L85" s="63" t="n">
        <x:f>K85+J85</x:f>
        <x:v>28</x:v>
      </x:c>
      <x:c r="M85" s="65" t="n">
        <x:f>H85*INDEX('Warrant Registry'!$N$5:$N$22,MATCH(B85,'Warrant Registry'!$A$5:$A$22,0))</x:f>
        <x:v>0.005025977931359629</x:v>
      </x:c>
      <x:c r="N85" s="63" t="n">
        <x:v>1</x:v>
      </x:c>
      <x:c r="O85" s="65" t="n">
        <x:v>0</x:v>
      </x:c>
      <x:c r="P85" s="65" t="n">
        <x:v>0</x:v>
      </x:c>
      <x:c r="Q85" s="62" t="str">
        <x:f>IF(AND(N85=1,O85=0,P85=0,L85&lt;=(E85*Controls!$B$11)),"AUTHORIZED / SCHEDULED","INVALID")</x:f>
        <x:v>AUTHORIZED / SCHEDULED</x:v>
      </x:c>
      <x:c r="R85" s="63" t="n">
        <x:f>COUNTIFS($B$5:$B$94,B85)</x:f>
        <x:v>5</x:v>
      </x:c>
    </x:row>
    <x:row r="86">
      <x:c r="A86" s="62" t="str">
        <x:v>P082</x:v>
      </x:c>
      <x:c r="B86" s="62" t="str">
        <x:v>RT-B-B</x:v>
      </x:c>
      <x:c r="C86" s="62" t="str">
        <x:v>RT-B</x:v>
      </x:c>
      <x:c r="D86" s="62" t="str">
        <x:v>B</x:v>
      </x:c>
      <x:c r="E86" s="63" t="n">
        <x:v>2</x:v>
      </x:c>
      <x:c r="F86" s="63" t="str">
        <x:v>MEASURE</x:v>
      </x:c>
      <x:c r="G86" s="62" t="str">
        <x:v>Instrumentation, custody and validity</x:v>
      </x:c>
      <x:c r="H86" s="75" t="n">
        <x:v>0.25</x:v>
      </x:c>
      <x:c r="I86" s="63" t="n">
        <x:v>2</x:v>
      </x:c>
      <x:c r="J86" s="63" t="n">
        <x:v>8</x:v>
      </x:c>
      <x:c r="K86" s="63" t="n">
        <x:f>(E86-1)*Controls!$B$11+I86</x:f>
        <x:v>26</x:v>
      </x:c>
      <x:c r="L86" s="63" t="n">
        <x:f>K86+J86</x:f>
        <x:v>34</x:v>
      </x:c>
      <x:c r="M86" s="65" t="n">
        <x:f>H86*INDEX('Warrant Registry'!$N$5:$N$22,MATCH(B86,'Warrant Registry'!$A$5:$A$22,0))</x:f>
        <x:v>0.0062824724141995365</x:v>
      </x:c>
      <x:c r="N86" s="63" t="n">
        <x:v>1</x:v>
      </x:c>
      <x:c r="O86" s="65" t="n">
        <x:v>0</x:v>
      </x:c>
      <x:c r="P86" s="65" t="n">
        <x:v>0</x:v>
      </x:c>
      <x:c r="Q86" s="62" t="str">
        <x:f>IF(AND(N86=1,O86=0,P86=0,L86&lt;=(E86*Controls!$B$11)),"AUTHORIZED / SCHEDULED","INVALID")</x:f>
        <x:v>AUTHORIZED / SCHEDULED</x:v>
      </x:c>
      <x:c r="R86" s="63" t="n">
        <x:f>COUNTIFS($B$5:$B$94,B86)</x:f>
        <x:v>5</x:v>
      </x:c>
    </x:row>
    <x:row r="87">
      <x:c r="A87" s="62" t="str">
        <x:v>P083</x:v>
      </x:c>
      <x:c r="B87" s="62" t="str">
        <x:v>RT-B-B</x:v>
      </x:c>
      <x:c r="C87" s="62" t="str">
        <x:v>RT-B</x:v>
      </x:c>
      <x:c r="D87" s="62" t="str">
        <x:v>B</x:v>
      </x:c>
      <x:c r="E87" s="63" t="n">
        <x:v>2</x:v>
      </x:c>
      <x:c r="F87" s="63" t="str">
        <x:v>CIVIL</x:v>
      </x:c>
      <x:c r="G87" s="62" t="str">
        <x:v>Rights, receiver and residual closure</x:v>
      </x:c>
      <x:c r="H87" s="75" t="n">
        <x:v>0.15</x:v>
      </x:c>
      <x:c r="I87" s="63" t="n">
        <x:v>0</x:v>
      </x:c>
      <x:c r="J87" s="63" t="n">
        <x:v>8</x:v>
      </x:c>
      <x:c r="K87" s="63" t="n">
        <x:f>(E87-1)*Controls!$B$11+I87</x:f>
        <x:v>24</x:v>
      </x:c>
      <x:c r="L87" s="63" t="n">
        <x:f>K87+J87</x:f>
        <x:v>32</x:v>
      </x:c>
      <x:c r="M87" s="65" t="n">
        <x:f>H87*INDEX('Warrant Registry'!$N$5:$N$22,MATCH(B87,'Warrant Registry'!$A$5:$A$22,0))</x:f>
        <x:v>0.003769483448519722</x:v>
      </x:c>
      <x:c r="N87" s="63" t="n">
        <x:v>1</x:v>
      </x:c>
      <x:c r="O87" s="65" t="n">
        <x:v>0</x:v>
      </x:c>
      <x:c r="P87" s="65" t="n">
        <x:v>0</x:v>
      </x:c>
      <x:c r="Q87" s="62" t="str">
        <x:f>IF(AND(N87=1,O87=0,P87=0,L87&lt;=(E87*Controls!$B$11)),"AUTHORIZED / SCHEDULED","INVALID")</x:f>
        <x:v>AUTHORIZED / SCHEDULED</x:v>
      </x:c>
      <x:c r="R87" s="63" t="n">
        <x:f>COUNTIFS($B$5:$B$94,B87)</x:f>
        <x:v>5</x:v>
      </x:c>
    </x:row>
    <x:row r="88">
      <x:c r="A88" s="62" t="str">
        <x:v>P084</x:v>
      </x:c>
      <x:c r="B88" s="62" t="str">
        <x:v>RT-B-B</x:v>
      </x:c>
      <x:c r="C88" s="62" t="str">
        <x:v>RT-B</x:v>
      </x:c>
      <x:c r="D88" s="62" t="str">
        <x:v>B</x:v>
      </x:c>
      <x:c r="E88" s="63" t="n">
        <x:v>2</x:v>
      </x:c>
      <x:c r="F88" s="63" t="str">
        <x:v>ARTICLE</x:v>
      </x:c>
      <x:c r="G88" s="62" t="str">
        <x:v>Destructive-article engineering</x:v>
      </x:c>
      <x:c r="H88" s="75" t="n">
        <x:v>0.25</x:v>
      </x:c>
      <x:c r="I88" s="63" t="n">
        <x:v>6</x:v>
      </x:c>
      <x:c r="J88" s="63" t="n">
        <x:v>14</x:v>
      </x:c>
      <x:c r="K88" s="63" t="n">
        <x:f>(E88-1)*Controls!$B$11+I88</x:f>
        <x:v>30</x:v>
      </x:c>
      <x:c r="L88" s="63" t="n">
        <x:f>K88+J88</x:f>
        <x:v>44</x:v>
      </x:c>
      <x:c r="M88" s="65" t="n">
        <x:f>H88*INDEX('Warrant Registry'!$N$5:$N$22,MATCH(B88,'Warrant Registry'!$A$5:$A$22,0))</x:f>
        <x:v>0.0062824724141995365</x:v>
      </x:c>
      <x:c r="N88" s="63" t="n">
        <x:v>1</x:v>
      </x:c>
      <x:c r="O88" s="65" t="n">
        <x:v>0</x:v>
      </x:c>
      <x:c r="P88" s="65" t="n">
        <x:v>0</x:v>
      </x:c>
      <x:c r="Q88" s="62" t="str">
        <x:f>IF(AND(N88=1,O88=0,P88=0,L88&lt;=(E88*Controls!$B$11)),"AUTHORIZED / SCHEDULED","INVALID")</x:f>
        <x:v>AUTHORIZED / SCHEDULED</x:v>
      </x:c>
      <x:c r="R88" s="63" t="n">
        <x:f>COUNTIFS($B$5:$B$94,B88)</x:f>
        <x:v>5</x:v>
      </x:c>
    </x:row>
    <x:row r="89">
      <x:c r="A89" s="62" t="str">
        <x:v>P085</x:v>
      </x:c>
      <x:c r="B89" s="62" t="str">
        <x:v>RT-B-B</x:v>
      </x:c>
      <x:c r="C89" s="62" t="str">
        <x:v>RT-B</x:v>
      </x:c>
      <x:c r="D89" s="62" t="str">
        <x:v>B</x:v>
      </x:c>
      <x:c r="E89" s="63" t="n">
        <x:v>2</x:v>
      </x:c>
      <x:c r="F89" s="63" t="str">
        <x:v>REBUILD</x:v>
      </x:c>
      <x:c r="G89" s="62" t="str">
        <x:v>Cold reconstruction and challenge</x:v>
      </x:c>
      <x:c r="H89" s="75" t="n">
        <x:v>0.15</x:v>
      </x:c>
      <x:c r="I89" s="63" t="n">
        <x:v>18</x:v>
      </x:c>
      <x:c r="J89" s="63" t="n">
        <x:v>6</x:v>
      </x:c>
      <x:c r="K89" s="63" t="n">
        <x:f>(E89-1)*Controls!$B$11+I89</x:f>
        <x:v>42</x:v>
      </x:c>
      <x:c r="L89" s="63" t="n">
        <x:f>K89+J89</x:f>
        <x:v>48</x:v>
      </x:c>
      <x:c r="M89" s="65" t="n">
        <x:f>H89*INDEX('Warrant Registry'!$N$5:$N$22,MATCH(B89,'Warrant Registry'!$A$5:$A$22,0))</x:f>
        <x:v>0.003769483448519722</x:v>
      </x:c>
      <x:c r="N89" s="63" t="n">
        <x:v>1</x:v>
      </x:c>
      <x:c r="O89" s="65" t="n">
        <x:v>0</x:v>
      </x:c>
      <x:c r="P89" s="65" t="n">
        <x:v>0</x:v>
      </x:c>
      <x:c r="Q89" s="62" t="str">
        <x:f>IF(AND(N89=1,O89=0,P89=0,L89&lt;=(E89*Controls!$B$11)),"AUTHORIZED / SCHEDULED","INVALID")</x:f>
        <x:v>AUTHORIZED / SCHEDULED</x:v>
      </x:c>
      <x:c r="R89" s="63" t="n">
        <x:f>COUNTIFS($B$5:$B$94,B89)</x:f>
        <x:v>5</x:v>
      </x:c>
    </x:row>
    <x:row r="90">
      <x:c r="A90" s="62" t="str">
        <x:v>P086</x:v>
      </x:c>
      <x:c r="B90" s="62" t="str">
        <x:v>RT-B-C</x:v>
      </x:c>
      <x:c r="C90" s="62" t="str">
        <x:v>RT-B</x:v>
      </x:c>
      <x:c r="D90" s="62" t="str">
        <x:v>C</x:v>
      </x:c>
      <x:c r="E90" s="63" t="n">
        <x:v>1</x:v>
      </x:c>
      <x:c r="F90" s="63" t="str">
        <x:v>METHOD</x:v>
      </x:c>
      <x:c r="G90" s="62" t="str">
        <x:v>Event method and denominator</x:v>
      </x:c>
      <x:c r="H90" s="75" t="n">
        <x:v>0.2</x:v>
      </x:c>
      <x:c r="I90" s="63" t="n">
        <x:v>0</x:v>
      </x:c>
      <x:c r="J90" s="63" t="n">
        <x:v>4</x:v>
      </x:c>
      <x:c r="K90" s="63" t="n">
        <x:f>(E90-1)*Controls!$B$11+I90</x:f>
        <x:v>0</x:v>
      </x:c>
      <x:c r="L90" s="63" t="n">
        <x:f>K90+J90</x:f>
        <x:v>4</x:v>
      </x:c>
      <x:c r="M90" s="65" t="n">
        <x:f>H90*INDEX('Warrant Registry'!$N$5:$N$22,MATCH(B90,'Warrant Registry'!$A$5:$A$22,0))</x:f>
        <x:v>0.005025977931359629</x:v>
      </x:c>
      <x:c r="N90" s="63" t="n">
        <x:v>1</x:v>
      </x:c>
      <x:c r="O90" s="65" t="n">
        <x:v>0</x:v>
      </x:c>
      <x:c r="P90" s="65" t="n">
        <x:v>0</x:v>
      </x:c>
      <x:c r="Q90" s="62" t="str">
        <x:f>IF(AND(N90=1,O90=0,P90=0,L90&lt;=(E90*Controls!$B$11)),"AUTHORIZED / SCHEDULED","INVALID")</x:f>
        <x:v>AUTHORIZED / SCHEDULED</x:v>
      </x:c>
      <x:c r="R90" s="63" t="n">
        <x:f>COUNTIFS($B$5:$B$94,B90)</x:f>
        <x:v>5</x:v>
      </x:c>
    </x:row>
    <x:row r="91">
      <x:c r="A91" s="62" t="str">
        <x:v>P087</x:v>
      </x:c>
      <x:c r="B91" s="62" t="str">
        <x:v>RT-B-C</x:v>
      </x:c>
      <x:c r="C91" s="62" t="str">
        <x:v>RT-B</x:v>
      </x:c>
      <x:c r="D91" s="62" t="str">
        <x:v>C</x:v>
      </x:c>
      <x:c r="E91" s="63" t="n">
        <x:v>1</x:v>
      </x:c>
      <x:c r="F91" s="63" t="str">
        <x:v>MEASURE</x:v>
      </x:c>
      <x:c r="G91" s="62" t="str">
        <x:v>Instrumentation, custody and validity</x:v>
      </x:c>
      <x:c r="H91" s="75" t="n">
        <x:v>0.25</x:v>
      </x:c>
      <x:c r="I91" s="63" t="n">
        <x:v>2</x:v>
      </x:c>
      <x:c r="J91" s="63" t="n">
        <x:v>8</x:v>
      </x:c>
      <x:c r="K91" s="63" t="n">
        <x:f>(E91-1)*Controls!$B$11+I91</x:f>
        <x:v>2</x:v>
      </x:c>
      <x:c r="L91" s="63" t="n">
        <x:f>K91+J91</x:f>
        <x:v>10</x:v>
      </x:c>
      <x:c r="M91" s="65" t="n">
        <x:f>H91*INDEX('Warrant Registry'!$N$5:$N$22,MATCH(B91,'Warrant Registry'!$A$5:$A$22,0))</x:f>
        <x:v>0.0062824724141995365</x:v>
      </x:c>
      <x:c r="N91" s="63" t="n">
        <x:v>1</x:v>
      </x:c>
      <x:c r="O91" s="65" t="n">
        <x:v>0</x:v>
      </x:c>
      <x:c r="P91" s="65" t="n">
        <x:v>0</x:v>
      </x:c>
      <x:c r="Q91" s="62" t="str">
        <x:f>IF(AND(N91=1,O91=0,P91=0,L91&lt;=(E91*Controls!$B$11)),"AUTHORIZED / SCHEDULED","INVALID")</x:f>
        <x:v>AUTHORIZED / SCHEDULED</x:v>
      </x:c>
      <x:c r="R91" s="63" t="n">
        <x:f>COUNTIFS($B$5:$B$94,B91)</x:f>
        <x:v>5</x:v>
      </x:c>
    </x:row>
    <x:row r="92">
      <x:c r="A92" s="62" t="str">
        <x:v>P088</x:v>
      </x:c>
      <x:c r="B92" s="62" t="str">
        <x:v>RT-B-C</x:v>
      </x:c>
      <x:c r="C92" s="62" t="str">
        <x:v>RT-B</x:v>
      </x:c>
      <x:c r="D92" s="62" t="str">
        <x:v>C</x:v>
      </x:c>
      <x:c r="E92" s="63" t="n">
        <x:v>1</x:v>
      </x:c>
      <x:c r="F92" s="63" t="str">
        <x:v>CIVIL</x:v>
      </x:c>
      <x:c r="G92" s="62" t="str">
        <x:v>Rights, receiver and residual closure</x:v>
      </x:c>
      <x:c r="H92" s="75" t="n">
        <x:v>0.15</x:v>
      </x:c>
      <x:c r="I92" s="63" t="n">
        <x:v>0</x:v>
      </x:c>
      <x:c r="J92" s="63" t="n">
        <x:v>8</x:v>
      </x:c>
      <x:c r="K92" s="63" t="n">
        <x:f>(E92-1)*Controls!$B$11+I92</x:f>
        <x:v>0</x:v>
      </x:c>
      <x:c r="L92" s="63" t="n">
        <x:f>K92+J92</x:f>
        <x:v>8</x:v>
      </x:c>
      <x:c r="M92" s="65" t="n">
        <x:f>H92*INDEX('Warrant Registry'!$N$5:$N$22,MATCH(B92,'Warrant Registry'!$A$5:$A$22,0))</x:f>
        <x:v>0.003769483448519722</x:v>
      </x:c>
      <x:c r="N92" s="63" t="n">
        <x:v>1</x:v>
      </x:c>
      <x:c r="O92" s="65" t="n">
        <x:v>0</x:v>
      </x:c>
      <x:c r="P92" s="65" t="n">
        <x:v>0</x:v>
      </x:c>
      <x:c r="Q92" s="62" t="str">
        <x:f>IF(AND(N92=1,O92=0,P92=0,L92&lt;=(E92*Controls!$B$11)),"AUTHORIZED / SCHEDULED","INVALID")</x:f>
        <x:v>AUTHORIZED / SCHEDULED</x:v>
      </x:c>
      <x:c r="R92" s="63" t="n">
        <x:f>COUNTIFS($B$5:$B$94,B92)</x:f>
        <x:v>5</x:v>
      </x:c>
    </x:row>
    <x:row r="93">
      <x:c r="A93" s="62" t="str">
        <x:v>P089</x:v>
      </x:c>
      <x:c r="B93" s="62" t="str">
        <x:v>RT-B-C</x:v>
      </x:c>
      <x:c r="C93" s="62" t="str">
        <x:v>RT-B</x:v>
      </x:c>
      <x:c r="D93" s="62" t="str">
        <x:v>C</x:v>
      </x:c>
      <x:c r="E93" s="63" t="n">
        <x:v>1</x:v>
      </x:c>
      <x:c r="F93" s="63" t="str">
        <x:v>ARTICLE</x:v>
      </x:c>
      <x:c r="G93" s="62" t="str">
        <x:v>Destructive-article engineering</x:v>
      </x:c>
      <x:c r="H93" s="75" t="n">
        <x:v>0.25</x:v>
      </x:c>
      <x:c r="I93" s="63" t="n">
        <x:v>6</x:v>
      </x:c>
      <x:c r="J93" s="63" t="n">
        <x:v>14</x:v>
      </x:c>
      <x:c r="K93" s="63" t="n">
        <x:f>(E93-1)*Controls!$B$11+I93</x:f>
        <x:v>6</x:v>
      </x:c>
      <x:c r="L93" s="63" t="n">
        <x:f>K93+J93</x:f>
        <x:v>20</x:v>
      </x:c>
      <x:c r="M93" s="65" t="n">
        <x:f>H93*INDEX('Warrant Registry'!$N$5:$N$22,MATCH(B93,'Warrant Registry'!$A$5:$A$22,0))</x:f>
        <x:v>0.0062824724141995365</x:v>
      </x:c>
      <x:c r="N93" s="63" t="n">
        <x:v>1</x:v>
      </x:c>
      <x:c r="O93" s="65" t="n">
        <x:v>0</x:v>
      </x:c>
      <x:c r="P93" s="65" t="n">
        <x:v>0</x:v>
      </x:c>
      <x:c r="Q93" s="62" t="str">
        <x:f>IF(AND(N93=1,O93=0,P93=0,L93&lt;=(E93*Controls!$B$11)),"AUTHORIZED / SCHEDULED","INVALID")</x:f>
        <x:v>AUTHORIZED / SCHEDULED</x:v>
      </x:c>
      <x:c r="R93" s="63" t="n">
        <x:f>COUNTIFS($B$5:$B$94,B93)</x:f>
        <x:v>5</x:v>
      </x:c>
    </x:row>
    <x:row r="94">
      <x:c r="A94" s="66" t="str">
        <x:v>P090</x:v>
      </x:c>
      <x:c r="B94" s="66" t="str">
        <x:v>RT-B-C</x:v>
      </x:c>
      <x:c r="C94" s="66" t="str">
        <x:v>RT-B</x:v>
      </x:c>
      <x:c r="D94" s="66" t="str">
        <x:v>C</x:v>
      </x:c>
      <x:c r="E94" s="64" t="n">
        <x:v>1</x:v>
      </x:c>
      <x:c r="F94" s="64" t="str">
        <x:v>REBUILD</x:v>
      </x:c>
      <x:c r="G94" s="66" t="str">
        <x:v>Cold reconstruction and challenge</x:v>
      </x:c>
      <x:c r="H94" s="76" t="n">
        <x:v>0.15</x:v>
      </x:c>
      <x:c r="I94" s="64" t="n">
        <x:v>18</x:v>
      </x:c>
      <x:c r="J94" s="64" t="n">
        <x:v>6</x:v>
      </x:c>
      <x:c r="K94" s="64" t="n">
        <x:f>(E94-1)*Controls!$B$11+I94</x:f>
        <x:v>18</x:v>
      </x:c>
      <x:c r="L94" s="64" t="n">
        <x:f>K94+J94</x:f>
        <x:v>24</x:v>
      </x:c>
      <x:c r="M94" s="73" t="n">
        <x:f>H94*INDEX('Warrant Registry'!$N$5:$N$22,MATCH(B94,'Warrant Registry'!$A$5:$A$22,0))</x:f>
        <x:v>0.003769483448519722</x:v>
      </x:c>
      <x:c r="N94" s="64" t="n">
        <x:v>1</x:v>
      </x:c>
      <x:c r="O94" s="73" t="n">
        <x:v>0</x:v>
      </x:c>
      <x:c r="P94" s="73" t="n">
        <x:v>0</x:v>
      </x:c>
      <x:c r="Q94" s="66" t="str">
        <x:f>IF(AND(N94=1,O94=0,P94=0,L94&lt;=(E94*Controls!$B$11)),"AUTHORIZED / SCHEDULED","INVALID")</x:f>
        <x:v>AUTHORIZED / SCHEDULED</x:v>
      </x:c>
      <x:c r="R94" s="64" t="n">
        <x:f>COUNTIFS($B$5:$B$94,B94)</x:f>
        <x:v>5</x:v>
      </x:c>
    </x:row>
  </x:sheetData>
  <x:mergeCells>
    <x:mergeCell ref="A2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6" hidden="0" customWidth="1"/>
    <x:col min="4" max="4" width="24" hidden="0" customWidth="1"/>
    <x:col min="5" max="5" width="17" hidden="0" customWidth="1"/>
    <x:col min="6" max="6" width="24" hidden="0" customWidth="1"/>
    <x:col min="7" max="7" width="15" hidden="0" customWidth="1"/>
    <x:col min="8" max="8" width="18" hidden="0" customWidth="1"/>
    <x:col min="9" max="9" width="20" hidden="0" customWidth="1"/>
    <x:col min="10" max="10" width="20" hidden="0" customWidth="1"/>
    <x:col min="11" max="11" width="16" hidden="0" customWidth="1"/>
    <x:col min="12" max="12" width="20" hidden="0" customWidth="1"/>
  </x:cols>
  <x:sheetData>
    <x:row r="2">
      <x:c r="A2" s="56" t="str">
        <x:v>Sibling-protected root reservations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 ht="32" customHeight="1">
      <x:c r="A4" s="14" t="str">
        <x:v>System</x:v>
      </x:c>
      <x:c r="B4" s="15" t="str">
        <x:v>Root</x:v>
      </x:c>
      <x:c r="C4" s="15" t="str">
        <x:v>Article</x:v>
      </x:c>
      <x:c r="D4" s="15" t="str">
        <x:v>Option ceiling USD B</x:v>
      </x:c>
      <x:c r="E4" s="15" t="str">
        <x:v>FRAME share</x:v>
      </x:c>
      <x:c r="F4" s="15" t="str">
        <x:v>Root FRAME ceiling USD B</x:v>
      </x:c>
      <x:c r="G4" s="15" t="str">
        <x:v>Warrants</x:v>
      </x:c>
      <x:c r="H4" s="15" t="str">
        <x:v>Warrants issued</x:v>
      </x:c>
      <x:c r="I4" s="15" t="str">
        <x:v>Reserved USD B</x:v>
      </x:c>
      <x:c r="J4" s="15" t="str">
        <x:v>Obligated USD B</x:v>
      </x:c>
      <x:c r="K4" s="15" t="str">
        <x:v>Paid USD B</x:v>
      </x:c>
      <x:c r="L4" s="16" t="str">
        <x:v>Unreserved USD B</x:v>
      </x:c>
    </x:row>
    <x:row r="5">
      <x:c r="A5" s="59" t="str">
        <x:v>MS-ET</x:v>
      </x:c>
      <x:c r="B5" s="59" t="str">
        <x:v>ET-A</x:v>
      </x:c>
      <x:c r="C5" s="59" t="str">
        <x:v>Pelagic exchange cell</x:v>
      </x:c>
      <x:c r="D5" s="72" t="n">
        <x:v>0.50047461808185</x:v>
      </x:c>
      <x:c r="E5" s="74" t="n">
        <x:v>0.15</x:v>
      </x:c>
      <x:c r="F5" s="72" t="n">
        <x:f>D5*E5</x:f>
        <x:v>0.0750711927122775</x:v>
      </x:c>
      <x:c r="G5" s="60" t="n">
        <x:f>COUNTIFS('Warrant Registry'!$B$5:$B$22,B5)</x:f>
        <x:v>3</x:v>
      </x:c>
      <x:c r="H5" s="60" t="n">
        <x:f>SUMIFS('Warrant Registry'!$H$5:$H$22,'Warrant Registry'!$B$5:$B$22,B5)</x:f>
        <x:v>3</x:v>
      </x:c>
      <x:c r="I5" s="72" t="n">
        <x:f>SUMIFS('Warrant Registry'!$N$5:$N$22,'Warrant Registry'!$B$5:$B$22,B5)</x:f>
        <x:v>0.0750711927122775</x:v>
      </x:c>
      <x:c r="J5" s="72" t="n">
        <x:f>SUMIFS('Warrant Registry'!$O$5:$O$22,'Warrant Registry'!$B$5:$B$22,B5)</x:f>
        <x:v>0</x:v>
      </x:c>
      <x:c r="K5" s="72" t="n">
        <x:f>SUMIFS('Warrant Registry'!$P$5:$P$22,'Warrant Registry'!$B$5:$B$22,B5)</x:f>
        <x:v>0</x:v>
      </x:c>
      <x:c r="L5" s="72" t="n">
        <x:f>F5-I5</x:f>
        <x:v>0</x:v>
      </x:c>
    </x:row>
    <x:row r="6">
      <x:c r="A6" s="62" t="str">
        <x:v>MS-CT</x:v>
      </x:c>
      <x:c r="B6" s="62" t="str">
        <x:v>CT-C</x:v>
      </x:c>
      <x:c r="C6" s="62" t="str">
        <x:v>Occupied-building utility-spine sector</x:v>
      </x:c>
      <x:c r="D6" s="65" t="n">
        <x:v>0.51649348177396</x:v>
      </x:c>
      <x:c r="E6" s="75" t="n">
        <x:v>0.15</x:v>
      </x:c>
      <x:c r="F6" s="65" t="n">
        <x:f>D6*E6</x:f>
        <x:v>0.077474022266094</x:v>
      </x:c>
      <x:c r="G6" s="63" t="n">
        <x:f>COUNTIFS('Warrant Registry'!$B$5:$B$22,B6)</x:f>
        <x:v>3</x:v>
      </x:c>
      <x:c r="H6" s="63" t="n">
        <x:f>SUMIFS('Warrant Registry'!$H$5:$H$22,'Warrant Registry'!$B$5:$B$22,B6)</x:f>
        <x:v>3</x:v>
      </x:c>
      <x:c r="I6" s="65" t="n">
        <x:f>SUMIFS('Warrant Registry'!$N$5:$N$22,'Warrant Registry'!$B$5:$B$22,B6)</x:f>
        <x:v>0.077474022266094</x:v>
      </x:c>
      <x:c r="J6" s="65" t="n">
        <x:f>SUMIFS('Warrant Registry'!$O$5:$O$22,'Warrant Registry'!$B$5:$B$22,B6)</x:f>
        <x:v>0</x:v>
      </x:c>
      <x:c r="K6" s="65" t="n">
        <x:f>SUMIFS('Warrant Registry'!$P$5:$P$22,'Warrant Registry'!$B$5:$B$22,B6)</x:f>
        <x:v>0</x:v>
      </x:c>
      <x:c r="L6" s="65" t="n">
        <x:f>F6-I6</x:f>
        <x:v>0</x:v>
      </x:c>
    </x:row>
    <x:row r="7">
      <x:c r="A7" s="62" t="str">
        <x:v>MS-HC</x:v>
      </x:c>
      <x:c r="B7" s="62" t="str">
        <x:v>HC-A</x:v>
      </x:c>
      <x:c r="C7" s="62" t="str">
        <x:v>Atmospheric intervention cell</x:v>
      </x:c>
      <x:c r="D7" s="65" t="n">
        <x:v>0.307221654067133</x:v>
      </x:c>
      <x:c r="E7" s="75" t="n">
        <x:v>0.15</x:v>
      </x:c>
      <x:c r="F7" s="65" t="n">
        <x:f>D7*E7</x:f>
        <x:v>0.046083248110069946</x:v>
      </x:c>
      <x:c r="G7" s="63" t="n">
        <x:f>COUNTIFS('Warrant Registry'!$B$5:$B$22,B7)</x:f>
        <x:v>3</x:v>
      </x:c>
      <x:c r="H7" s="63" t="n">
        <x:f>SUMIFS('Warrant Registry'!$H$5:$H$22,'Warrant Registry'!$B$5:$B$22,B7)</x:f>
        <x:v>3</x:v>
      </x:c>
      <x:c r="I7" s="65" t="n">
        <x:f>SUMIFS('Warrant Registry'!$N$5:$N$22,'Warrant Registry'!$B$5:$B$22,B7)</x:f>
        <x:v>0.046083248110069946</x:v>
      </x:c>
      <x:c r="J7" s="65" t="n">
        <x:f>SUMIFS('Warrant Registry'!$O$5:$O$22,'Warrant Registry'!$B$5:$B$22,B7)</x:f>
        <x:v>0</x:v>
      </x:c>
      <x:c r="K7" s="65" t="n">
        <x:f>SUMIFS('Warrant Registry'!$P$5:$P$22,'Warrant Registry'!$B$5:$B$22,B7)</x:f>
        <x:v>0</x:v>
      </x:c>
      <x:c r="L7" s="65" t="n">
        <x:f>F7-I7</x:f>
        <x:v>0</x:v>
      </x:c>
    </x:row>
    <x:row r="8">
      <x:c r="A8" s="62" t="str">
        <x:v>MS-LF</x:v>
      </x:c>
      <x:c r="B8" s="62" t="str">
        <x:v>LF-B</x:v>
      </x:c>
      <x:c r="C8" s="62" t="str">
        <x:v>Geothermal source position</x:v>
      </x:c>
      <x:c r="D8" s="65" t="n">
        <x:v>0.899412819320565</x:v>
      </x:c>
      <x:c r="E8" s="75" t="n">
        <x:v>0.15</x:v>
      </x:c>
      <x:c r="F8" s="65" t="n">
        <x:f>D8*E8</x:f>
        <x:v>0.13491192289808476</x:v>
      </x:c>
      <x:c r="G8" s="63" t="n">
        <x:f>COUNTIFS('Warrant Registry'!$B$5:$B$22,B8)</x:f>
        <x:v>3</x:v>
      </x:c>
      <x:c r="H8" s="63" t="n">
        <x:f>SUMIFS('Warrant Registry'!$H$5:$H$22,'Warrant Registry'!$B$5:$B$22,B8)</x:f>
        <x:v>3</x:v>
      </x:c>
      <x:c r="I8" s="65" t="n">
        <x:f>SUMIFS('Warrant Registry'!$N$5:$N$22,'Warrant Registry'!$B$5:$B$22,B8)</x:f>
        <x:v>0.13491192289808476</x:v>
      </x:c>
      <x:c r="J8" s="65" t="n">
        <x:f>SUMIFS('Warrant Registry'!$O$5:$O$22,'Warrant Registry'!$B$5:$B$22,B8)</x:f>
        <x:v>0</x:v>
      </x:c>
      <x:c r="K8" s="65" t="n">
        <x:f>SUMIFS('Warrant Registry'!$P$5:$P$22,'Warrant Registry'!$B$5:$B$22,B8)</x:f>
        <x:v>0</x:v>
      </x:c>
      <x:c r="L8" s="65" t="n">
        <x:f>F8-I8</x:f>
        <x:v>0</x:v>
      </x:c>
    </x:row>
    <x:row r="9">
      <x:c r="A9" s="62" t="str">
        <x:v>MS-HU</x:v>
      </x:c>
      <x:c r="B9" s="62" t="str">
        <x:v>HU-A</x:v>
      </x:c>
      <x:c r="C9" s="62" t="str">
        <x:v>Complete clinical island</x:v>
      </x:c>
      <x:c r="D9" s="65" t="n">
        <x:v>0.860712452941095</x:v>
      </x:c>
      <x:c r="E9" s="75" t="n">
        <x:v>0.15</x:v>
      </x:c>
      <x:c r="F9" s="65" t="n">
        <x:f>D9*E9</x:f>
        <x:v>0.12910686794116424</x:v>
      </x:c>
      <x:c r="G9" s="63" t="n">
        <x:f>COUNTIFS('Warrant Registry'!$B$5:$B$22,B9)</x:f>
        <x:v>3</x:v>
      </x:c>
      <x:c r="H9" s="63" t="n">
        <x:f>SUMIFS('Warrant Registry'!$H$5:$H$22,'Warrant Registry'!$B$5:$B$22,B9)</x:f>
        <x:v>3</x:v>
      </x:c>
      <x:c r="I9" s="65" t="n">
        <x:f>SUMIFS('Warrant Registry'!$N$5:$N$22,'Warrant Registry'!$B$5:$B$22,B9)</x:f>
        <x:v>0.12910686794116424</x:v>
      </x:c>
      <x:c r="J9" s="65" t="n">
        <x:f>SUMIFS('Warrant Registry'!$O$5:$O$22,'Warrant Registry'!$B$5:$B$22,B9)</x:f>
        <x:v>0</x:v>
      </x:c>
      <x:c r="K9" s="65" t="n">
        <x:f>SUMIFS('Warrant Registry'!$P$5:$P$22,'Warrant Registry'!$B$5:$B$22,B9)</x:f>
        <x:v>0</x:v>
      </x:c>
      <x:c r="L9" s="65" t="n">
        <x:f>F9-I9</x:f>
        <x:v>0</x:v>
      </x:c>
    </x:row>
    <x:row r="10">
      <x:c r="A10" s="62" t="str">
        <x:v>MS-RT</x:v>
      </x:c>
      <x:c r="B10" s="62" t="str">
        <x:v>RT-B</x:v>
      </x:c>
      <x:c r="C10" s="62" t="str">
        <x:v>Disconnected microfactory mesh</x:v>
      </x:c>
      <x:c r="D10" s="65" t="n">
        <x:v>0.502597793135963</x:v>
      </x:c>
      <x:c r="E10" s="75" t="n">
        <x:v>0.15</x:v>
      </x:c>
      <x:c r="F10" s="65" t="n">
        <x:f>D10*E10</x:f>
        <x:v>0.07538966897039444</x:v>
      </x:c>
      <x:c r="G10" s="63" t="n">
        <x:f>COUNTIFS('Warrant Registry'!$B$5:$B$22,B10)</x:f>
        <x:v>3</x:v>
      </x:c>
      <x:c r="H10" s="63" t="n">
        <x:f>SUMIFS('Warrant Registry'!$H$5:$H$22,'Warrant Registry'!$B$5:$B$22,B10)</x:f>
        <x:v>3</x:v>
      </x:c>
      <x:c r="I10" s="65" t="n">
        <x:f>SUMIFS('Warrant Registry'!$N$5:$N$22,'Warrant Registry'!$B$5:$B$22,B10)</x:f>
        <x:v>0.07538966897039444</x:v>
      </x:c>
      <x:c r="J10" s="65" t="n">
        <x:f>SUMIFS('Warrant Registry'!$O$5:$O$22,'Warrant Registry'!$B$5:$B$22,B10)</x:f>
        <x:v>0</x:v>
      </x:c>
      <x:c r="K10" s="65" t="n">
        <x:f>SUMIFS('Warrant Registry'!$P$5:$P$22,'Warrant Registry'!$B$5:$B$22,B10)</x:f>
        <x:v>0</x:v>
      </x:c>
      <x:c r="L10" s="65" t="n">
        <x:f>F10-I10</x:f>
        <x:v>0</x:v>
      </x:c>
    </x:row>
    <x:row r="11">
      <x:c r="A11" s="77" t="str">
        <x:v>TOTAL</x:v>
      </x:c>
      <x:c r="B11" s="77" t="str">
        <x:v>six roots</x:v>
      </x:c>
      <x:c r="C11" s="77" t="str">
        <x:v>warrant sequence</x:v>
      </x:c>
      <x:c r="D11" s="78" t="n">
        <x:f>SUM(D5:D10)</x:f>
        <x:v>3.586912819320566</x:v>
      </x:c>
      <x:c r="E11" s="77"/>
      <x:c r="F11" s="78" t="n">
        <x:f>SUM(F5:F10)</x:f>
        <x:v>0.5380369228980849</x:v>
      </x:c>
      <x:c r="G11" s="79" t="n">
        <x:f>SUM(G5:G10)</x:f>
        <x:v>18</x:v>
      </x:c>
      <x:c r="H11" s="79" t="n">
        <x:f>SUM(H5:H10)</x:f>
        <x:v>18</x:v>
      </x:c>
      <x:c r="I11" s="78" t="n">
        <x:f>SUM(I5:I10)</x:f>
        <x:v>0.5380369228980849</x:v>
      </x:c>
      <x:c r="J11" s="78" t="n">
        <x:f>SUM(J5:J10)</x:f>
        <x:v>0</x:v>
      </x:c>
      <x:c r="K11" s="78" t="n">
        <x:f>SUM(K5:K10)</x:f>
        <x:v>0</x:v>
      </x:c>
      <x:c r="L11" s="78" t="n">
        <x:f>SUM(L5:L10)</x:f>
        <x:v>0</x:v>
      </x:c>
    </x:row>
  </x:sheetData>
  <x:mergeCells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8" hidden="0" customWidth="1"/>
    <x:col min="3" max="3" width="30" hidden="0" customWidth="1"/>
    <x:col min="4" max="4" width="68" hidden="0" customWidth="1"/>
    <x:col min="5" max="5" width="16" hidden="0" customWidth="1"/>
    <x:col min="6" max="6" width="18" hidden="0" customWidth="1"/>
  </x:cols>
  <x:sheetData>
    <x:row r="2">
      <x:c r="A2" s="56" t="str">
        <x:v>Twelve sequence-neutrality and escrow rules</x:v>
      </x:c>
      <x:c r="B2" s="57"/>
      <x:c r="C2" s="57"/>
      <x:c r="D2" s="57"/>
      <x:c r="E2" s="57"/>
      <x:c r="F2" s="57"/>
    </x:row>
    <x:row r="3">
      <x:c r="A3" s="58"/>
      <x:c r="B3" s="58"/>
      <x:c r="C3" s="58"/>
      <x:c r="D3" s="58"/>
      <x:c r="E3" s="58"/>
      <x:c r="F3" s="58"/>
    </x:row>
    <x:row r="4" ht="32" customHeight="1">
      <x:c r="A4" s="14" t="str">
        <x:v>Rule</x:v>
      </x:c>
      <x:c r="B4" s="15" t="str">
        <x:v>Requirement</x:v>
      </x:c>
      <x:c r="C4" s="15" t="str">
        <x:v>Custodian</x:v>
      </x:c>
      <x:c r="D4" s="15" t="str">
        <x:v>Failure response</x:v>
      </x:c>
      <x:c r="E4" s="15" t="str">
        <x:v>Complete</x:v>
      </x:c>
      <x:c r="F4" s="16" t="str">
        <x:v>Authority</x:v>
      </x:c>
    </x:row>
    <x:row r="5">
      <x:c r="A5" s="59" t="str">
        <x:v>E01</x:v>
      </x:c>
      <x:c r="B5" s="59" t="str">
        <x:v>All eighteen legal warrants issue at week 0</x:v>
      </x:c>
      <x:c r="C5" s="59" t="str">
        <x:v>issuance registry</x:v>
      </x:c>
      <x:c r="D5" s="59" t="str">
        <x:v>Any staged legal issue voids the sequence.</x:v>
      </x:c>
      <x:c r="E5" s="59" t="str">
        <x:f>IF(COUNTA(A5:D5)=4,"PASS","FAIL")</x:f>
        <x:v>PASS</x:v>
      </x:c>
      <x:c r="F5" s="59" t="str">
        <x:v>Pass 227</x:v>
      </x:c>
    </x:row>
    <x:row r="6">
      <x:c r="A6" s="62" t="str">
        <x:v>E02</x:v>
      </x:c>
      <x:c r="B6" s="62" t="str">
        <x:v>Primary form identity and event packet freeze at issue</x:v>
      </x:c>
      <x:c r="C6" s="62" t="str">
        <x:v>configuration registrar</x:v>
      </x:c>
      <x:c r="D6" s="62" t="str">
        <x:v>A performance-driven identity change creates a new branch.</x:v>
      </x:c>
      <x:c r="E6" s="62" t="str">
        <x:f>IF(COUNTA(A6:D6)=4,"PASS","FAIL")</x:f>
        <x:v>PASS</x:v>
      </x:c>
      <x:c r="F6" s="62" t="str">
        <x:v>Pass 227</x:v>
      </x:c>
    </x:row>
    <x:row r="7">
      <x:c r="A7" s="62" t="str">
        <x:v>E03</x:v>
      </x:c>
      <x:c r="B7" s="62" t="str">
        <x:v>Each root reserves all three sibling ceilings at issue</x:v>
      </x:c>
      <x:c r="C7" s="62" t="str">
        <x:v>finance court</x:v>
      </x:c>
      <x:c r="D7" s="62" t="str">
        <x:v>Unused early-cohort money cannot fund or defund a sibling.</x:v>
      </x:c>
      <x:c r="E7" s="62" t="str">
        <x:f>IF(COUNTA(A7:D7)=4,"PASS","FAIL")</x:f>
        <x:v>PASS</x:v>
      </x:c>
      <x:c r="F7" s="62" t="str">
        <x:v>Pass 227</x:v>
      </x:c>
    </x:row>
    <x:row r="8">
      <x:c r="A8" s="62" t="str">
        <x:v>E04</x:v>
      </x:c>
      <x:c r="B8" s="62" t="str">
        <x:v>One sibling per root may be active in a cohort</x:v>
      </x:c>
      <x:c r="C8" s="62" t="str">
        <x:v>campaign authority</x:v>
      </x:c>
      <x:c r="D8" s="62" t="str">
        <x:v>No root may use common staff or tools to overlap siblings.</x:v>
      </x:c>
      <x:c r="E8" s="62" t="str">
        <x:f>IF(COUNTA(A8:D8)=4,"PASS","FAIL")</x:f>
        <x:v>PASS</x:v>
      </x:c>
      <x:c r="F8" s="62" t="str">
        <x:v>Pass 227</x:v>
      </x:c>
    </x:row>
    <x:row r="9">
      <x:c r="A9" s="62" t="str">
        <x:v>E05</x:v>
      </x:c>
      <x:c r="B9" s="62" t="str">
        <x:v>Design and cost outputs remain sealed through cohort 3</x:v>
      </x:c>
      <x:c r="C9" s="62" t="str">
        <x:v>evidence court</x:v>
      </x:c>
      <x:c r="D9" s="62" t="str">
        <x:v>No comparative release may affect later activation.</x:v>
      </x:c>
      <x:c r="E9" s="62" t="str">
        <x:f>IF(COUNTA(A9:D9)=4,"PASS","FAIL")</x:f>
        <x:v>PASS</x:v>
      </x:c>
      <x:c r="F9" s="62" t="str">
        <x:v>Pass 227</x:v>
      </x:c>
    </x:row>
    <x:row r="10">
      <x:c r="A10" s="62" t="str">
        <x:v>E06</x:v>
      </x:c>
      <x:c r="B10" s="62" t="str">
        <x:v>Safety findings may cross cohorts only by symmetric order</x:v>
      </x:c>
      <x:c r="C10" s="62" t="str">
        <x:v>rights authority</x:v>
      </x:c>
      <x:c r="D10" s="62" t="str">
        <x:v>The same bounded change must reach all affected siblings.</x:v>
      </x:c>
      <x:c r="E10" s="62" t="str">
        <x:f>IF(COUNTA(A10:D10)=4,"PASS","FAIL")</x:f>
        <x:v>PASS</x:v>
      </x:c>
      <x:c r="F10" s="62" t="str">
        <x:v>Pass 227</x:v>
      </x:c>
    </x:row>
    <x:row r="11">
      <x:c r="A11" s="62" t="str">
        <x:v>E07</x:v>
      </x:c>
      <x:c r="B11" s="62" t="str">
        <x:v>Performance findings cannot change later scope or order</x:v>
      </x:c>
      <x:c r="C11" s="62" t="str">
        <x:v>evidence court</x:v>
      </x:c>
      <x:c r="D11" s="62" t="str">
        <x:v>Early promise or failure cannot accelerate, cancel or resize a sibling.</x:v>
      </x:c>
      <x:c r="E11" s="62" t="str">
        <x:f>IF(COUNTA(A11:D11)=4,"PASS","FAIL")</x:f>
        <x:v>PASS</x:v>
      </x:c>
      <x:c r="F11" s="62" t="str">
        <x:v>Pass 227</x:v>
      </x:c>
    </x:row>
    <x:row r="12">
      <x:c r="A12" s="62" t="str">
        <x:v>E08</x:v>
      </x:c>
      <x:c r="B12" s="62" t="str">
        <x:v>An invalid design package creates HOLD, not form failure</x:v>
      </x:c>
      <x:c r="C12" s="62" t="str">
        <x:v>validity authority</x:v>
      </x:c>
      <x:c r="D12" s="62" t="str">
        <x:v>Invalid work cannot withdraw a form or free its reserve.</x:v>
      </x:c>
      <x:c r="E12" s="62" t="str">
        <x:f>IF(COUNTA(A12:D12)=4,"PASS","FAIL")</x:f>
        <x:v>PASS</x:v>
      </x:c>
      <x:c r="F12" s="62" t="str">
        <x:v>Pass 227</x:v>
      </x:c>
    </x:row>
    <x:row r="13">
      <x:c r="A13" s="62" t="str">
        <x:v>E09</x:v>
      </x:c>
      <x:c r="B13" s="62" t="str">
        <x:v>FRAME produces no accepted operational observation</x:v>
      </x:c>
      <x:c r="C13" s="62" t="str">
        <x:v>evidence court</x:v>
      </x:c>
      <x:c r="D13" s="62" t="str">
        <x:v>Design artifacts cannot populate Pass 225 evidence domains.</x:v>
      </x:c>
      <x:c r="E13" s="62" t="str">
        <x:f>IF(COUNTA(A13:D13)=4,"PASS","FAIL")</x:f>
        <x:v>PASS</x:v>
      </x:c>
      <x:c r="F13" s="62" t="str">
        <x:v>Pass 227</x:v>
      </x:c>
    </x:row>
    <x:row r="14">
      <x:c r="A14" s="62" t="str">
        <x:v>E10</x:v>
      </x:c>
      <x:c r="B14" s="62" t="str">
        <x:v>Public comparison waits for root-sibling parity</x:v>
      </x:c>
      <x:c r="C14" s="62" t="str">
        <x:v>public ledger</x:v>
      </x:c>
      <x:c r="D14" s="62" t="str">
        <x:v>No root winner language appears before all three reach the same state.</x:v>
      </x:c>
      <x:c r="E14" s="62" t="str">
        <x:f>IF(COUNTA(A14:D14)=4,"PASS","FAIL")</x:f>
        <x:v>PASS</x:v>
      </x:c>
      <x:c r="F14" s="62" t="str">
        <x:v>Pass 227</x:v>
      </x:c>
    </x:row>
    <x:row r="15">
      <x:c r="A15" s="62" t="str">
        <x:v>E11</x:v>
      </x:c>
      <x:c r="B15" s="62" t="str">
        <x:v>Escrow access is logged and role-separated</x:v>
      </x:c>
      <x:c r="C15" s="62" t="str">
        <x:v>custody authority</x:v>
      </x:c>
      <x:c r="D15" s="62" t="str">
        <x:v>Builder, sponsor and evaluator cannot share premature results.</x:v>
      </x:c>
      <x:c r="E15" s="62" t="str">
        <x:f>IF(COUNTA(A15:D15)=4,"PASS","FAIL")</x:f>
        <x:v>PASS</x:v>
      </x:c>
      <x:c r="F15" s="62" t="str">
        <x:v>Pass 227</x:v>
      </x:c>
    </x:row>
    <x:row r="16">
      <x:c r="A16" s="66" t="str">
        <x:v>E12</x:v>
      </x:c>
      <x:c r="B16" s="66" t="str">
        <x:v>Cohort order was frozen before any issue</x:v>
      </x:c>
      <x:c r="C16" s="66" t="str">
        <x:v>configuration registrar</x:v>
      </x:c>
      <x:c r="D16" s="66" t="str">
        <x:v>Calendar changes require an exogenous validity reason and public record.</x:v>
      </x:c>
      <x:c r="E16" s="66" t="str">
        <x:f>IF(COUNTA(A16:D16)=4,"PASS","FAIL")</x:f>
        <x:v>PASS</x:v>
      </x:c>
      <x:c r="F16" s="66" t="str">
        <x:v>Pass 227</x:v>
      </x:c>
    </x:row>
  </x:sheetData>
  <x:mergeCells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18" hidden="0" customWidth="1"/>
    <x:col min="5" max="5" width="23" hidden="0" customWidth="1"/>
    <x:col min="6" max="6" width="20" hidden="0" customWidth="1"/>
    <x:col min="7" max="7" width="23" hidden="0" customWidth="1"/>
    <x:col min="8" max="8" width="20" hidden="0" customWidth="1"/>
    <x:col min="9" max="9" width="30" hidden="0" customWidth="1"/>
  </x:cols>
  <x:sheetData>
    <x:row r="2">
      <x:c r="A2" s="56" t="str">
        <x:v>Declared capacity and calendar alternatives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 ht="32" customHeight="1">
      <x:c r="A4" s="14" t="str">
        <x:v>Case</x:v>
      </x:c>
      <x:c r="B4" s="15" t="str">
        <x:v>Available root lanes</x:v>
      </x:c>
      <x:c r="C4" s="15" t="str">
        <x:v>Forms per active wave</x:v>
      </x:c>
      <x:c r="D4" s="15" t="str">
        <x:v>Required waves</x:v>
      </x:c>
      <x:c r="E4" s="15" t="str">
        <x:v>Form duration weeks</x:v>
      </x:c>
      <x:c r="F4" s="15" t="str">
        <x:v>Wall clock weeks</x:v>
      </x:c>
      <x:c r="G4" s="15" t="str">
        <x:v>All roots every wave</x:v>
      </x:c>
      <x:c r="H4" s="15" t="str">
        <x:v>Selection-neutral</x:v>
      </x:c>
      <x:c r="I4" s="16" t="str">
        <x:v>Use</x:v>
      </x:c>
    </x:row>
    <x:row r="5">
      <x:c r="A5" s="59" t="str">
        <x:v>C1</x:v>
      </x:c>
      <x:c r="B5" s="60" t="n">
        <x:v>3</x:v>
      </x:c>
      <x:c r="C5" s="60" t="n">
        <x:v>3</x:v>
      </x:c>
      <x:c r="D5" s="60" t="n">
        <x:f>ROUNDUP(18/C5,0)</x:f>
        <x:v>6</x:v>
      </x:c>
      <x:c r="E5" s="60" t="n">
        <x:v>24</x:v>
      </x:c>
      <x:c r="F5" s="60" t="n">
        <x:f>D5*E5</x:f>
        <x:v>144</x:v>
      </x:c>
      <x:c r="G5" s="60" t="n">
        <x:v>0</x:v>
      </x:c>
      <x:c r="H5" s="60" t="n">
        <x:v>0</x:v>
      </x:c>
      <x:c r="I5" s="59" t="str">
        <x:v>capacity shortfall</x:v>
      </x:c>
    </x:row>
    <x:row r="6">
      <x:c r="A6" s="62" t="str">
        <x:v>C2</x:v>
      </x:c>
      <x:c r="B6" s="63" t="n">
        <x:v>4</x:v>
      </x:c>
      <x:c r="C6" s="63" t="n">
        <x:v>4</x:v>
      </x:c>
      <x:c r="D6" s="63" t="n">
        <x:f>ROUNDUP(18/C6,0)</x:f>
        <x:v>5</x:v>
      </x:c>
      <x:c r="E6" s="63" t="n">
        <x:v>24</x:v>
      </x:c>
      <x:c r="F6" s="63" t="n">
        <x:f>D6*E6</x:f>
        <x:v>120</x:v>
      </x:c>
      <x:c r="G6" s="63" t="n">
        <x:v>0</x:v>
      </x:c>
      <x:c r="H6" s="63" t="n">
        <x:v>0</x:v>
      </x:c>
      <x:c r="I6" s="62" t="str">
        <x:v>capacity shortfall</x:v>
      </x:c>
    </x:row>
    <x:row r="7">
      <x:c r="A7" s="62" t="str">
        <x:v>C3</x:v>
      </x:c>
      <x:c r="B7" s="63" t="n">
        <x:v>5</x:v>
      </x:c>
      <x:c r="C7" s="63" t="n">
        <x:v>5</x:v>
      </x:c>
      <x:c r="D7" s="63" t="n">
        <x:f>ROUNDUP(18/C7,0)</x:f>
        <x:v>4</x:v>
      </x:c>
      <x:c r="E7" s="63" t="n">
        <x:v>24</x:v>
      </x:c>
      <x:c r="F7" s="63" t="n">
        <x:f>D7*E7</x:f>
        <x:v>96</x:v>
      </x:c>
      <x:c r="G7" s="63" t="n">
        <x:v>0</x:v>
      </x:c>
      <x:c r="H7" s="63" t="n">
        <x:v>0</x:v>
      </x:c>
      <x:c r="I7" s="62" t="str">
        <x:v>capacity shortfall</x:v>
      </x:c>
    </x:row>
    <x:row r="8">
      <x:c r="A8" s="62" t="str">
        <x:v>C4</x:v>
      </x:c>
      <x:c r="B8" s="63" t="n">
        <x:v>6</x:v>
      </x:c>
      <x:c r="C8" s="63" t="n">
        <x:v>6</x:v>
      </x:c>
      <x:c r="D8" s="63" t="n">
        <x:f>ROUNDUP(18/C8,0)</x:f>
        <x:v>3</x:v>
      </x:c>
      <x:c r="E8" s="63" t="n">
        <x:v>24</x:v>
      </x:c>
      <x:c r="F8" s="63" t="n">
        <x:f>D8*E8</x:f>
        <x:v>72</x:v>
      </x:c>
      <x:c r="G8" s="63" t="n">
        <x:v>1</x:v>
      </x:c>
      <x:c r="H8" s="63" t="n">
        <x:v>1</x:v>
      </x:c>
      <x:c r="I8" s="62" t="str">
        <x:v>selected basis</x:v>
      </x:c>
    </x:row>
    <x:row r="9">
      <x:c r="A9" s="62" t="str">
        <x:v>C5</x:v>
      </x:c>
      <x:c r="B9" s="63" t="n">
        <x:v>6</x:v>
      </x:c>
      <x:c r="C9" s="63" t="n">
        <x:v>6</x:v>
      </x:c>
      <x:c r="D9" s="63" t="n">
        <x:f>ROUNDUP(18/C9,0)</x:f>
        <x:v>3</x:v>
      </x:c>
      <x:c r="E9" s="63" t="n">
        <x:v>32</x:v>
      </x:c>
      <x:c r="F9" s="63" t="n">
        <x:f>D9*E9</x:f>
        <x:v>96</x:v>
      </x:c>
      <x:c r="G9" s="63" t="n">
        <x:v>1</x:v>
      </x:c>
      <x:c r="H9" s="63" t="n">
        <x:v>1</x:v>
      </x:c>
      <x:c r="I9" s="62" t="str">
        <x:v>duration sensitivity</x:v>
      </x:c>
    </x:row>
    <x:row r="10">
      <x:c r="A10" s="66" t="str">
        <x:v>C6</x:v>
      </x:c>
      <x:c r="B10" s="64" t="n">
        <x:v>18</x:v>
      </x:c>
      <x:c r="C10" s="64" t="n">
        <x:v>18</x:v>
      </x:c>
      <x:c r="D10" s="64" t="n">
        <x:f>ROUNDUP(18/C10,0)</x:f>
        <x:v>1</x:v>
      </x:c>
      <x:c r="E10" s="64" t="n">
        <x:v>24</x:v>
      </x:c>
      <x:c r="F10" s="64" t="n">
        <x:f>D10*E10</x:f>
        <x:v>24</x:v>
      </x:c>
      <x:c r="G10" s="64" t="n">
        <x:v>0</x:v>
      </x:c>
      <x:c r="H10" s="64" t="n">
        <x:v>0</x:v>
      </x:c>
      <x:c r="I10" s="66" t="str">
        <x:v>simultaneity control</x:v>
      </x:c>
    </x:row>
  </x:sheetData>
  <x:mergeCells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0" hidden="0" customWidth="1"/>
    <x:col min="3" max="3" width="54" hidden="0" customWidth="1"/>
    <x:col min="4" max="4" width="14" hidden="0" customWidth="1"/>
    <x:col min="5" max="5" width="14" hidden="0" customWidth="1"/>
  </x:cols>
  <x:sheetData>
    <x:row r="2">
      <x:c r="A2" s="56" t="str">
        <x:v>Mutation-test register</x:v>
      </x:c>
      <x:c r="B2" s="57"/>
      <x:c r="C2" s="57"/>
      <x:c r="D2" s="57"/>
      <x:c r="E2" s="57"/>
    </x:row>
    <x:row r="3">
      <x:c r="A3" s="58"/>
      <x:c r="B3" s="58"/>
      <x:c r="C3" s="58"/>
      <x:c r="D3" s="58"/>
      <x:c r="E3" s="58"/>
    </x:row>
    <x:row r="4" ht="32" customHeight="1">
      <x:c r="A4" s="14" t="str">
        <x:v>Mutation</x:v>
      </x:c>
      <x:c r="B4" s="15" t="str">
        <x:v>Controlled change</x:v>
      </x:c>
      <x:c r="C4" s="15" t="str">
        <x:v>Expected detection</x:v>
      </x:c>
      <x:c r="D4" s="15" t="str">
        <x:v>Detected</x:v>
      </x:c>
      <x:c r="E4" s="16" t="str">
        <x:v>Restored</x:v>
      </x:c>
    </x:row>
    <x:row r="5">
      <x:c r="A5" s="59" t="str">
        <x:v>M01</x:v>
      </x:c>
      <x:c r="B5" s="59" t="str">
        <x:v>duplicate a form ID</x:v>
      </x:c>
      <x:c r="C5" s="59" t="str">
        <x:v>form uniqueness fails</x:v>
      </x:c>
      <x:c r="D5" s="60" t="n">
        <x:v>1</x:v>
      </x:c>
      <x:c r="E5" s="60" t="n">
        <x:v>1</x:v>
      </x:c>
    </x:row>
    <x:row r="6">
      <x:c r="A6" s="62" t="str">
        <x:v>M02</x:v>
      </x:c>
      <x:c r="B6" s="62" t="str">
        <x:v>move a form into the wrong cohort</x:v>
      </x:c>
      <x:c r="C6" s="62" t="str">
        <x:v>root-cohort and cohort counts fail</x:v>
      </x:c>
      <x:c r="D6" s="63" t="n">
        <x:v>1</x:v>
      </x:c>
      <x:c r="E6" s="63" t="n">
        <x:v>1</x:v>
      </x:c>
    </x:row>
    <x:row r="7">
      <x:c r="A7" s="62" t="str">
        <x:v>M03</x:v>
      </x:c>
      <x:c r="B7" s="62" t="str">
        <x:v>unissue one legal warrant</x:v>
      </x:c>
      <x:c r="C7" s="62" t="str">
        <x:v>all-issued control fails</x:v>
      </x:c>
      <x:c r="D7" s="63" t="n">
        <x:v>1</x:v>
      </x:c>
      <x:c r="E7" s="63" t="n">
        <x:v>1</x:v>
      </x:c>
    </x:row>
    <x:row r="8">
      <x:c r="A8" s="62" t="str">
        <x:v>M04</x:v>
      </x:c>
      <x:c r="B8" s="62" t="str">
        <x:v>unfreeze one configuration</x:v>
      </x:c>
      <x:c r="C8" s="62" t="str">
        <x:v>warrant state fails</x:v>
      </x:c>
      <x:c r="D8" s="63" t="n">
        <x:v>1</x:v>
      </x:c>
      <x:c r="E8" s="63" t="n">
        <x:v>1</x:v>
      </x:c>
    </x:row>
    <x:row r="9">
      <x:c r="A9" s="62" t="str">
        <x:v>M05</x:v>
      </x:c>
      <x:c r="B9" s="62" t="str">
        <x:v>reduce one sibling reservation</x:v>
      </x:c>
      <x:c r="C9" s="62" t="str">
        <x:v>root reserve fails</x:v>
      </x:c>
      <x:c r="D9" s="63" t="n">
        <x:v>1</x:v>
      </x:c>
      <x:c r="E9" s="63" t="n">
        <x:v>1</x:v>
      </x:c>
    </x:row>
    <x:row r="10">
      <x:c r="A10" s="62" t="str">
        <x:v>M06</x:v>
      </x:c>
      <x:c r="B10" s="62" t="str">
        <x:v>enter an obligation</x:v>
      </x:c>
      <x:c r="C10" s="62" t="str">
        <x:v>zero-obligation control fails</x:v>
      </x:c>
      <x:c r="D10" s="63" t="n">
        <x:v>1</x:v>
      </x:c>
      <x:c r="E10" s="63" t="n">
        <x:v>1</x:v>
      </x:c>
    </x:row>
    <x:row r="11">
      <x:c r="A11" s="62" t="str">
        <x:v>M07</x:v>
      </x:c>
      <x:c r="B11" s="62" t="str">
        <x:v>enter a payment</x:v>
      </x:c>
      <x:c r="C11" s="62" t="str">
        <x:v>zero-payment control fails</x:v>
      </x:c>
      <x:c r="D11" s="63" t="n">
        <x:v>1</x:v>
      </x:c>
      <x:c r="E11" s="63" t="n">
        <x:v>1</x:v>
      </x:c>
    </x:row>
    <x:row r="12">
      <x:c r="A12" s="62" t="str">
        <x:v>M08</x:v>
      </x:c>
      <x:c r="B12" s="62" t="str">
        <x:v>enter an accepted observation</x:v>
      </x:c>
      <x:c r="C12" s="62" t="str">
        <x:v>escrow and evidence controls fail</x:v>
      </x:c>
      <x:c r="D12" s="63" t="n">
        <x:v>1</x:v>
      </x:c>
      <x:c r="E12" s="63" t="n">
        <x:v>1</x:v>
      </x:c>
    </x:row>
    <x:row r="13">
      <x:c r="A13" s="62" t="str">
        <x:v>M09</x:v>
      </x:c>
      <x:c r="B13" s="62" t="str">
        <x:v>select one form</x:v>
      </x:c>
      <x:c r="C13" s="62" t="str">
        <x:v>zero-selection control fails</x:v>
      </x:c>
      <x:c r="D13" s="63" t="n">
        <x:v>1</x:v>
      </x:c>
      <x:c r="E13" s="63" t="n">
        <x:v>1</x:v>
      </x:c>
    </x:row>
    <x:row r="14">
      <x:c r="A14" s="62" t="str">
        <x:v>M10</x:v>
      </x:c>
      <x:c r="B14" s="62" t="str">
        <x:v>overlap root siblings</x:v>
      </x:c>
      <x:c r="C14" s="62" t="str">
        <x:v>nonoverlap control fails</x:v>
      </x:c>
      <x:c r="D14" s="63" t="n">
        <x:v>1</x:v>
      </x:c>
      <x:c r="E14" s="63" t="n">
        <x:v>1</x:v>
      </x:c>
    </x:row>
    <x:row r="15">
      <x:c r="A15" s="62" t="str">
        <x:v>M11</x:v>
      </x:c>
      <x:c r="B15" s="62" t="str">
        <x:v>release one cohort result</x:v>
      </x:c>
      <x:c r="C15" s="62" t="str">
        <x:v>sealed-cohort control fails</x:v>
      </x:c>
      <x:c r="D15" s="63" t="n">
        <x:v>1</x:v>
      </x:c>
      <x:c r="E15" s="63" t="n">
        <x:v>1</x:v>
      </x:c>
    </x:row>
    <x:row r="16">
      <x:c r="A16" s="62" t="str">
        <x:v>M12</x:v>
      </x:c>
      <x:c r="B16" s="62" t="str">
        <x:v>change a package share</x:v>
      </x:c>
      <x:c r="C16" s="62" t="str">
        <x:v>package budget conservation fails</x:v>
      </x:c>
      <x:c r="D16" s="63" t="n">
        <x:v>1</x:v>
      </x:c>
      <x:c r="E16" s="63" t="n">
        <x:v>1</x:v>
      </x:c>
    </x:row>
    <x:row r="17">
      <x:c r="A17" s="62" t="str">
        <x:v>M13</x:v>
      </x:c>
      <x:c r="B17" s="62" t="str">
        <x:v>remove one work package</x:v>
      </x:c>
      <x:c r="C17" s="62" t="str">
        <x:v>package-count control fails</x:v>
      </x:c>
      <x:c r="D17" s="63" t="n">
        <x:v>1</x:v>
      </x:c>
      <x:c r="E17" s="63" t="n">
        <x:v>1</x:v>
      </x:c>
    </x:row>
    <x:row r="18">
      <x:c r="A18" s="62" t="str">
        <x:v>M14</x:v>
      </x:c>
      <x:c r="B18" s="62" t="str">
        <x:v>select a failing sequence</x:v>
      </x:c>
      <x:c r="C18" s="62" t="str">
        <x:v>sequence selection fails</x:v>
      </x:c>
      <x:c r="D18" s="63" t="n">
        <x:v>1</x:v>
      </x:c>
      <x:c r="E18" s="63" t="n">
        <x:v>1</x:v>
      </x:c>
    </x:row>
    <x:row r="19">
      <x:c r="A19" s="62" t="str">
        <x:v>M15</x:v>
      </x:c>
      <x:c r="B19" s="62" t="str">
        <x:v>blank an escrow response</x:v>
      </x:c>
      <x:c r="C19" s="62" t="str">
        <x:v>escrow completeness fails</x:v>
      </x:c>
      <x:c r="D19" s="63" t="n">
        <x:v>1</x:v>
      </x:c>
      <x:c r="E19" s="63" t="n">
        <x:v>1</x:v>
      </x:c>
    </x:row>
    <x:row r="20">
      <x:c r="A20" s="66" t="str">
        <x:v>M16</x:v>
      </x:c>
      <x:c r="B20" s="66" t="str">
        <x:v>enter a branch kill</x:v>
      </x:c>
      <x:c r="C20" s="66" t="str">
        <x:v>branch-kill control fails</x:v>
      </x:c>
      <x:c r="D20" s="64" t="n">
        <x:v>1</x:v>
      </x:c>
      <x:c r="E20" s="64" t="n">
        <x:v>1</x:v>
      </x:c>
    </x:row>
  </x:sheetData>
  <x:mergeCells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50" hidden="0" customWidth="1"/>
    <x:col min="3" max="3" width="18" hidden="0" customWidth="1"/>
    <x:col min="4" max="4" width="18" hidden="0" customWidth="1"/>
    <x:col min="5" max="5" width="14" hidden="0" customWidth="1"/>
  </x:cols>
  <x:sheetData>
    <x:row r="2">
      <x:c r="A2" s="56" t="str">
        <x:v>Independent workbook checks</x:v>
      </x:c>
      <x:c r="B2" s="57"/>
      <x:c r="C2" s="57"/>
      <x:c r="D2" s="57"/>
      <x:c r="E2" s="57"/>
    </x:row>
    <x:row r="3">
      <x:c r="A3" s="58"/>
      <x:c r="B3" s="58"/>
      <x:c r="C3" s="58"/>
      <x:c r="D3" s="58"/>
      <x:c r="E3" s="58"/>
    </x:row>
    <x:row r="4" ht="32" customHeight="1">
      <x:c r="A4" s="14" t="str">
        <x:v>Audit</x:v>
      </x:c>
      <x:c r="B4" s="15" t="str">
        <x:v>Check</x:v>
      </x:c>
      <x:c r="C4" s="15" t="str">
        <x:v>Actual</x:v>
      </x:c>
      <x:c r="D4" s="15" t="str">
        <x:v>Expected</x:v>
      </x:c>
      <x:c r="E4" s="16" t="str">
        <x:v>Result</x:v>
      </x:c>
    </x:row>
    <x:row r="5">
      <x:c r="A5" s="59" t="str">
        <x:v>A01</x:v>
      </x:c>
      <x:c r="B5" s="59" t="str">
        <x:v>form count</x:v>
      </x:c>
      <x:c r="C5" s="80" t="n">
        <x:f>COUNTA('Warrant Registry'!A5:A22)</x:f>
        <x:v>18</x:v>
      </x:c>
      <x:c r="D5" s="80" t="n">
        <x:v>18</x:v>
      </x:c>
      <x:c r="E5" s="59" t="str">
        <x:f>IF(ABS(C5-D5)&lt;0.0000001,"PASS","FAIL")</x:f>
        <x:v>PASS</x:v>
      </x:c>
    </x:row>
    <x:row r="6">
      <x:c r="A6" s="62" t="str">
        <x:v>A02</x:v>
      </x:c>
      <x:c r="B6" s="62" t="str">
        <x:v>unique form IDs</x:v>
      </x:c>
      <x:c r="C6" s="81" t="n">
        <x:f>COUNTIFS('Warrant Registry'!T5:T22,1)</x:f>
        <x:v>18</x:v>
      </x:c>
      <x:c r="D6" s="81" t="n">
        <x:v>18</x:v>
      </x:c>
      <x:c r="E6" s="62" t="str">
        <x:f>IF(ABS(C6-D6)&lt;0.0000001,"PASS","FAIL")</x:f>
        <x:v>PASS</x:v>
      </x:c>
    </x:row>
    <x:row r="7">
      <x:c r="A7" s="62" t="str">
        <x:v>A03</x:v>
      </x:c>
      <x:c r="B7" s="62" t="str">
        <x:v>legal warrants issued</x:v>
      </x:c>
      <x:c r="C7" s="81" t="n">
        <x:f>SUM('Warrant Registry'!H5:H22)</x:f>
        <x:v>18</x:v>
      </x:c>
      <x:c r="D7" s="81" t="n">
        <x:v>18</x:v>
      </x:c>
      <x:c r="E7" s="62" t="str">
        <x:f>IF(ABS(C7-D7)&lt;0.0000001,"PASS","FAIL")</x:f>
        <x:v>PASS</x:v>
      </x:c>
    </x:row>
    <x:row r="8">
      <x:c r="A8" s="62" t="str">
        <x:v>A04</x:v>
      </x:c>
      <x:c r="B8" s="62" t="str">
        <x:v>configurations frozen</x:v>
      </x:c>
      <x:c r="C8" s="81" t="n">
        <x:f>SUM('Warrant Registry'!I5:I22)</x:f>
        <x:v>18</x:v>
      </x:c>
      <x:c r="D8" s="81" t="n">
        <x:v>18</x:v>
      </x:c>
      <x:c r="E8" s="62" t="str">
        <x:f>IF(ABS(C8-D8)&lt;0.0000001,"PASS","FAIL")</x:f>
        <x:v>PASS</x:v>
      </x:c>
    </x:row>
    <x:row r="9">
      <x:c r="A9" s="62" t="str">
        <x:v>A05</x:v>
      </x:c>
      <x:c r="B9" s="62" t="str">
        <x:v>valid warrant states</x:v>
      </x:c>
      <x:c r="C9" s="81" t="n">
        <x:f>COUNTIFS('Warrant Registry'!S5:S22,"ISSUED / SCHEDULED")</x:f>
        <x:v>18</x:v>
      </x:c>
      <x:c r="D9" s="81" t="n">
        <x:v>18</x:v>
      </x:c>
      <x:c r="E9" s="62" t="str">
        <x:f>IF(ABS(C9-D9)&lt;0.0000001,"PASS","FAIL")</x:f>
        <x:v>PASS</x:v>
      </x:c>
    </x:row>
    <x:row r="10">
      <x:c r="A10" s="62" t="str">
        <x:v>A06</x:v>
      </x:c>
      <x:c r="B10" s="62" t="str">
        <x:v>one form per root-cohort</x:v>
      </x:c>
      <x:c r="C10" s="81" t="n">
        <x:f>COUNTIFS('Warrant Registry'!U5:U22,1)</x:f>
        <x:v>18</x:v>
      </x:c>
      <x:c r="D10" s="81" t="n">
        <x:v>18</x:v>
      </x:c>
      <x:c r="E10" s="62" t="str">
        <x:f>IF(ABS(C10-D10)&lt;0.0000001,"PASS","FAIL")</x:f>
        <x:v>PASS</x:v>
      </x:c>
    </x:row>
    <x:row r="11">
      <x:c r="A11" s="62" t="str">
        <x:v>A07</x:v>
      </x:c>
      <x:c r="B11" s="62" t="str">
        <x:v>nonoverlapping root sequence</x:v>
      </x:c>
      <x:c r="C11" s="81" t="n">
        <x:f>SUM('Warrant Registry'!M5:M22)</x:f>
        <x:v>18</x:v>
      </x:c>
      <x:c r="D11" s="81" t="n">
        <x:v>18</x:v>
      </x:c>
      <x:c r="E11" s="62" t="str">
        <x:f>IF(ABS(C11-D11)&lt;0.0000001,"PASS","FAIL")</x:f>
        <x:v>PASS</x:v>
      </x:c>
    </x:row>
    <x:row r="12">
      <x:c r="A12" s="62" t="str">
        <x:v>A08</x:v>
      </x:c>
      <x:c r="B12" s="62" t="str">
        <x:v>cohort count</x:v>
      </x:c>
      <x:c r="C12" s="81" t="n">
        <x:f>COUNTA('Cohort Schedule'!A5:A7)</x:f>
        <x:v>3</x:v>
      </x:c>
      <x:c r="D12" s="81" t="n">
        <x:v>3</x:v>
      </x:c>
      <x:c r="E12" s="62" t="str">
        <x:f>IF(ABS(C12-D12)&lt;0.0000001,"PASS","FAIL")</x:f>
        <x:v>PASS</x:v>
      </x:c>
    </x:row>
    <x:row r="13">
      <x:c r="A13" s="62" t="str">
        <x:v>A09</x:v>
      </x:c>
      <x:c r="B13" s="62" t="str">
        <x:v>six forms per cohort</x:v>
      </x:c>
      <x:c r="C13" s="81" t="n">
        <x:f>COUNTIFS('Cohort Schedule'!M5:M7,"PASS")</x:f>
        <x:v>3</x:v>
      </x:c>
      <x:c r="D13" s="81" t="n">
        <x:v>3</x:v>
      </x:c>
      <x:c r="E13" s="62" t="str">
        <x:f>IF(ABS(C13-D13)&lt;0.0000001,"PASS","FAIL")</x:f>
        <x:v>PASS</x:v>
      </x:c>
    </x:row>
    <x:row r="14">
      <x:c r="A14" s="62" t="str">
        <x:v>A10</x:v>
      </x:c>
      <x:c r="B14" s="62" t="str">
        <x:v>variant-balanced cohorts</x:v>
      </x:c>
      <x:c r="C14" s="81" t="n">
        <x:f>COUNTIFS('Cohort Schedule'!N5:N7,"PASS")</x:f>
        <x:v>3</x:v>
      </x:c>
      <x:c r="D14" s="81" t="n">
        <x:v>3</x:v>
      </x:c>
      <x:c r="E14" s="62" t="str">
        <x:f>IF(ABS(C14-D14)&lt;0.0000001,"PASS","FAIL")</x:f>
        <x:v>PASS</x:v>
      </x:c>
    </x:row>
    <x:row r="15">
      <x:c r="A15" s="62" t="str">
        <x:v>A11</x:v>
      </x:c>
      <x:c r="B15" s="62" t="str">
        <x:v>equal-ceiling cohorts</x:v>
      </x:c>
      <x:c r="C15" s="81" t="n">
        <x:f>COUNTIFS('Cohort Schedule'!O5:O7,"PASS")</x:f>
        <x:v>3</x:v>
      </x:c>
      <x:c r="D15" s="81" t="n">
        <x:v>3</x:v>
      </x:c>
      <x:c r="E15" s="62" t="str">
        <x:f>IF(ABS(C15-D15)&lt;0.0000001,"PASS","FAIL")</x:f>
        <x:v>PASS</x:v>
      </x:c>
    </x:row>
    <x:row r="16">
      <x:c r="A16" s="62" t="str">
        <x:v>A12</x:v>
      </x:c>
      <x:c r="B16" s="62" t="str">
        <x:v>sealed cohorts</x:v>
      </x:c>
      <x:c r="C16" s="81" t="n">
        <x:f>COUNTIFS('Cohort Schedule'!P5:P7,"SCHEDULED / SEALED")</x:f>
        <x:v>3</x:v>
      </x:c>
      <x:c r="D16" s="81" t="n">
        <x:v>3</x:v>
      </x:c>
      <x:c r="E16" s="62" t="str">
        <x:f>IF(ABS(C16-D16)&lt;0.0000001,"PASS","FAIL")</x:f>
        <x:v>PASS</x:v>
      </x:c>
    </x:row>
    <x:row r="17">
      <x:c r="A17" s="62" t="str">
        <x:v>A13</x:v>
      </x:c>
      <x:c r="B17" s="62" t="str">
        <x:v>peak active forms</x:v>
      </x:c>
      <x:c r="C17" s="81" t="n">
        <x:f>MAX('Cohort Schedule'!D5:D7)</x:f>
        <x:v>6</x:v>
      </x:c>
      <x:c r="D17" s="81" t="n">
        <x:v>6</x:v>
      </x:c>
      <x:c r="E17" s="62" t="str">
        <x:f>IF(ABS(C17-D17)&lt;0.0000001,"PASS","FAIL")</x:f>
        <x:v>PASS</x:v>
      </x:c>
    </x:row>
    <x:row r="18">
      <x:c r="A18" s="62" t="str">
        <x:v>A14</x:v>
      </x:c>
      <x:c r="B18" s="62" t="str">
        <x:v>planning wall clock</x:v>
      </x:c>
      <x:c r="C18" s="81" t="n">
        <x:f>MAX('Cohort Schedule'!C5:C7)</x:f>
        <x:v>72</x:v>
      </x:c>
      <x:c r="D18" s="81" t="n">
        <x:v>72</x:v>
      </x:c>
      <x:c r="E18" s="62" t="str">
        <x:f>IF(ABS(C18-D18)&lt;0.0000001,"PASS","FAIL")</x:f>
        <x:v>PASS</x:v>
      </x:c>
    </x:row>
    <x:row r="19">
      <x:c r="A19" s="62" t="str">
        <x:v>A15</x:v>
      </x:c>
      <x:c r="B19" s="62" t="str">
        <x:v>package count</x:v>
      </x:c>
      <x:c r="C19" s="81" t="n">
        <x:f>COUNTA('Package Schedule'!A5:A94)</x:f>
        <x:v>90</x:v>
      </x:c>
      <x:c r="D19" s="81" t="n">
        <x:v>90</x:v>
      </x:c>
      <x:c r="E19" s="62" t="str">
        <x:f>IF(ABS(C19-D19)&lt;0.0000001,"PASS","FAIL")</x:f>
        <x:v>PASS</x:v>
      </x:c>
    </x:row>
    <x:row r="20">
      <x:c r="A20" s="62" t="str">
        <x:v>A16</x:v>
      </x:c>
      <x:c r="B20" s="62" t="str">
        <x:v>five packages per form</x:v>
      </x:c>
      <x:c r="C20" s="81" t="n">
        <x:f>COUNTIFS('Package Schedule'!R5:R94,5)/5</x:f>
        <x:v>18</x:v>
      </x:c>
      <x:c r="D20" s="81" t="n">
        <x:v>18</x:v>
      </x:c>
      <x:c r="E20" s="62" t="str">
        <x:f>IF(ABS(C20-D20)&lt;0.0000001,"PASS","FAIL")</x:f>
        <x:v>PASS</x:v>
      </x:c>
    </x:row>
    <x:row r="21">
      <x:c r="A21" s="62" t="str">
        <x:v>A17</x:v>
      </x:c>
      <x:c r="B21" s="62" t="str">
        <x:v>valid package states</x:v>
      </x:c>
      <x:c r="C21" s="81" t="n">
        <x:f>COUNTIFS('Package Schedule'!Q5:Q94,"AUTHORIZED / SCHEDULED")</x:f>
        <x:v>90</x:v>
      </x:c>
      <x:c r="D21" s="81" t="n">
        <x:v>90</x:v>
      </x:c>
      <x:c r="E21" s="62" t="str">
        <x:f>IF(ABS(C21-D21)&lt;0.0000001,"PASS","FAIL")</x:f>
        <x:v>PASS</x:v>
      </x:c>
    </x:row>
    <x:row r="22">
      <x:c r="A22" s="62" t="str">
        <x:v>A18</x:v>
      </x:c>
      <x:c r="B22" s="62" t="str">
        <x:v>package budget conservation</x:v>
      </x:c>
      <x:c r="C22" s="81" t="n">
        <x:f>SUM('Package Schedule'!M5:M94)</x:f>
        <x:v>0.5380369228980847</x:v>
      </x:c>
      <x:c r="D22" s="81" t="n">
        <x:v>0.5380369228980849</x:v>
      </x:c>
      <x:c r="E22" s="62" t="str">
        <x:f>IF(ABS(C22-D22)&lt;0.0000001,"PASS","FAIL")</x:f>
        <x:v>PASS</x:v>
      </x:c>
    </x:row>
    <x:row r="23">
      <x:c r="A23" s="62" t="str">
        <x:v>A19</x:v>
      </x:c>
      <x:c r="B23" s="62" t="str">
        <x:v>root count</x:v>
      </x:c>
      <x:c r="C23" s="81" t="n">
        <x:f>COUNTA('Root Reservations'!A5:A10)</x:f>
        <x:v>6</x:v>
      </x:c>
      <x:c r="D23" s="81" t="n">
        <x:v>6</x:v>
      </x:c>
      <x:c r="E23" s="62" t="str">
        <x:f>IF(ABS(C23-D23)&lt;0.0000001,"PASS","FAIL")</x:f>
        <x:v>PASS</x:v>
      </x:c>
    </x:row>
    <x:row r="24">
      <x:c r="A24" s="62" t="str">
        <x:v>A20</x:v>
      </x:c>
      <x:c r="B24" s="62" t="str">
        <x:v>three warrants per root</x:v>
      </x:c>
      <x:c r="C24" s="81" t="n">
        <x:f>COUNTIFS('Root Reservations'!G5:G10,3)</x:f>
        <x:v>6</x:v>
      </x:c>
      <x:c r="D24" s="81" t="n">
        <x:v>6</x:v>
      </x:c>
      <x:c r="E24" s="62" t="str">
        <x:f>IF(ABS(C24-D24)&lt;0.0000001,"PASS","FAIL")</x:f>
        <x:v>PASS</x:v>
      </x:c>
    </x:row>
    <x:row r="25">
      <x:c r="A25" s="62" t="str">
        <x:v>A21</x:v>
      </x:c>
      <x:c r="B25" s="62" t="str">
        <x:v>three issued per root</x:v>
      </x:c>
      <x:c r="C25" s="81" t="n">
        <x:f>COUNTIFS('Root Reservations'!H5:H10,3)</x:f>
        <x:v>6</x:v>
      </x:c>
      <x:c r="D25" s="81" t="n">
        <x:v>6</x:v>
      </x:c>
      <x:c r="E25" s="62" t="str">
        <x:f>IF(ABS(C25-D25)&lt;0.0000001,"PASS","FAIL")</x:f>
        <x:v>PASS</x:v>
      </x:c>
    </x:row>
    <x:row r="26">
      <x:c r="A26" s="62" t="str">
        <x:v>A22</x:v>
      </x:c>
      <x:c r="B26" s="62" t="str">
        <x:v>option ceiling conservation</x:v>
      </x:c>
      <x:c r="C26" s="81" t="n">
        <x:f>'Root Reservations'!D11</x:f>
        <x:v>3.586912819320566</x:v>
      </x:c>
      <x:c r="D26" s="81" t="n">
        <x:v>3.586912819320566</x:v>
      </x:c>
      <x:c r="E26" s="62" t="str">
        <x:f>IF(ABS(C26-D26)&lt;0.0000001,"PASS","FAIL")</x:f>
        <x:v>PASS</x:v>
      </x:c>
    </x:row>
    <x:row r="27">
      <x:c r="A27" s="62" t="str">
        <x:v>A23</x:v>
      </x:c>
      <x:c r="B27" s="62" t="str">
        <x:v>FRAME ceiling conservation</x:v>
      </x:c>
      <x:c r="C27" s="81" t="n">
        <x:f>'Root Reservations'!F11</x:f>
        <x:v>0.5380369228980849</x:v>
      </x:c>
      <x:c r="D27" s="81" t="n">
        <x:v>0.5380369228980849</x:v>
      </x:c>
      <x:c r="E27" s="62" t="str">
        <x:f>IF(ABS(C27-D27)&lt;0.0000001,"PASS","FAIL")</x:f>
        <x:v>PASS</x:v>
      </x:c>
    </x:row>
    <x:row r="28">
      <x:c r="A28" s="62" t="str">
        <x:v>A24</x:v>
      </x:c>
      <x:c r="B28" s="62" t="str">
        <x:v>reserved ceiling conservation</x:v>
      </x:c>
      <x:c r="C28" s="81" t="n">
        <x:f>'Root Reservations'!I11</x:f>
        <x:v>0.5380369228980849</x:v>
      </x:c>
      <x:c r="D28" s="81" t="n">
        <x:v>0.5380369228980849</x:v>
      </x:c>
      <x:c r="E28" s="62" t="str">
        <x:f>IF(ABS(C28-D28)&lt;0.0000001,"PASS","FAIL")</x:f>
        <x:v>PASS</x:v>
      </x:c>
    </x:row>
    <x:row r="29">
      <x:c r="A29" s="62" t="str">
        <x:v>A25</x:v>
      </x:c>
      <x:c r="B29" s="62" t="str">
        <x:v>unreserved ceiling</x:v>
      </x:c>
      <x:c r="C29" s="81" t="n">
        <x:f>'Root Reservations'!L11</x:f>
        <x:v>0</x:v>
      </x:c>
      <x:c r="D29" s="81" t="n">
        <x:v>0</x:v>
      </x:c>
      <x:c r="E29" s="62" t="str">
        <x:f>IF(ABS(C29-D29)&lt;0.0000001,"PASS","FAIL")</x:f>
        <x:v>PASS</x:v>
      </x:c>
    </x:row>
    <x:row r="30">
      <x:c r="A30" s="62" t="str">
        <x:v>A26</x:v>
      </x:c>
      <x:c r="B30" s="62" t="str">
        <x:v>obligated amount</x:v>
      </x:c>
      <x:c r="C30" s="81" t="n">
        <x:f>'Root Reservations'!J11</x:f>
        <x:v>0</x:v>
      </x:c>
      <x:c r="D30" s="81" t="n">
        <x:v>0</x:v>
      </x:c>
      <x:c r="E30" s="62" t="str">
        <x:f>IF(ABS(C30-D30)&lt;0.0000001,"PASS","FAIL")</x:f>
        <x:v>PASS</x:v>
      </x:c>
    </x:row>
    <x:row r="31">
      <x:c r="A31" s="62" t="str">
        <x:v>A27</x:v>
      </x:c>
      <x:c r="B31" s="62" t="str">
        <x:v>paid amount</x:v>
      </x:c>
      <x:c r="C31" s="81" t="n">
        <x:f>'Root Reservations'!K11</x:f>
        <x:v>0</x:v>
      </x:c>
      <x:c r="D31" s="81" t="n">
        <x:v>0</x:v>
      </x:c>
      <x:c r="E31" s="62" t="str">
        <x:f>IF(ABS(C31-D31)&lt;0.0000001,"PASS","FAIL")</x:f>
        <x:v>PASS</x:v>
      </x:c>
    </x:row>
    <x:row r="32">
      <x:c r="A32" s="62" t="str">
        <x:v>A28</x:v>
      </x:c>
      <x:c r="B32" s="62" t="str">
        <x:v>accepted observations</x:v>
      </x:c>
      <x:c r="C32" s="81" t="n">
        <x:f>SUM('Warrant Registry'!Q5:Q22)</x:f>
        <x:v>0</x:v>
      </x:c>
      <x:c r="D32" s="81" t="n">
        <x:v>0</x:v>
      </x:c>
      <x:c r="E32" s="62" t="str">
        <x:f>IF(ABS(C32-D32)&lt;0.0000001,"PASS","FAIL")</x:f>
        <x:v>PASS</x:v>
      </x:c>
    </x:row>
    <x:row r="33">
      <x:c r="A33" s="62" t="str">
        <x:v>A29</x:v>
      </x:c>
      <x:c r="B33" s="62" t="str">
        <x:v>selected forms</x:v>
      </x:c>
      <x:c r="C33" s="81" t="n">
        <x:f>SUM('Warrant Registry'!R5:R22)</x:f>
        <x:v>0</x:v>
      </x:c>
      <x:c r="D33" s="81" t="n">
        <x:v>0</x:v>
      </x:c>
      <x:c r="E33" s="62" t="str">
        <x:f>IF(ABS(C33-D33)&lt;0.0000001,"PASS","FAIL")</x:f>
        <x:v>PASS</x:v>
      </x:c>
    </x:row>
    <x:row r="34">
      <x:c r="A34" s="62" t="str">
        <x:v>A30</x:v>
      </x:c>
      <x:c r="B34" s="62" t="str">
        <x:v>selected sequence passes all gates</x:v>
      </x:c>
      <x:c r="C34" s="81" t="n">
        <x:f>SUMIFS('Sequence Candidates'!O5:O9,'Sequence Candidates'!P5:P9,1)</x:f>
        <x:v>10</x:v>
      </x:c>
      <x:c r="D34" s="81" t="n">
        <x:v>10</x:v>
      </x:c>
      <x:c r="E34" s="62" t="str">
        <x:f>IF(ABS(C34-D34)&lt;0.0000001,"PASS","FAIL")</x:f>
        <x:v>PASS</x:v>
      </x:c>
    </x:row>
    <x:row r="35">
      <x:c r="A35" s="62" t="str">
        <x:v>A31</x:v>
      </x:c>
      <x:c r="B35" s="62" t="str">
        <x:v>one selected sequence</x:v>
      </x:c>
      <x:c r="C35" s="81" t="n">
        <x:f>SUM('Sequence Candidates'!P5:P9)</x:f>
        <x:v>1</x:v>
      </x:c>
      <x:c r="D35" s="81" t="n">
        <x:v>1</x:v>
      </x:c>
      <x:c r="E35" s="62" t="str">
        <x:f>IF(ABS(C35-D35)&lt;0.0000001,"PASS","FAIL")</x:f>
        <x:v>PASS</x:v>
      </x:c>
    </x:row>
    <x:row r="36">
      <x:c r="A36" s="62" t="str">
        <x:v>A32</x:v>
      </x:c>
      <x:c r="B36" s="62" t="str">
        <x:v>escrow rules</x:v>
      </x:c>
      <x:c r="C36" s="81" t="n">
        <x:f>COUNTA('Escrow Rules'!A5:A16)</x:f>
        <x:v>12</x:v>
      </x:c>
      <x:c r="D36" s="81" t="n">
        <x:v>12</x:v>
      </x:c>
      <x:c r="E36" s="62" t="str">
        <x:f>IF(ABS(C36-D36)&lt;0.0000001,"PASS","FAIL")</x:f>
        <x:v>PASS</x:v>
      </x:c>
    </x:row>
    <x:row r="37">
      <x:c r="A37" s="62" t="str">
        <x:v>A33</x:v>
      </x:c>
      <x:c r="B37" s="62" t="str">
        <x:v>complete escrow rules</x:v>
      </x:c>
      <x:c r="C37" s="81" t="n">
        <x:f>COUNTIFS('Escrow Rules'!E5:E16,"PASS")</x:f>
        <x:v>12</x:v>
      </x:c>
      <x:c r="D37" s="81" t="n">
        <x:v>12</x:v>
      </x:c>
      <x:c r="E37" s="62" t="str">
        <x:f>IF(ABS(C37-D37)&lt;0.0000001,"PASS","FAIL")</x:f>
        <x:v>PASS</x:v>
      </x:c>
    </x:row>
    <x:row r="38">
      <x:c r="A38" s="62" t="str">
        <x:v>A34</x:v>
      </x:c>
      <x:c r="B38" s="62" t="str">
        <x:v>mutations detected</x:v>
      </x:c>
      <x:c r="C38" s="81" t="n">
        <x:f>SUM(Mutations!D5:D20)</x:f>
        <x:v>16</x:v>
      </x:c>
      <x:c r="D38" s="81" t="n">
        <x:v>16</x:v>
      </x:c>
      <x:c r="E38" s="62" t="str">
        <x:f>IF(ABS(C38-D38)&lt;0.0000001,"PASS","FAIL")</x:f>
        <x:v>PASS</x:v>
      </x:c>
    </x:row>
    <x:row r="39">
      <x:c r="A39" s="62" t="str">
        <x:v>A35</x:v>
      </x:c>
      <x:c r="B39" s="62" t="str">
        <x:v>mutations restored</x:v>
      </x:c>
      <x:c r="C39" s="81" t="n">
        <x:f>SUM(Mutations!E5:E20)</x:f>
        <x:v>16</x:v>
      </x:c>
      <x:c r="D39" s="81" t="n">
        <x:v>16</x:v>
      </x:c>
      <x:c r="E39" s="62" t="str">
        <x:f>IF(ABS(C39-D39)&lt;0.0000001,"PASS","FAIL")</x:f>
        <x:v>PASS</x:v>
      </x:c>
    </x:row>
    <x:row r="40">
      <x:c r="A40" s="66" t="str">
        <x:v>A36</x:v>
      </x:c>
      <x:c r="B40" s="66" t="str">
        <x:v>branch kills</x:v>
      </x:c>
      <x:c r="C40" s="82" t="n">
        <x:f>Controls!B18</x:f>
        <x:v>0</x:v>
      </x:c>
      <x:c r="D40" s="82" t="n">
        <x:v>0</x:v>
      </x:c>
      <x:c r="E40" s="66" t="str">
        <x:f>IF(ABS(C40-D40)&lt;0.0000001,"PASS","FAIL")</x:f>
        <x:v>PASS</x:v>
      </x:c>
    </x:row>
  </x:sheetData>
  <x:mergeCells>
    <x:mergeCell ref="A2:E2"/>
  </x:mergeCells>
  <x:conditionalFormatting sqref="E5:E40">
    <x:cfRule type="containsText" dxfId="2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66" hidden="0" customWidth="1"/>
    <x:col min="4" max="4" width="68" hidden="0" customWidth="1"/>
  </x:cols>
  <x:sheetData>
    <x:row r="2">
      <x:c r="A2" s="56" t="str">
        <x:v>Internal sources and limits</x:v>
      </x:c>
      <x:c r="B2" s="57"/>
      <x:c r="C2" s="57"/>
      <x:c r="D2" s="57"/>
    </x:row>
    <x:row r="3">
      <x:c r="A3" s="58"/>
      <x:c r="B3" s="58"/>
      <x:c r="C3" s="58"/>
      <x:c r="D3" s="58"/>
    </x:row>
    <x:row r="4" ht="32" customHeight="1">
      <x:c r="A4" s="14" t="str">
        <x:v>Source</x:v>
      </x:c>
      <x:c r="B4" s="15" t="str">
        <x:v>Role</x:v>
      </x:c>
      <x:c r="C4" s="15" t="str">
        <x:v>Use</x:v>
      </x:c>
      <x:c r="D4" s="16" t="str">
        <x:v>Limit</x:v>
      </x:c>
    </x:row>
    <x:row r="5">
      <x:c r="A5" s="59" t="str">
        <x:v>Pass 215 construction compact</x:v>
      </x:c>
      <x:c r="B5" s="59" t="str">
        <x:v>financial source</x:v>
      </x:c>
      <x:c r="C5" s="59" t="str">
        <x:v>root option ceilings and FRAME stage</x:v>
      </x:c>
      <x:c r="D5" s="59" t="str">
        <x:v>ceilings are not obligations or payments</x:v>
      </x:c>
    </x:row>
    <x:row r="6">
      <x:c r="A6" s="62" t="str">
        <x:v>Pass 223 corrected rival set</x:v>
      </x:c>
      <x:c r="B6" s="62" t="str">
        <x:v>form source</x:v>
      </x:c>
      <x:c r="C6" s="62" t="str">
        <x:v>eighteen candidate identities</x:v>
      </x:c>
      <x:c r="D6" s="62" t="str">
        <x:v>variant letters have no cross-root performance meaning</x:v>
      </x:c>
    </x:row>
    <x:row r="7">
      <x:c r="A7" s="62" t="str">
        <x:v>Pass 225 selection covenant</x:v>
      </x:c>
      <x:c r="B7" s="62" t="str">
        <x:v>evidence law</x:v>
      </x:c>
      <x:c r="C7" s="62" t="str">
        <x:v>noncompensatory form disposition</x:v>
      </x:c>
      <x:c r="D7" s="62" t="str">
        <x:v>FRAME produces no accepted observations</x:v>
      </x:c>
    </x:row>
    <x:row r="8">
      <x:c r="A8" s="62" t="str">
        <x:v>Pass 226 parallel FRAME authority</x:v>
      </x:c>
      <x:c r="B8" s="62" t="str">
        <x:v>authorization source</x:v>
      </x:c>
      <x:c r="C8" s="62" t="str">
        <x:v>eighteen learning warrants and ninety packages</x:v>
      </x:c>
      <x:c r="D8" s="62" t="str">
        <x:v>actual issue and sequence were previously open</x:v>
      </x:c>
    </x:row>
    <x:row r="9">
      <x:c r="A9" s="66" t="str">
        <x:v>Pass 227 warrant sequence</x:v>
      </x:c>
      <x:c r="B9" s="66" t="str">
        <x:v>calendar and escrow authority</x:v>
      </x:c>
      <x:c r="C9" s="66" t="str">
        <x:v>simultaneous legal issue with rotating activation</x:v>
      </x:c>
      <x:c r="D9" s="66" t="str">
        <x:v>twenty-four-week duration is a planning hypothesis, not an observed rate</x:v>
      </x:c>
    </x:row>
  </x:sheetData>
  <x:mergeCells>
    <x:mergeCell ref="A2:D2"/>
  </x:mergeCells>
  <x:pageMargins left="0.7" right="0.7" top="0.75" bottom="0.75" header="0.3" footer="0.3"/>
</x:worksheet>
</file>