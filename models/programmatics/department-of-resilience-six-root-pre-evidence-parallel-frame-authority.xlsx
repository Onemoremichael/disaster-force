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18eca2e1fc48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8a61dbc1276446c"/>
    <x:sheet xmlns:r="http://schemas.openxmlformats.org/officeDocument/2006/relationships" name="Controls" sheetId="2" r:id="R5c50c4b189b540f9"/>
    <x:sheet xmlns:r="http://schemas.openxmlformats.org/officeDocument/2006/relationships" name="Authority Ladder" sheetId="3" r:id="R1ea0382359ec4f4d"/>
    <x:sheet xmlns:r="http://schemas.openxmlformats.org/officeDocument/2006/relationships" name="Form Options" sheetId="4" r:id="R85a784800ac440b7"/>
    <x:sheet xmlns:r="http://schemas.openxmlformats.org/officeDocument/2006/relationships" name="Work Packages" sheetId="5" r:id="R09689431abd2464c"/>
    <x:sheet xmlns:r="http://schemas.openxmlformats.org/officeDocument/2006/relationships" name="Issuance Gates" sheetId="6" r:id="R9e386d4c68274955"/>
    <x:sheet xmlns:r="http://schemas.openxmlformats.org/officeDocument/2006/relationships" name="Root Budgets" sheetId="7" r:id="Rf68f66a7890d4c07"/>
    <x:sheet xmlns:r="http://schemas.openxmlformats.org/officeDocument/2006/relationships" name="Nonconversions" sheetId="8" r:id="R6958f81a69c04f25"/>
    <x:sheet xmlns:r="http://schemas.openxmlformats.org/officeDocument/2006/relationships" name="Mutations" sheetId="9" r:id="R535f163da0cd4260"/>
    <x:sheet xmlns:r="http://schemas.openxmlformats.org/officeDocument/2006/relationships" name="Audit" sheetId="10" r:id="Rf2f428670883480d"/>
    <x:sheet xmlns:r="http://schemas.openxmlformats.org/officeDocument/2006/relationships" name="Sources &amp; Limits" sheetId="11" r:id="R60c36abad2d942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#,##0.000"/>
    <x:numFmt numFmtId="203" formatCode="0.000"/>
  </x:numFmts>
  <x:fonts count="6">
    <x:font>
      <x:sz val="11"/>
      <x:name val="Carlito"/>
    </x:font>
    <x:font>
      <x:b/>
      <x:sz val="15"/>
      <x:color rgb="FF17365D"/>
      <x:name val="Arial"/>
    </x:font>
    <x:font>
      <x:b/>
      <x:sz val="10"/>
      <x:color rgb="FFFFFFFF"/>
      <x:name val="Arial"/>
    </x:font>
    <x:font>
      <x:sz val="10"/>
      <x:color rgb="FF263746"/>
      <x:name val="Arial"/>
    </x:font>
    <x:font>
      <x:sz val="10"/>
      <x:color rgb="FF0066CC"/>
      <x:name val="Arial"/>
    </x:font>
    <x:font>
      <x:sz val="11"/>
      <x:color rgb="FF263746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0F6B78"/>
      </x:patternFill>
    </x:fill>
  </x:fills>
  <x:borders count="8">
    <x:border/>
    <x:border>
      <x:bottom style="thin">
        <x:color rgb="FF17365D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8E1EB"/>
      </x:bottom>
    </x:border>
    <x:border>
      <x:top style="thin">
        <x:color rgb="FFD8E1EB"/>
      </x:top>
      <x:bottom style="thin">
        <x:color rgb="FFD8E1EB"/>
      </x:bottom>
    </x:border>
    <x:border>
      <x:top style="thin">
        <x:color rgb="FFD8E1EB"/>
      </x:top>
    </x:border>
  </x:borders>
  <x:cellStyleXfs count="1">
    <x:xf numFmtId="0" fontId="0" fillId="0" borderId="0"/>
  </x:cellStyleXfs>
  <x:cellXfs count="91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4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200" fontId="3" fillId="0" borderId="5" xfId="0" applyNumberFormat="1" applyFont="1" applyFill="1" applyBorder="1" applyAlignment="1">
      <x:alignment vertical="top" wrapText="1"/>
    </x:xf>
    <x:xf numFmtId="200" fontId="3" fillId="0" borderId="6" xfId="0" applyNumberFormat="1" applyFont="1" applyFill="1" applyBorder="1" applyAlignment="1">
      <x:alignment vertical="top" wrapText="1"/>
    </x:xf>
    <x:xf numFmtId="201" fontId="3" fillId="0" borderId="6" xfId="0" applyNumberFormat="1" applyFont="1" applyFill="1" applyBorder="1" applyAlignment="1">
      <x:alignment vertical="top" wrapText="1"/>
    </x:xf>
    <x:xf numFmtId="202" fontId="3" fillId="0" borderId="6" xfId="0" applyNumberFormat="1" applyFont="1" applyFill="1" applyBorder="1" applyAlignment="1">
      <x:alignment vertical="top" wrapText="1"/>
    </x:xf>
    <x:xf numFmtId="202" fontId="3" fillId="0" borderId="7" xfId="0" applyNumberFormat="1" applyFont="1" applyFill="1" applyBorder="1" applyAlignment="1">
      <x:alignment vertical="top" wrapText="1"/>
    </x:xf>
    <x:xf numFmtId="202" fontId="3" fillId="3" borderId="6" xfId="0" applyNumberFormat="1" applyFont="1" applyFill="1" applyBorder="1" applyAlignment="1">
      <x:alignment vertical="top" wrapText="1"/>
    </x:xf>
    <x:xf numFmtId="202" fontId="3" fillId="3" borderId="7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200" fontId="4" fillId="0" borderId="6" xfId="0" applyNumberFormat="1" applyFont="1" applyFill="1" applyBorder="1" applyAlignment="1">
      <x:alignment vertical="top" wrapText="1"/>
    </x:xf>
    <x:xf numFmtId="201" fontId="4" fillId="0" borderId="6" xfId="0" applyNumberFormat="1" applyFont="1" applyFill="1" applyBorder="1" applyAlignment="1">
      <x:alignment vertical="top" wrapText="1"/>
    </x:xf>
    <x:xf numFmtId="202" fontId="4" fillId="3" borderId="6" xfId="0" applyNumberFormat="1" applyFont="1" applyFill="1" applyBorder="1" applyAlignment="1">
      <x:alignment vertical="top" wrapText="1"/>
    </x:xf>
    <x:xf numFmtId="202" fontId="4" fillId="3" borderId="7" xfId="0" applyNumberFormat="1" applyFont="1" applyFill="1" applyBorder="1" applyAlignment="1">
      <x:alignment vertical="top" wrapText="1"/>
    </x:xf>
    <x:xf numFmtId="203" fontId="3" fillId="0" borderId="5" xfId="0" applyNumberFormat="1" applyFont="1" applyFill="1" applyBorder="1" applyAlignment="1">
      <x:alignment vertical="top" wrapText="1"/>
    </x:xf>
    <x:xf numFmtId="203" fontId="3" fillId="0" borderId="6" xfId="0" applyNumberFormat="1" applyFont="1" applyFill="1" applyBorder="1" applyAlignment="1">
      <x:alignment vertical="top" wrapText="1"/>
    </x:xf>
    <x:xf numFmtId="203" fontId="3" fillId="0" borderId="7" xfId="0" applyNumberFormat="1" applyFont="1" applyFill="1" applyBorder="1" applyAlignment="1">
      <x:alignment vertical="top" wrapText="1"/>
    </x:xf>
    <x:xf numFmtId="201" fontId="3" fillId="0" borderId="5" xfId="0" applyNumberFormat="1" applyFont="1" applyFill="1" applyBorder="1" applyAlignment="1">
      <x:alignment vertical="top" wrapText="1"/>
    </x:xf>
    <x:xf numFmtId="200" fontId="3" fillId="0" borderId="7" xfId="0" applyNumberFormat="1" applyFont="1" applyFill="1" applyBorder="1" applyAlignment="1">
      <x:alignment vertical="top" wrapText="1"/>
    </x:xf>
    <x:xf numFmtId="0" fontId="3" fillId="4" borderId="7" xfId="0" applyNumberFormat="1" applyFont="1" applyFill="1" applyBorder="1" applyAlignment="1">
      <x:alignment vertical="top" wrapText="1"/>
    </x:xf>
    <x:xf numFmtId="203" fontId="3" fillId="4" borderId="7" xfId="0" applyNumberFormat="1" applyFont="1" applyFill="1" applyBorder="1" applyAlignment="1">
      <x:alignment vertical="top" wrapText="1"/>
    </x:xf>
    <x:xf numFmtId="200" fontId="3" fillId="4" borderId="7" xfId="0" applyNumberFormat="1" applyFont="1" applyFill="1" applyBorder="1" applyAlignment="1">
      <x:alignment vertical="top" wrapText="1"/>
    </x:xf>
    <x:xf numFmtId="0" fontId="2" fillId="4" borderId="7" xfId="0" applyNumberFormat="1" applyFont="1" applyFill="1" applyBorder="1" applyAlignment="1">
      <x:alignment vertical="top" wrapText="1"/>
    </x:xf>
    <x:xf numFmtId="203" fontId="2" fillId="4" borderId="7" xfId="0" applyNumberFormat="1" applyFont="1" applyFill="1" applyBorder="1" applyAlignment="1">
      <x:alignment vertical="top" wrapText="1"/>
    </x:xf>
    <x:xf numFmtId="200" fontId="2" fillId="4" borderId="7" xfId="0" applyNumberFormat="1" applyFont="1" applyFill="1" applyBorder="1" applyAlignment="1">
      <x:alignment vertical="top" wrapText="1"/>
    </x:xf>
    <x:xf numFmtId="201" fontId="3" fillId="0" borderId="7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/>
    <x:xf numFmtId="203" fontId="3" fillId="0" borderId="0" xfId="0" applyNumberFormat="1" applyFont="1" applyFill="1" applyBorder="1"/>
    <x:xf numFmtId="203" fontId="3" fillId="0" borderId="5" xfId="0" applyNumberFormat="1" applyFont="1" applyFill="1" applyBorder="1"/>
    <x:xf numFmtId="203" fontId="3" fillId="0" borderId="6" xfId="0" applyNumberFormat="1" applyFont="1" applyFill="1" applyBorder="1"/>
    <x:xf numFmtId="203" fontId="3" fillId="0" borderId="7" xfId="0" applyNumberFormat="1" applyFont="1" applyFill="1" applyBorder="1"/>
    <x:xf numFmtId="203" fontId="3" fillId="0" borderId="5" xfId="0" applyNumberFormat="1" applyFont="1" applyFill="1" applyBorder="1" applyAlignment="1">
      <x:alignment wrapText="1"/>
    </x:xf>
    <x:xf numFmtId="203" fontId="3" fillId="0" borderId="6" xfId="0" applyNumberFormat="1" applyFont="1" applyFill="1" applyBorder="1" applyAlignment="1">
      <x:alignment wrapText="1"/>
    </x:xf>
    <x:xf numFmtId="203" fontId="3" fillId="0" borderId="7" xfId="0" applyNumberFormat="1" applyFont="1" applyFill="1" applyBorder="1" applyAlignment="1">
      <x:alignment wrapText="1"/>
    </x:xf>
    <x:xf numFmtId="202" fontId="3" fillId="0" borderId="5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 wrapText="1"/>
    </x:xf>
    <x:xf numFmtId="200" fontId="3" fillId="0" borderId="5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203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200" fontId="3" fillId="0" borderId="6" xfId="0" applyNumberFormat="1" applyFont="1" applyFill="1" applyBorder="1" applyAlignment="1">
      <x:alignment vertical="center" wrapText="1"/>
    </x:xf>
    <x:xf numFmtId="203" fontId="3" fillId="0" borderId="6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203" fontId="3" fillId="0" borderId="7" xfId="0" applyNumberFormat="1" applyFont="1" applyFill="1" applyBorder="1" applyAlignment="1">
      <x:alignment vertical="center" wrapText="1"/>
    </x:xf>
    <x:xf numFmtId="200" fontId="4" fillId="0" borderId="5" xfId="0" applyNumberFormat="1" applyFont="1" applyFill="1" applyBorder="1" applyAlignment="1">
      <x:alignment vertical="center" wrapText="1"/>
    </x:xf>
    <x:xf numFmtId="200" fontId="4" fillId="0" borderId="6" xfId="0" applyNumberFormat="1" applyFont="1" applyFill="1" applyBorder="1" applyAlignment="1">
      <x:alignment vertical="center" wrapText="1"/>
    </x:xf>
    <x:xf numFmtId="201" fontId="4" fillId="0" borderId="6" xfId="0" applyNumberFormat="1" applyFont="1" applyFill="1" applyBorder="1" applyAlignment="1">
      <x:alignment vertical="center" wrapText="1"/>
    </x:xf>
    <x:xf numFmtId="202" fontId="4" fillId="3" borderId="6" xfId="0" applyNumberFormat="1" applyFont="1" applyFill="1" applyBorder="1" applyAlignment="1">
      <x:alignment vertical="center" wrapText="1"/>
    </x:xf>
    <x:xf numFmtId="202" fontId="4" fillId="3" borderId="7" xfId="0" applyNumberFormat="1" applyFont="1" applyFill="1" applyBorder="1" applyAlignment="1">
      <x:alignment vertical="center" wrapText="1"/>
    </x:xf>
    <x:xf numFmtId="201" fontId="3" fillId="0" borderId="5" xfId="0" applyNumberFormat="1" applyFont="1" applyFill="1" applyBorder="1" applyAlignment="1">
      <x:alignment vertical="center" wrapText="1"/>
    </x:xf>
    <x:xf numFmtId="201" fontId="3" fillId="0" borderId="6" xfId="0" applyNumberFormat="1" applyFont="1" applyFill="1" applyBorder="1" applyAlignment="1">
      <x:alignment vertical="center" wrapText="1"/>
    </x:xf>
    <x:xf numFmtId="200" fontId="3" fillId="0" borderId="7" xfId="0" applyNumberFormat="1" applyFont="1" applyFill="1" applyBorder="1" applyAlignment="1">
      <x:alignment vertical="center" wrapText="1"/>
    </x:xf>
    <x:xf numFmtId="201" fontId="3" fillId="0" borderId="7" xfId="0" applyNumberFormat="1" applyFont="1" applyFill="1" applyBorder="1" applyAlignment="1">
      <x:alignment vertical="center" wrapText="1"/>
    </x:xf>
    <x:xf numFmtId="0" fontId="2" fillId="4" borderId="7" xfId="0" applyNumberFormat="1" applyFont="1" applyFill="1" applyBorder="1" applyAlignment="1">
      <x:alignment vertical="center" wrapText="1"/>
    </x:xf>
    <x:xf numFmtId="203" fontId="2" fillId="4" borderId="7" xfId="0" applyNumberFormat="1" applyFont="1" applyFill="1" applyBorder="1" applyAlignment="1">
      <x:alignment vertical="center" wrapText="1"/>
    </x:xf>
    <x:xf numFmtId="200" fontId="2" fillId="4" borderId="7" xfId="0" applyNumberFormat="1" applyFont="1" applyFill="1" applyBorder="1" applyAlignment="1">
      <x:alignment vertical="center" wrapText="1"/>
    </x:xf>
    <x:xf numFmtId="202" fontId="3" fillId="0" borderId="5" xfId="0" applyNumberFormat="1" applyFont="1" applyFill="1" applyBorder="1" applyAlignment="1">
      <x:alignment vertical="center" wrapText="1"/>
    </x:xf>
    <x:xf numFmtId="202" fontId="3" fillId="0" borderId="6" xfId="0" applyNumberFormat="1" applyFont="1" applyFill="1" applyBorder="1" applyAlignment="1">
      <x:alignment vertical="center" wrapText="1"/>
    </x:xf>
    <x:xf numFmtId="202" fontId="3" fillId="0" borderId="7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3338bd943a4a61" /><Relationship Type="http://schemas.openxmlformats.org/officeDocument/2006/relationships/theme" Target="/xl/theme/theme1.xml" Id="Rc63f8834c6d747a6" /><Relationship Type="http://schemas.openxmlformats.org/officeDocument/2006/relationships/sharedStrings" Target="/xl/sharedStrings.xml" Id="Rf0dd5f64006e459f" /><Relationship Type="http://schemas.openxmlformats.org/officeDocument/2006/relationships/worksheet" Target="/xl/worksheets/sheet1.xml" Id="R68a61dbc1276446c" /><Relationship Type="http://schemas.openxmlformats.org/officeDocument/2006/relationships/worksheet" Target="/xl/worksheets/sheet2.xml" Id="R5c50c4b189b540f9" /><Relationship Type="http://schemas.openxmlformats.org/officeDocument/2006/relationships/worksheet" Target="/xl/worksheets/sheet3.xml" Id="R1ea0382359ec4f4d" /><Relationship Type="http://schemas.openxmlformats.org/officeDocument/2006/relationships/worksheet" Target="/xl/worksheets/sheet4.xml" Id="R85a784800ac440b7" /><Relationship Type="http://schemas.openxmlformats.org/officeDocument/2006/relationships/worksheet" Target="/xl/worksheets/sheet5.xml" Id="R09689431abd2464c" /><Relationship Type="http://schemas.openxmlformats.org/officeDocument/2006/relationships/worksheet" Target="/xl/worksheets/sheet6.xml" Id="R9e386d4c68274955" /><Relationship Type="http://schemas.openxmlformats.org/officeDocument/2006/relationships/worksheet" Target="/xl/worksheets/sheet7.xml" Id="Rf68f66a7890d4c07" /><Relationship Type="http://schemas.openxmlformats.org/officeDocument/2006/relationships/worksheet" Target="/xl/worksheets/sheet8.xml" Id="R6958f81a69c04f25" /><Relationship Type="http://schemas.openxmlformats.org/officeDocument/2006/relationships/worksheet" Target="/xl/worksheets/sheet9.xml" Id="R535f163da0cd4260" /><Relationship Type="http://schemas.openxmlformats.org/officeDocument/2006/relationships/worksheet" Target="/xl/worksheets/sheet10.xml" Id="Rf2f428670883480d" /><Relationship Type="http://schemas.openxmlformats.org/officeDocument/2006/relationships/worksheet" Target="/xl/worksheets/sheet11.xml" Id="R60c36abad2d9429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2c4efd719ad4ed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Root FRAME ceilings (USD B)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FRAME ceiling USD B</c:v>
          </c:tx>
          <c:cat>
            <c:strRef>
              <c:f>'Summary'!$M$5:$M$10</c:f>
              <c:strCache>
                <c:ptCount val="0"/>
              </c:strCache>
            </c:strRef>
          </c:cat>
          <c:val>
            <c:numRef>
              <c:f>'Summary'!$N$5:$N$10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12</xdr:row>
      <xdr:rowOff>0</xdr:rowOff>
    </xdr:from>
    <xdr:to>
      <xdr:col>18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2c4efd719ad4ed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afb5d5127fd4a1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2" hidden="0" customWidth="1"/>
    <x:col min="4" max="4" width="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4" hidden="0" customWidth="1"/>
    <x:col min="12" max="12" width="4" hidden="0" customWidth="1"/>
    <x:col min="13" max="13" width="18" hidden="0" customWidth="1"/>
    <x:col min="14" max="14" width="24" hidden="0" customWidth="1"/>
    <x:col min="15" max="15" width="4" hidden="0" customWidth="1"/>
    <x:col min="16" max="16" width="4" hidden="0" customWidth="1"/>
    <x:col min="17" max="17" width="4" hidden="0" customWidth="1"/>
    <x:col min="18" max="18" width="4" hidden="0" customWidth="1"/>
  </x:cols>
  <x:sheetData>
    <x:row r="2">
      <x:c r="A2" s="64" t="str">
        <x:v>Parallel FRAME authority before observed evidence</x:v>
      </x:c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  <x:c r="O2" s="65"/>
      <x:c r="P2" s="65"/>
      <x:c r="Q2" s="65"/>
      <x:c r="R2" s="65"/>
    </x:row>
    <x:row r="3">
      <x:c r="A3" s="66"/>
      <x:c r="B3" s="66"/>
      <x:c r="C3" s="66"/>
      <x:c r="D3" s="66"/>
      <x:c r="E3" s="66"/>
      <x:c r="F3" s="66"/>
      <x:c r="G3" s="66"/>
      <x:c r="H3" s="66"/>
      <x:c r="I3" s="66"/>
      <x:c r="J3" s="66"/>
      <x:c r="K3" s="66"/>
      <x:c r="L3" s="66"/>
      <x:c r="M3" s="66"/>
      <x:c r="N3" s="66"/>
      <x:c r="O3" s="66"/>
      <x:c r="P3" s="66"/>
      <x:c r="Q3" s="66"/>
      <x:c r="R3" s="66"/>
    </x:row>
    <x:row r="4" ht="32" customHeight="1">
      <x:c r="A4" s="14" t="str">
        <x:v>Decision measure</x:v>
      </x:c>
      <x:c r="B4" s="15" t="str">
        <x:v>Value</x:v>
      </x:c>
      <x:c r="C4" s="16" t="str">
        <x:v>State</x:v>
      </x:c>
      <x:c r="D4" s="65"/>
      <x:c r="E4" s="65"/>
      <x:c r="F4" s="65"/>
      <x:c r="G4" s="65"/>
      <x:c r="H4" s="65"/>
      <x:c r="I4" s="65"/>
      <x:c r="J4" s="65"/>
      <x:c r="K4" s="65"/>
      <x:c r="L4" s="65"/>
      <x:c r="M4" s="14" t="str">
        <x:v>Root</x:v>
      </x:c>
      <x:c r="N4" s="16" t="str">
        <x:v>FRAME ceiling USD B</x:v>
      </x:c>
      <x:c r="O4" s="65"/>
      <x:c r="P4" s="65"/>
      <x:c r="Q4" s="65"/>
      <x:c r="R4" s="65"/>
    </x:row>
    <x:row r="5">
      <x:c r="A5" s="67" t="str">
        <x:v>root portfolios</x:v>
      </x:c>
      <x:c r="B5" s="68" t="n">
        <x:f>COUNTA('Root Budgets'!A5:A10)</x:f>
        <x:v>6</x:v>
      </x:c>
      <x:c r="C5" s="67" t="str">
        <x:v>SIX</x:v>
      </x:c>
      <x:c r="D5" s="65"/>
      <x:c r="E5" s="69" t="str">
        <x:v>DECISION
Before observations exist, the Department may authorize a complete comparative learning portfolio. It may not choose a form. All eighteen rivals receive equal standing within their root and a revocable five-package FRAME ceiling. This authorizes event design, measurement, civil closure, destructive-article engineering and cold-reconstruction planning. It does not authorize MAKE, physical-event credit, REP-4, survival, production or readiness. Actual issue, obligation and payment remain zero until a sequence and named warrant are accepted.</x:v>
      </x:c>
      <x:c r="F5" s="65"/>
      <x:c r="G5" s="65"/>
      <x:c r="H5" s="65"/>
      <x:c r="I5" s="65"/>
      <x:c r="J5" s="65"/>
      <x:c r="K5" s="65"/>
      <x:c r="L5" s="65"/>
      <x:c r="M5" s="67" t="str">
        <x:v>ET-A</x:v>
      </x:c>
      <x:c r="N5" s="70" t="n">
        <x:f>'Root Budgets'!F5</x:f>
        <x:v>0.0750711927122775</x:v>
      </x:c>
      <x:c r="O5" s="65"/>
      <x:c r="P5" s="65"/>
      <x:c r="Q5" s="65"/>
      <x:c r="R5" s="65"/>
    </x:row>
    <x:row r="6">
      <x:c r="A6" s="71" t="str">
        <x:v>equal-standing forms</x:v>
      </x:c>
      <x:c r="B6" s="72" t="n">
        <x:f>COUNTA('Form Options'!A5:A22)</x:f>
        <x:v>18</x:v>
      </x:c>
      <x:c r="C6" s="71" t="str">
        <x:v>ALL</x:v>
      </x:c>
      <x:c r="D6" s="65"/>
      <x:c r="E6" s="65"/>
      <x:c r="F6" s="65"/>
      <x:c r="G6" s="65"/>
      <x:c r="H6" s="65"/>
      <x:c r="I6" s="65"/>
      <x:c r="J6" s="65"/>
      <x:c r="K6" s="65"/>
      <x:c r="L6" s="65"/>
      <x:c r="M6" s="71" t="str">
        <x:v>CT-C</x:v>
      </x:c>
      <x:c r="N6" s="73" t="n">
        <x:f>'Root Budgets'!F6</x:f>
        <x:v>0.077474022266094</x:v>
      </x:c>
      <x:c r="O6" s="65"/>
      <x:c r="P6" s="65"/>
      <x:c r="Q6" s="65"/>
      <x:c r="R6" s="65"/>
    </x:row>
    <x:row r="7">
      <x:c r="A7" s="71" t="str">
        <x:v>learning warrants authorized</x:v>
      </x:c>
      <x:c r="B7" s="72" t="n">
        <x:f>SUM('Form Options'!K5:K22)</x:f>
        <x:v>18</x:v>
      </x:c>
      <x:c r="C7" s="71" t="str">
        <x:v>AUTHORIZED</x:v>
      </x:c>
      <x:c r="D7" s="65"/>
      <x:c r="E7" s="65"/>
      <x:c r="F7" s="65"/>
      <x:c r="G7" s="65"/>
      <x:c r="H7" s="65"/>
      <x:c r="I7" s="65"/>
      <x:c r="J7" s="65"/>
      <x:c r="K7" s="65"/>
      <x:c r="L7" s="65"/>
      <x:c r="M7" s="71" t="str">
        <x:v>HC-A</x:v>
      </x:c>
      <x:c r="N7" s="73" t="n">
        <x:f>'Root Budgets'!F7</x:f>
        <x:v>0.046083248110069946</x:v>
      </x:c>
      <x:c r="O7" s="65"/>
      <x:c r="P7" s="65"/>
      <x:c r="Q7" s="65"/>
      <x:c r="R7" s="65"/>
    </x:row>
    <x:row r="8">
      <x:c r="A8" s="71" t="str">
        <x:v>FRAME warrants issued</x:v>
      </x:c>
      <x:c r="B8" s="72" t="n">
        <x:f>SUM('Form Options'!L5:L22)</x:f>
        <x:v>0</x:v>
      </x:c>
      <x:c r="C8" s="71" t="str">
        <x:v>ZERO</x:v>
      </x:c>
      <x:c r="D8" s="65"/>
      <x:c r="E8" s="65"/>
      <x:c r="F8" s="65"/>
      <x:c r="G8" s="65"/>
      <x:c r="H8" s="65"/>
      <x:c r="I8" s="65"/>
      <x:c r="J8" s="65"/>
      <x:c r="K8" s="65"/>
      <x:c r="L8" s="65"/>
      <x:c r="M8" s="71" t="str">
        <x:v>LF-B</x:v>
      </x:c>
      <x:c r="N8" s="73" t="n">
        <x:f>'Root Budgets'!F8</x:f>
        <x:v>0.13491192289808476</x:v>
      </x:c>
      <x:c r="O8" s="65"/>
      <x:c r="P8" s="65"/>
      <x:c r="Q8" s="65"/>
      <x:c r="R8" s="65"/>
    </x:row>
    <x:row r="9">
      <x:c r="A9" s="71" t="str">
        <x:v>selected forms</x:v>
      </x:c>
      <x:c r="B9" s="72" t="n">
        <x:f>SUM('Form Options'!M5:M22)</x:f>
        <x:v>0</x:v>
      </x:c>
      <x:c r="C9" s="71" t="str">
        <x:v>ZERO</x:v>
      </x:c>
      <x:c r="D9" s="65"/>
      <x:c r="E9" s="65"/>
      <x:c r="F9" s="65"/>
      <x:c r="G9" s="65"/>
      <x:c r="H9" s="65"/>
      <x:c r="I9" s="65"/>
      <x:c r="J9" s="65"/>
      <x:c r="K9" s="65"/>
      <x:c r="L9" s="65"/>
      <x:c r="M9" s="71" t="str">
        <x:v>HU-A</x:v>
      </x:c>
      <x:c r="N9" s="73" t="n">
        <x:f>'Root Budgets'!F9</x:f>
        <x:v>0.12910686794116424</x:v>
      </x:c>
      <x:c r="O9" s="65"/>
      <x:c r="P9" s="65"/>
      <x:c r="Q9" s="65"/>
      <x:c r="R9" s="65"/>
    </x:row>
    <x:row r="10">
      <x:c r="A10" s="71" t="str">
        <x:v>issuance gates</x:v>
      </x:c>
      <x:c r="B10" s="72" t="n">
        <x:f>COUNTA('Issuance Gates'!A5:A112)</x:f>
        <x:v>108</x:v>
      </x:c>
      <x:c r="C10" s="71" t="str">
        <x:v>COMPLETE</x:v>
      </x:c>
      <x:c r="D10" s="65"/>
      <x:c r="E10" s="65"/>
      <x:c r="F10" s="65"/>
      <x:c r="G10" s="65"/>
      <x:c r="H10" s="65"/>
      <x:c r="I10" s="65"/>
      <x:c r="J10" s="65"/>
      <x:c r="K10" s="65"/>
      <x:c r="L10" s="65"/>
      <x:c r="M10" s="74" t="str">
        <x:v>RT-B</x:v>
      </x:c>
      <x:c r="N10" s="75" t="n">
        <x:f>'Root Budgets'!F10</x:f>
        <x:v>0.07538966897039444</x:v>
      </x:c>
      <x:c r="O10" s="65"/>
      <x:c r="P10" s="65"/>
      <x:c r="Q10" s="65"/>
      <x:c r="R10" s="65"/>
    </x:row>
    <x:row r="11">
      <x:c r="A11" s="71" t="str">
        <x:v>passing issue gates</x:v>
      </x:c>
      <x:c r="B11" s="72" t="n">
        <x:f>COUNTIFS('Issuance Gates'!H5:H112,"PASS")</x:f>
        <x:v>108</x:v>
      </x:c>
      <x:c r="C11" s="71" t="str">
        <x:v>PASS</x:v>
      </x:c>
      <x:c r="D11" s="65"/>
      <x:c r="E11" s="65"/>
      <x:c r="F11" s="65"/>
      <x:c r="G11" s="65"/>
      <x:c r="H11" s="65"/>
      <x:c r="I11" s="65"/>
      <x:c r="J11" s="65"/>
      <x:c r="K11" s="65"/>
      <x:c r="L11" s="65"/>
      <x:c r="M11" s="65"/>
      <x:c r="N11" s="65"/>
      <x:c r="O11" s="65"/>
      <x:c r="P11" s="65"/>
      <x:c r="Q11" s="65"/>
      <x:c r="R11" s="65"/>
    </x:row>
    <x:row r="12">
      <x:c r="A12" s="71" t="str">
        <x:v>FRAME work packages</x:v>
      </x:c>
      <x:c r="B12" s="72" t="n">
        <x:f>COUNTA('Work Packages'!A5:A94)</x:f>
        <x:v>90</x:v>
      </x:c>
      <x:c r="C12" s="71" t="str">
        <x:v>COMPLETE</x:v>
      </x:c>
      <x:c r="D12" s="65"/>
      <x:c r="E12" s="65"/>
      <x:c r="F12" s="65"/>
      <x:c r="G12" s="65"/>
      <x:c r="H12" s="65"/>
      <x:c r="I12" s="65"/>
      <x:c r="J12" s="65"/>
      <x:c r="K12" s="65"/>
      <x:c r="L12" s="65"/>
      <x:c r="M12" s="65"/>
      <x:c r="N12" s="65"/>
      <x:c r="O12" s="65"/>
      <x:c r="P12" s="65"/>
      <x:c r="Q12" s="65"/>
      <x:c r="R12" s="65"/>
    </x:row>
    <x:row r="13">
      <x:c r="A13" s="71" t="str">
        <x:v>authorized FRAME ceiling USD B</x:v>
      </x:c>
      <x:c r="B13" s="73" t="n">
        <x:f>'Root Budgets'!I11</x:f>
        <x:v>0.5380369228980849</x:v>
      </x:c>
      <x:c r="C13" s="71" t="str">
        <x:v>CEILING</x:v>
      </x:c>
      <x:c r="D13" s="65"/>
      <x:c r="E13" s="65"/>
      <x:c r="F13" s="65"/>
      <x:c r="G13" s="65"/>
      <x:c r="H13" s="65"/>
      <x:c r="I13" s="65"/>
      <x:c r="J13" s="65"/>
      <x:c r="K13" s="65"/>
      <x:c r="L13" s="65"/>
      <x:c r="M13" s="65"/>
      <x:c r="N13" s="65"/>
      <x:c r="O13" s="65"/>
      <x:c r="P13" s="65"/>
      <x:c r="Q13" s="65"/>
      <x:c r="R13" s="65"/>
    </x:row>
    <x:row r="14">
      <x:c r="A14" s="71" t="str">
        <x:v>obligated USD B</x:v>
      </x:c>
      <x:c r="B14" s="73" t="n">
        <x:f>'Root Budgets'!J11</x:f>
        <x:v>0</x:v>
      </x:c>
      <x:c r="C14" s="71" t="str">
        <x:v>ZERO</x:v>
      </x:c>
      <x:c r="D14" s="65"/>
      <x:c r="E14" s="65"/>
      <x:c r="F14" s="65"/>
      <x:c r="G14" s="65"/>
      <x:c r="H14" s="65"/>
      <x:c r="I14" s="65"/>
      <x:c r="J14" s="65"/>
      <x:c r="K14" s="65"/>
      <x:c r="L14" s="65"/>
      <x:c r="M14" s="65"/>
      <x:c r="N14" s="65"/>
      <x:c r="O14" s="65"/>
      <x:c r="P14" s="65"/>
      <x:c r="Q14" s="65"/>
      <x:c r="R14" s="65"/>
    </x:row>
    <x:row r="15">
      <x:c r="A15" s="71" t="str">
        <x:v>paid USD B</x:v>
      </x:c>
      <x:c r="B15" s="73" t="n">
        <x:f>'Root Budgets'!K11</x:f>
        <x:v>0</x:v>
      </x:c>
      <x:c r="C15" s="71" t="str">
        <x:v>ZERO</x:v>
      </x:c>
      <x:c r="D15" s="65"/>
      <x:c r="E15" s="65"/>
      <x:c r="F15" s="65"/>
      <x:c r="G15" s="65"/>
      <x:c r="H15" s="65"/>
      <x:c r="I15" s="65"/>
      <x:c r="J15" s="65"/>
      <x:c r="K15" s="65"/>
      <x:c r="L15" s="65"/>
      <x:c r="M15" s="65"/>
      <x:c r="N15" s="65"/>
      <x:c r="O15" s="65"/>
      <x:c r="P15" s="65"/>
      <x:c r="Q15" s="65"/>
      <x:c r="R15" s="65"/>
    </x:row>
    <x:row r="16">
      <x:c r="A16" s="74" t="str">
        <x:v>accepted observations</x:v>
      </x:c>
      <x:c r="B16" s="75" t="n">
        <x:f>Controls!B12</x:f>
        <x:v>0</x:v>
      </x:c>
      <x:c r="C16" s="74" t="str">
        <x:v>ZERO</x:v>
      </x:c>
      <x:c r="D16" s="65"/>
      <x:c r="E16" s="65"/>
      <x:c r="F16" s="65"/>
      <x:c r="G16" s="65"/>
      <x:c r="H16" s="65"/>
      <x:c r="I16" s="65"/>
      <x:c r="J16" s="65"/>
      <x:c r="K16" s="65"/>
      <x:c r="L16" s="65"/>
      <x:c r="M16" s="65"/>
      <x:c r="N16" s="65"/>
      <x:c r="O16" s="65"/>
      <x:c r="P16" s="65"/>
      <x:c r="Q16" s="65"/>
      <x:c r="R16" s="65"/>
    </x:row>
  </x:sheetData>
  <x:mergeCells>
    <x:mergeCell ref="A2:R2"/>
    <x:mergeCell ref="E5:J14"/>
  </x:mergeCells>
  <x:pageMargins left="0.7" right="0.7" top="0.75" bottom="0.75" header="0.3" footer="0.3"/>
  <x:drawing xmlns:r="http://schemas.openxmlformats.org/officeDocument/2006/relationships" r:id="R6afb5d5127fd4a15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20" hidden="0" customWidth="1"/>
    <x:col min="3" max="3" width="26" hidden="0" customWidth="1"/>
    <x:col min="4" max="4" width="38" hidden="0" customWidth="1"/>
  </x:cols>
  <x:sheetData>
    <x:row r="2">
      <x:c r="A2" s="64" t="str">
        <x:v>Parallel FRAME authority controls</x:v>
      </x:c>
      <x:c r="B2" s="65"/>
      <x:c r="C2" s="65"/>
      <x:c r="D2" s="65"/>
    </x:row>
    <x:row r="3">
      <x:c r="A3" s="66"/>
      <x:c r="B3" s="66"/>
      <x:c r="C3" s="66"/>
      <x:c r="D3" s="66"/>
    </x:row>
    <x:row r="4">
      <x:c r="A4" s="65"/>
      <x:c r="B4" s="65"/>
      <x:c r="C4" s="65"/>
      <x:c r="D4" s="65"/>
    </x:row>
    <x:row r="5" ht="32" customHeight="1">
      <x:c r="A5" s="14" t="str">
        <x:v>Control</x:v>
      </x:c>
      <x:c r="B5" s="15" t="str">
        <x:v>Value</x:v>
      </x:c>
      <x:c r="C5" s="15" t="str">
        <x:v>Unit</x:v>
      </x:c>
      <x:c r="D5" s="16" t="str">
        <x:v>Authority</x:v>
      </x:c>
    </x:row>
    <x:row r="6">
      <x:c r="A6" s="67" t="str">
        <x:v>roots</x:v>
      </x:c>
      <x:c r="B6" s="76" t="n">
        <x:v>6</x:v>
      </x:c>
      <x:c r="C6" s="67" t="str">
        <x:v>count</x:v>
      </x:c>
      <x:c r="D6" s="67" t="str">
        <x:v>Pass 211</x:v>
      </x:c>
    </x:row>
    <x:row r="7">
      <x:c r="A7" s="71" t="str">
        <x:v>forms</x:v>
      </x:c>
      <x:c r="B7" s="77" t="n">
        <x:v>18</x:v>
      </x:c>
      <x:c r="C7" s="71" t="str">
        <x:v>count</x:v>
      </x:c>
      <x:c r="D7" s="71" t="str">
        <x:v>Pass 223</x:v>
      </x:c>
    </x:row>
    <x:row r="8">
      <x:c r="A8" s="71" t="str">
        <x:v>issue gates per form</x:v>
      </x:c>
      <x:c r="B8" s="77" t="n">
        <x:v>6</x:v>
      </x:c>
      <x:c r="C8" s="71" t="str">
        <x:v>count</x:v>
      </x:c>
      <x:c r="D8" s="71" t="str">
        <x:v>Pass 226</x:v>
      </x:c>
    </x:row>
    <x:row r="9">
      <x:c r="A9" s="71" t="str">
        <x:v>work packages per form</x:v>
      </x:c>
      <x:c r="B9" s="77" t="n">
        <x:v>5</x:v>
      </x:c>
      <x:c r="C9" s="71" t="str">
        <x:v>count</x:v>
      </x:c>
      <x:c r="D9" s="71" t="str">
        <x:v>Pass 226</x:v>
      </x:c>
    </x:row>
    <x:row r="10">
      <x:c r="A10" s="71" t="str">
        <x:v>FRAME share</x:v>
      </x:c>
      <x:c r="B10" s="78" t="n">
        <x:v>0.15</x:v>
      </x:c>
      <x:c r="C10" s="71" t="str">
        <x:v>share of root option</x:v>
      </x:c>
      <x:c r="D10" s="71" t="str">
        <x:v>Pass 215</x:v>
      </x:c>
    </x:row>
    <x:row r="11">
      <x:c r="A11" s="71" t="str">
        <x:v>selected forms</x:v>
      </x:c>
      <x:c r="B11" s="79" t="n">
        <x:v>0</x:v>
      </x:c>
      <x:c r="C11" s="71" t="str">
        <x:v>count</x:v>
      </x:c>
      <x:c r="D11" s="71" t="str">
        <x:v>held</x:v>
      </x:c>
    </x:row>
    <x:row r="12">
      <x:c r="A12" s="71" t="str">
        <x:v>accepted observations</x:v>
      </x:c>
      <x:c r="B12" s="79" t="n">
        <x:v>0</x:v>
      </x:c>
      <x:c r="C12" s="71" t="str">
        <x:v>count</x:v>
      </x:c>
      <x:c r="D12" s="71" t="str">
        <x:v>source empty</x:v>
      </x:c>
    </x:row>
    <x:row r="13">
      <x:c r="A13" s="71" t="str">
        <x:v>obligated amount</x:v>
      </x:c>
      <x:c r="B13" s="79" t="n">
        <x:v>0</x:v>
      </x:c>
      <x:c r="C13" s="71" t="str">
        <x:v>USD B</x:v>
      </x:c>
      <x:c r="D13" s="71" t="str">
        <x:v>source empty</x:v>
      </x:c>
    </x:row>
    <x:row r="14">
      <x:c r="A14" s="71" t="str">
        <x:v>paid amount</x:v>
      </x:c>
      <x:c r="B14" s="79" t="n">
        <x:v>0</x:v>
      </x:c>
      <x:c r="C14" s="71" t="str">
        <x:v>USD B</x:v>
      </x:c>
      <x:c r="D14" s="71" t="str">
        <x:v>source empty</x:v>
      </x:c>
    </x:row>
    <x:row r="15">
      <x:c r="A15" s="74" t="str">
        <x:v>branch kills</x:v>
      </x:c>
      <x:c r="B15" s="80" t="n">
        <x:v>0</x:v>
      </x:c>
      <x:c r="C15" s="74" t="str">
        <x:v>count</x:v>
      </x:c>
      <x:c r="D15" s="74" t="str">
        <x:v>Pass 226 decision</x:v>
      </x:c>
    </x:row>
  </x:sheetData>
  <x:mergeCells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28" hidden="0" customWidth="1"/>
    <x:col min="4" max="4" width="62" hidden="0" customWidth="1"/>
    <x:col min="5" max="5" width="64" hidden="0" customWidth="1"/>
    <x:col min="6" max="6" width="62" hidden="0" customWidth="1"/>
    <x:col min="7" max="7" width="22" hidden="0" customWidth="1"/>
  </x:cols>
  <x:sheetData>
    <x:row r="2">
      <x:c r="A2" s="64" t="str">
        <x:v>Authority before observed evidence</x:v>
      </x:c>
      <x:c r="B2" s="65"/>
      <x:c r="C2" s="65"/>
      <x:c r="D2" s="65"/>
      <x:c r="E2" s="65"/>
      <x:c r="F2" s="65"/>
      <x:c r="G2" s="65"/>
    </x:row>
    <x:row r="3">
      <x:c r="A3" s="66"/>
      <x:c r="B3" s="66"/>
      <x:c r="C3" s="66"/>
      <x:c r="D3" s="66"/>
      <x:c r="E3" s="66"/>
      <x:c r="F3" s="66"/>
      <x:c r="G3" s="66"/>
    </x:row>
    <x:row r="4" ht="32" customHeight="1">
      <x:c r="A4" s="14" t="str">
        <x:v>Stage</x:v>
      </x:c>
      <x:c r="B4" s="15" t="str">
        <x:v>Object</x:v>
      </x:c>
      <x:c r="C4" s="15" t="str">
        <x:v>Pre-evidence state</x:v>
      </x:c>
      <x:c r="D4" s="15" t="str">
        <x:v>What may occur</x:v>
      </x:c>
      <x:c r="E4" s="15" t="str">
        <x:v>What remains prohibited</x:v>
      </x:c>
      <x:c r="F4" s="15" t="str">
        <x:v>Release condition</x:v>
      </x:c>
      <x:c r="G4" s="16" t="str">
        <x:v>Source</x:v>
      </x:c>
    </x:row>
    <x:row r="5">
      <x:c r="A5" s="67" t="str">
        <x:v>REP-3</x:v>
      </x:c>
      <x:c r="B5" s="67" t="str">
        <x:v>equal-salience rival set</x:v>
      </x:c>
      <x:c r="C5" s="67" t="str">
        <x:v>ISSUED</x:v>
      </x:c>
      <x:c r="D5" s="67" t="str">
        <x:v>retain and inspect all three forms together</x:v>
      </x:c>
      <x:c r="E5" s="67" t="str">
        <x:v>bid preference, winner language, as-built claim</x:v>
      </x:c>
      <x:c r="F5" s="67" t="str">
        <x:v>representation rules remain valid</x:v>
      </x:c>
      <x:c r="G5" s="67" t="str">
        <x:v>Pass 221-223</x:v>
      </x:c>
    </x:row>
    <x:row r="6">
      <x:c r="A6" s="71" t="str">
        <x:v>LEARNING WARRANT</x:v>
      </x:c>
      <x:c r="B6" s="71" t="str">
        <x:v>root-form record</x:v>
      </x:c>
      <x:c r="C6" s="71" t="str">
        <x:v>AUTHORIZED</x:v>
      </x:c>
      <x:c r="D6" s="71" t="str">
        <x:v>prepare every form for the same evidentiary contest</x:v>
      </x:c>
      <x:c r="E6" s="71" t="str">
        <x:v>drop or privilege a form for schedule, appearance or cost</x:v>
      </x:c>
      <x:c r="F6" s="71" t="str">
        <x:v>six design gates pass</x:v>
      </x:c>
      <x:c r="G6" s="71" t="str">
        <x:v>Pass 226</x:v>
      </x:c>
    </x:row>
    <x:row r="7">
      <x:c r="A7" s="71" t="str">
        <x:v>FRAME</x:v>
      </x:c>
      <x:c r="B7" s="71" t="str">
        <x:v>five-package design option</x:v>
      </x:c>
      <x:c r="C7" s="71" t="str">
        <x:v>AUTHORIZED / CEILING</x:v>
      </x:c>
      <x:c r="D7" s="71" t="str">
        <x:v>spend within a root-neutral design ceiling after named issue</x:v>
      </x:c>
      <x:c r="E7" s="71" t="str">
        <x:v>MAKE, physical-event or evidence credit</x:v>
      </x:c>
      <x:c r="F7" s="71" t="str">
        <x:v>form warrant issued and ancestry separated</x:v>
      </x:c>
      <x:c r="G7" s="71" t="str">
        <x:v>Pass 215 + 226</x:v>
      </x:c>
    </x:row>
    <x:row r="8">
      <x:c r="A8" s="71" t="str">
        <x:v>MAKE</x:v>
      </x:c>
      <x:c r="B8" s="71" t="str">
        <x:v>serialized destructive article</x:v>
      </x:c>
      <x:c r="C8" s="71" t="str">
        <x:v>HELD</x:v>
      </x:c>
      <x:c r="D8" s="71" t="str">
        <x:v>none before the sequencing constitution</x:v>
      </x:c>
      <x:c r="E8" s="71" t="str">
        <x:v>production tooling or operational packaging</x:v>
      </x:c>
      <x:c r="F8" s="71" t="str">
        <x:v>approved sequence, site, firm and configuration identity</x:v>
      </x:c>
      <x:c r="G8" s="71" t="str">
        <x:v>future</x:v>
      </x:c>
    </x:row>
    <x:row r="9">
      <x:c r="A9" s="71" t="str">
        <x:v>BREAK</x:v>
      </x:c>
      <x:c r="B9" s="71" t="str">
        <x:v>frozen destructive event</x:v>
      </x:c>
      <x:c r="C9" s="71" t="str">
        <x:v>HELD</x:v>
      </x:c>
      <x:c r="D9" s="71" t="str">
        <x:v>none before a measured article and valid event warrant</x:v>
      </x:c>
      <x:c r="E9" s="71" t="str">
        <x:v>result retry, denominator change or favorable-result payment</x:v>
      </x:c>
      <x:c r="F9" s="71" t="str">
        <x:v>article accepted and event independently valid</x:v>
      </x:c>
      <x:c r="G9" s="71" t="str">
        <x:v>future</x:v>
      </x:c>
    </x:row>
    <x:row r="10">
      <x:c r="A10" s="71" t="str">
        <x:v>REP-4</x:v>
      </x:c>
      <x:c r="B10" s="71" t="str">
        <x:v>as-built experimental record</x:v>
      </x:c>
      <x:c r="C10" s="71" t="str">
        <x:v>HELD</x:v>
      </x:c>
      <x:c r="D10" s="71" t="str">
        <x:v>none until physical metrology exists</x:v>
      </x:c>
      <x:c r="E10" s="71" t="str">
        <x:v>infer as-built dimensions from REP-3</x:v>
      </x:c>
      <x:c r="F10" s="71" t="str">
        <x:v>serialized measured article</x:v>
      </x:c>
      <x:c r="G10" s="71" t="str">
        <x:v>Pass 220</x:v>
      </x:c>
    </x:row>
    <x:row r="11">
      <x:c r="A11" s="71" t="str">
        <x:v>SURVIVOR</x:v>
      </x:c>
      <x:c r="B11" s="71" t="str">
        <x:v>six-domain form state</x:v>
      </x:c>
      <x:c r="C11" s="71" t="str">
        <x:v>HELD</x:v>
      </x:c>
      <x:c r="D11" s="71" t="str">
        <x:v>none before six accepted domain passes</x:v>
      </x:c>
      <x:c r="E11" s="71" t="str">
        <x:v>selection or production inference</x:v>
      </x:c>
      <x:c r="F11" s="71" t="str">
        <x:v>Pass 225 covenant satisfied</x:v>
      </x:c>
      <x:c r="G11" s="71" t="str">
        <x:v>Pass 225</x:v>
      </x:c>
    </x:row>
    <x:row r="12">
      <x:c r="A12" s="74" t="str">
        <x:v>SELECTED</x:v>
      </x:c>
      <x:c r="B12" s="74" t="str">
        <x:v>root decision</x:v>
      </x:c>
      <x:c r="C12" s="74" t="str">
        <x:v>HELD</x:v>
      </x:c>
      <x:c r="D12" s="74" t="str">
        <x:v>none before comparable evidence and independent warrant</x:v>
      </x:c>
      <x:c r="E12" s="74" t="str">
        <x:v>capability, production, readiness or export inference</x:v>
      </x:c>
      <x:c r="F12" s="74" t="str">
        <x:v>root tournament law satisfied</x:v>
      </x:c>
      <x:c r="G12" s="74" t="str">
        <x:v>Pass 225</x:v>
      </x:c>
    </x:row>
  </x:sheetData>
  <x:mergeCells>
    <x:mergeCell ref="A2:G2"/>
  </x:mergeCells>
  <x:conditionalFormatting sqref="C5:C12">
    <x:cfRule type="containsText" dxfId="0" priority="1" operator="containsText" text="HELD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6" hidden="0" customWidth="1"/>
    <x:col min="2" max="2" width="10" hidden="0" customWidth="1"/>
    <x:col min="3" max="3" width="44" hidden="0" customWidth="1"/>
    <x:col min="4" max="4" width="25" hidden="0" customWidth="1"/>
    <x:col min="5" max="5" width="25" hidden="0" customWidth="1"/>
    <x:col min="6" max="6" width="25" hidden="0" customWidth="1"/>
    <x:col min="7" max="7" width="16" hidden="0" customWidth="1"/>
    <x:col min="8" max="8" width="18" hidden="0" customWidth="1"/>
    <x:col min="9" max="9" width="18" hidden="0" customWidth="1"/>
    <x:col min="10" max="10" width="18" hidden="0" customWidth="1"/>
    <x:col min="11" max="11" width="22" hidden="0" customWidth="1"/>
    <x:col min="12" max="12" width="18" hidden="0" customWidth="1"/>
    <x:col min="13" max="13" width="18" hidden="0" customWidth="1"/>
    <x:col min="14" max="14" width="20" hidden="0" customWidth="1"/>
    <x:col min="15" max="15" width="16" hidden="0" customWidth="1"/>
    <x:col min="16" max="16" width="28" hidden="0" customWidth="1"/>
    <x:col min="17" max="17" width="20" hidden="0" customWidth="1"/>
    <x:col min="18" max="18" width="20" hidden="0" customWidth="1"/>
    <x:col min="19" max="19" width="18" hidden="0" customWidth="1"/>
  </x:cols>
  <x:sheetData>
    <x:row r="2">
      <x:c r="A2" s="64" t="str">
        <x:v>Eighteen equal-standing learning warrants</x:v>
      </x:c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  <x:c r="O2" s="65"/>
      <x:c r="P2" s="65"/>
      <x:c r="Q2" s="65"/>
      <x:c r="R2" s="65"/>
      <x:c r="S2" s="65"/>
    </x:row>
    <x:row r="3">
      <x:c r="A3" s="66"/>
      <x:c r="B3" s="66"/>
      <x:c r="C3" s="66"/>
      <x:c r="D3" s="66"/>
      <x:c r="E3" s="66"/>
      <x:c r="F3" s="66"/>
      <x:c r="G3" s="66"/>
      <x:c r="H3" s="66"/>
      <x:c r="I3" s="66"/>
      <x:c r="J3" s="66"/>
      <x:c r="K3" s="66"/>
      <x:c r="L3" s="66"/>
      <x:c r="M3" s="66"/>
      <x:c r="N3" s="66"/>
      <x:c r="O3" s="66"/>
      <x:c r="P3" s="66"/>
      <x:c r="Q3" s="66"/>
      <x:c r="R3" s="66"/>
      <x:c r="S3" s="66"/>
    </x:row>
    <x:row r="4" ht="32" customHeight="1">
      <x:c r="A4" s="14" t="str">
        <x:v>Form</x:v>
      </x:c>
      <x:c r="B4" s="15" t="str">
        <x:v>Root</x:v>
      </x:c>
      <x:c r="C4" s="15" t="str">
        <x:v>Candidate form</x:v>
      </x:c>
      <x:c r="D4" s="15" t="str">
        <x:v>Root option ceiling USD B</x:v>
      </x:c>
      <x:c r="E4" s="15" t="str">
        <x:v>Root FRAME ceiling USD B</x:v>
      </x:c>
      <x:c r="F4" s="15" t="str">
        <x:v>Form FRAME ceiling USD B</x:v>
      </x:c>
      <x:c r="G4" s="15" t="str">
        <x:v>Issue gates</x:v>
      </x:c>
      <x:c r="H4" s="15" t="str">
        <x:v>Gates passed</x:v>
      </x:c>
      <x:c r="I4" s="15" t="str">
        <x:v>Work packages</x:v>
      </x:c>
      <x:c r="J4" s="15" t="str">
        <x:v>Package share</x:v>
      </x:c>
      <x:c r="K4" s="15" t="str">
        <x:v>Learning warrant</x:v>
      </x:c>
      <x:c r="L4" s="15" t="str">
        <x:v>FRAME issued</x:v>
      </x:c>
      <x:c r="M4" s="15" t="str">
        <x:v>Form selected</x:v>
      </x:c>
      <x:c r="N4" s="15" t="str">
        <x:v>Obligated USD B</x:v>
      </x:c>
      <x:c r="O4" s="15" t="str">
        <x:v>Paid USD B</x:v>
      </x:c>
      <x:c r="P4" s="15" t="str">
        <x:v>Issue state</x:v>
      </x:c>
      <x:c r="Q4" s="15" t="str">
        <x:v>Selection state</x:v>
      </x:c>
      <x:c r="R4" s="15" t="str">
        <x:v>Form occurrences</x:v>
      </x:c>
      <x:c r="S4" s="16" t="str">
        <x:v>Forms per root</x:v>
      </x:c>
    </x:row>
    <x:row r="5">
      <x:c r="A5" s="67" t="str">
        <x:v>ET-A-A</x:v>
      </x:c>
      <x:c r="B5" s="67" t="str">
        <x:v>ET-A</x:v>
      </x:c>
      <x:c r="C5" s="67" t="str">
        <x:v>Distributed twin-body exchange</x:v>
      </x:c>
      <x:c r="D5" s="70" t="n">
        <x:f>INDEX('Root Budgets'!$D$5:$D$10,MATCH(B5,'Root Budgets'!$B$5:$B$10,0))</x:f>
        <x:v>0.50047461808185</x:v>
      </x:c>
      <x:c r="E5" s="70" t="n">
        <x:f>INDEX('Root Budgets'!$F$5:$F$10,MATCH(B5,'Root Budgets'!$B$5:$B$10,0))</x:f>
        <x:v>0.0750711927122775</x:v>
      </x:c>
      <x:c r="F5" s="70" t="n">
        <x:f>E5/3</x:f>
        <x:v>0.0250237309040925</x:v>
      </x:c>
      <x:c r="G5" s="68" t="n">
        <x:f>COUNTIFS('Issuance Gates'!$B$5:$B$112,A5)</x:f>
        <x:v>6</x:v>
      </x:c>
      <x:c r="H5" s="68" t="n">
        <x:f>COUNTIFS('Issuance Gates'!$B$5:$B$112,A5,'Issuance Gates'!$H$5:$H$112,"PASS")</x:f>
        <x:v>6</x:v>
      </x:c>
      <x:c r="I5" s="68" t="n">
        <x:f>COUNTIFS('Work Packages'!$B$5:$B$94,A5)</x:f>
        <x:v>5</x:v>
      </x:c>
      <x:c r="J5" s="81" t="n">
        <x:f>SUMIFS('Work Packages'!$F$5:$F$94,'Work Packages'!$B$5:$B$94,A5)</x:f>
        <x:v>1</x:v>
      </x:c>
      <x:c r="K5" s="68" t="n">
        <x:f>IF(AND(G5=6,H5=6,I5=5,ABS(J5-1)&lt;0.0000001),1,0)</x:f>
        <x:v>1</x:v>
      </x:c>
      <x:c r="L5" s="68" t="n">
        <x:v>0</x:v>
      </x:c>
      <x:c r="M5" s="68" t="n">
        <x:v>0</x:v>
      </x:c>
      <x:c r="N5" s="70" t="n">
        <x:v>0</x:v>
      </x:c>
      <x:c r="O5" s="70" t="n">
        <x:v>0</x:v>
      </x:c>
      <x:c r="P5" s="67" t="str">
        <x:f>IF(AND(K5=1,L5=0,M5=0,N5=0,O5=0),"AUTHORIZED / NOT ISSUED","INVALID")</x:f>
        <x:v>AUTHORIZED / NOT ISSUED</x:v>
      </x:c>
      <x:c r="Q5" s="67" t="str">
        <x:f>IF(M5=0,"UNSELECTED","INVALID")</x:f>
        <x:v>UNSELECTED</x:v>
      </x:c>
      <x:c r="R5" s="68" t="n">
        <x:f>COUNTIFS($A$5:$A$22,A5)</x:f>
        <x:v>1</x:v>
      </x:c>
      <x:c r="S5" s="68" t="n">
        <x:f>COUNTIFS($B$5:$B$22,B5)</x:f>
        <x:v>3</x:v>
      </x:c>
    </x:row>
    <x:row r="6">
      <x:c r="A6" s="71" t="str">
        <x:v>ET-A-B</x:v>
      </x:c>
      <x:c r="B6" s="71" t="str">
        <x:v>ET-A</x:v>
      </x:c>
      <x:c r="C6" s="71" t="str">
        <x:v>Dual-chain articulated offshore spine</x:v>
      </x:c>
      <x:c r="D6" s="73" t="n">
        <x:f>INDEX('Root Budgets'!$D$5:$D$10,MATCH(B6,'Root Budgets'!$B$5:$B$10,0))</x:f>
        <x:v>0.50047461808185</x:v>
      </x:c>
      <x:c r="E6" s="73" t="n">
        <x:f>INDEX('Root Budgets'!$F$5:$F$10,MATCH(B6,'Root Budgets'!$B$5:$B$10,0))</x:f>
        <x:v>0.0750711927122775</x:v>
      </x:c>
      <x:c r="F6" s="73" t="n">
        <x:f>E6/3</x:f>
        <x:v>0.0250237309040925</x:v>
      </x:c>
      <x:c r="G6" s="72" t="n">
        <x:f>COUNTIFS('Issuance Gates'!$B$5:$B$112,A6)</x:f>
        <x:v>6</x:v>
      </x:c>
      <x:c r="H6" s="72" t="n">
        <x:f>COUNTIFS('Issuance Gates'!$B$5:$B$112,A6,'Issuance Gates'!$H$5:$H$112,"PASS")</x:f>
        <x:v>6</x:v>
      </x:c>
      <x:c r="I6" s="72" t="n">
        <x:f>COUNTIFS('Work Packages'!$B$5:$B$94,A6)</x:f>
        <x:v>5</x:v>
      </x:c>
      <x:c r="J6" s="82" t="n">
        <x:f>SUMIFS('Work Packages'!$F$5:$F$94,'Work Packages'!$B$5:$B$94,A6)</x:f>
        <x:v>1</x:v>
      </x:c>
      <x:c r="K6" s="72" t="n">
        <x:f>IF(AND(G6=6,H6=6,I6=5,ABS(J6-1)&lt;0.0000001),1,0)</x:f>
        <x:v>1</x:v>
      </x:c>
      <x:c r="L6" s="72" t="n">
        <x:v>0</x:v>
      </x:c>
      <x:c r="M6" s="72" t="n">
        <x:v>0</x:v>
      </x:c>
      <x:c r="N6" s="73" t="n">
        <x:v>0</x:v>
      </x:c>
      <x:c r="O6" s="73" t="n">
        <x:v>0</x:v>
      </x:c>
      <x:c r="P6" s="71" t="str">
        <x:f>IF(AND(K6=1,L6=0,M6=0,N6=0,O6=0),"AUTHORIZED / NOT ISSUED","INVALID")</x:f>
        <x:v>AUTHORIZED / NOT ISSUED</x:v>
      </x:c>
      <x:c r="Q6" s="71" t="str">
        <x:f>IF(M6=0,"UNSELECTED","INVALID")</x:f>
        <x:v>UNSELECTED</x:v>
      </x:c>
      <x:c r="R6" s="72" t="n">
        <x:f>COUNTIFS($A$5:$A$22,A6)</x:f>
        <x:v>1</x:v>
      </x:c>
      <x:c r="S6" s="72" t="n">
        <x:f>COUNTIFS($B$5:$B$22,B6)</x:f>
        <x:v>3</x:v>
      </x:c>
    </x:row>
    <x:row r="7">
      <x:c r="A7" s="71" t="str">
        <x:v>ET-A-C</x:v>
      </x:c>
      <x:c r="B7" s="71" t="str">
        <x:v>ET-A</x:v>
      </x:c>
      <x:c r="C7" s="71" t="str">
        <x:v>Split-frame semi-submersible lattice</x:v>
      </x:c>
      <x:c r="D7" s="73" t="n">
        <x:f>INDEX('Root Budgets'!$D$5:$D$10,MATCH(B7,'Root Budgets'!$B$5:$B$10,0))</x:f>
        <x:v>0.50047461808185</x:v>
      </x:c>
      <x:c r="E7" s="73" t="n">
        <x:f>INDEX('Root Budgets'!$F$5:$F$10,MATCH(B7,'Root Budgets'!$B$5:$B$10,0))</x:f>
        <x:v>0.0750711927122775</x:v>
      </x:c>
      <x:c r="F7" s="73" t="n">
        <x:f>E7/3</x:f>
        <x:v>0.0250237309040925</x:v>
      </x:c>
      <x:c r="G7" s="72" t="n">
        <x:f>COUNTIFS('Issuance Gates'!$B$5:$B$112,A7)</x:f>
        <x:v>6</x:v>
      </x:c>
      <x:c r="H7" s="72" t="n">
        <x:f>COUNTIFS('Issuance Gates'!$B$5:$B$112,A7,'Issuance Gates'!$H$5:$H$112,"PASS")</x:f>
        <x:v>6</x:v>
      </x:c>
      <x:c r="I7" s="72" t="n">
        <x:f>COUNTIFS('Work Packages'!$B$5:$B$94,A7)</x:f>
        <x:v>5</x:v>
      </x:c>
      <x:c r="J7" s="82" t="n">
        <x:f>SUMIFS('Work Packages'!$F$5:$F$94,'Work Packages'!$B$5:$B$94,A7)</x:f>
        <x:v>1</x:v>
      </x:c>
      <x:c r="K7" s="72" t="n">
        <x:f>IF(AND(G7=6,H7=6,I7=5,ABS(J7-1)&lt;0.0000001),1,0)</x:f>
        <x:v>1</x:v>
      </x:c>
      <x:c r="L7" s="72" t="n">
        <x:v>0</x:v>
      </x:c>
      <x:c r="M7" s="72" t="n">
        <x:v>0</x:v>
      </x:c>
      <x:c r="N7" s="73" t="n">
        <x:v>0</x:v>
      </x:c>
      <x:c r="O7" s="73" t="n">
        <x:v>0</x:v>
      </x:c>
      <x:c r="P7" s="71" t="str">
        <x:f>IF(AND(K7=1,L7=0,M7=0,N7=0,O7=0),"AUTHORIZED / NOT ISSUED","INVALID")</x:f>
        <x:v>AUTHORIZED / NOT ISSUED</x:v>
      </x:c>
      <x:c r="Q7" s="71" t="str">
        <x:f>IF(M7=0,"UNSELECTED","INVALID")</x:f>
        <x:v>UNSELECTED</x:v>
      </x:c>
      <x:c r="R7" s="72" t="n">
        <x:f>COUNTIFS($A$5:$A$22,A7)</x:f>
        <x:v>1</x:v>
      </x:c>
      <x:c r="S7" s="72" t="n">
        <x:f>COUNTIFS($B$5:$B$22,B7)</x:f>
        <x:v>3</x:v>
      </x:c>
    </x:row>
    <x:row r="8">
      <x:c r="A8" s="71" t="str">
        <x:v>CT-C-A</x:v>
      </x:c>
      <x:c r="B8" s="71" t="str">
        <x:v>CT-C</x:v>
      </x:c>
      <x:c r="C8" s="71" t="str">
        <x:v>Segmented telescoping utility spine</x:v>
      </x:c>
      <x:c r="D8" s="73" t="n">
        <x:f>INDEX('Root Budgets'!$D$5:$D$10,MATCH(B8,'Root Budgets'!$B$5:$B$10,0))</x:f>
        <x:v>0.51649348177396</x:v>
      </x:c>
      <x:c r="E8" s="73" t="n">
        <x:f>INDEX('Root Budgets'!$F$5:$F$10,MATCH(B8,'Root Budgets'!$B$5:$B$10,0))</x:f>
        <x:v>0.077474022266094</x:v>
      </x:c>
      <x:c r="F8" s="73" t="n">
        <x:f>E8/3</x:f>
        <x:v>0.025824674088698</x:v>
      </x:c>
      <x:c r="G8" s="72" t="n">
        <x:f>COUNTIFS('Issuance Gates'!$B$5:$B$112,A8)</x:f>
        <x:v>6</x:v>
      </x:c>
      <x:c r="H8" s="72" t="n">
        <x:f>COUNTIFS('Issuance Gates'!$B$5:$B$112,A8,'Issuance Gates'!$H$5:$H$112,"PASS")</x:f>
        <x:v>6</x:v>
      </x:c>
      <x:c r="I8" s="72" t="n">
        <x:f>COUNTIFS('Work Packages'!$B$5:$B$94,A8)</x:f>
        <x:v>5</x:v>
      </x:c>
      <x:c r="J8" s="82" t="n">
        <x:f>SUMIFS('Work Packages'!$F$5:$F$94,'Work Packages'!$B$5:$B$94,A8)</x:f>
        <x:v>1</x:v>
      </x:c>
      <x:c r="K8" s="72" t="n">
        <x:f>IF(AND(G8=6,H8=6,I8=5,ABS(J8-1)&lt;0.0000001),1,0)</x:f>
        <x:v>1</x:v>
      </x:c>
      <x:c r="L8" s="72" t="n">
        <x:v>0</x:v>
      </x:c>
      <x:c r="M8" s="72" t="n">
        <x:v>0</x:v>
      </x:c>
      <x:c r="N8" s="73" t="n">
        <x:v>0</x:v>
      </x:c>
      <x:c r="O8" s="73" t="n">
        <x:v>0</x:v>
      </x:c>
      <x:c r="P8" s="71" t="str">
        <x:f>IF(AND(K8=1,L8=0,M8=0,N8=0,O8=0),"AUTHORIZED / NOT ISSUED","INVALID")</x:f>
        <x:v>AUTHORIZED / NOT ISSUED</x:v>
      </x:c>
      <x:c r="Q8" s="71" t="str">
        <x:f>IF(M8=0,"UNSELECTED","INVALID")</x:f>
        <x:v>UNSELECTED</x:v>
      </x:c>
      <x:c r="R8" s="72" t="n">
        <x:f>COUNTIFS($A$5:$A$22,A8)</x:f>
        <x:v>1</x:v>
      </x:c>
      <x:c r="S8" s="72" t="n">
        <x:f>COUNTIFS($B$5:$B$22,B8)</x:f>
        <x:v>3</x:v>
      </x:c>
    </x:row>
    <x:row r="9">
      <x:c r="A9" s="71" t="str">
        <x:v>CT-C-B</x:v>
      </x:c>
      <x:c r="B9" s="71" t="str">
        <x:v>CT-C</x:v>
      </x:c>
      <x:c r="C9" s="71" t="str">
        <x:v>Sectional suspended utility belt</x:v>
      </x:c>
      <x:c r="D9" s="73" t="n">
        <x:f>INDEX('Root Budgets'!$D$5:$D$10,MATCH(B9,'Root Budgets'!$B$5:$B$10,0))</x:f>
        <x:v>0.51649348177396</x:v>
      </x:c>
      <x:c r="E9" s="73" t="n">
        <x:f>INDEX('Root Budgets'!$F$5:$F$10,MATCH(B9,'Root Budgets'!$B$5:$B$10,0))</x:f>
        <x:v>0.077474022266094</x:v>
      </x:c>
      <x:c r="F9" s="73" t="n">
        <x:f>E9/3</x:f>
        <x:v>0.025824674088698</x:v>
      </x:c>
      <x:c r="G9" s="72" t="n">
        <x:f>COUNTIFS('Issuance Gates'!$B$5:$B$112,A9)</x:f>
        <x:v>6</x:v>
      </x:c>
      <x:c r="H9" s="72" t="n">
        <x:f>COUNTIFS('Issuance Gates'!$B$5:$B$112,A9,'Issuance Gates'!$H$5:$H$112,"PASS")</x:f>
        <x:v>6</x:v>
      </x:c>
      <x:c r="I9" s="72" t="n">
        <x:f>COUNTIFS('Work Packages'!$B$5:$B$94,A9)</x:f>
        <x:v>5</x:v>
      </x:c>
      <x:c r="J9" s="82" t="n">
        <x:f>SUMIFS('Work Packages'!$F$5:$F$94,'Work Packages'!$B$5:$B$94,A9)</x:f>
        <x:v>1</x:v>
      </x:c>
      <x:c r="K9" s="72" t="n">
        <x:f>IF(AND(G9=6,H9=6,I9=5,ABS(J9-1)&lt;0.0000001),1,0)</x:f>
        <x:v>1</x:v>
      </x:c>
      <x:c r="L9" s="72" t="n">
        <x:v>0</x:v>
      </x:c>
      <x:c r="M9" s="72" t="n">
        <x:v>0</x:v>
      </x:c>
      <x:c r="N9" s="73" t="n">
        <x:v>0</x:v>
      </x:c>
      <x:c r="O9" s="73" t="n">
        <x:v>0</x:v>
      </x:c>
      <x:c r="P9" s="71" t="str">
        <x:f>IF(AND(K9=1,L9=0,M9=0,N9=0,O9=0),"AUTHORIZED / NOT ISSUED","INVALID")</x:f>
        <x:v>AUTHORIZED / NOT ISSUED</x:v>
      </x:c>
      <x:c r="Q9" s="71" t="str">
        <x:f>IF(M9=0,"UNSELECTED","INVALID")</x:f>
        <x:v>UNSELECTED</x:v>
      </x:c>
      <x:c r="R9" s="72" t="n">
        <x:f>COUNTIFS($A$5:$A$22,A9)</x:f>
        <x:v>1</x:v>
      </x:c>
      <x:c r="S9" s="72" t="n">
        <x:f>COUNTIFS($B$5:$B$22,B9)</x:f>
        <x:v>3</x:v>
      </x:c>
    </x:row>
    <x:row r="10">
      <x:c r="A10" s="71" t="str">
        <x:v>CT-C-C</x:v>
      </x:c>
      <x:c r="B10" s="71" t="str">
        <x:v>CT-C</x:v>
      </x:c>
      <x:c r="C10" s="71" t="str">
        <x:v>Mast-and-bridge insertion grid</x:v>
      </x:c>
      <x:c r="D10" s="73" t="n">
        <x:f>INDEX('Root Budgets'!$D$5:$D$10,MATCH(B10,'Root Budgets'!$B$5:$B$10,0))</x:f>
        <x:v>0.51649348177396</x:v>
      </x:c>
      <x:c r="E10" s="73" t="n">
        <x:f>INDEX('Root Budgets'!$F$5:$F$10,MATCH(B10,'Root Budgets'!$B$5:$B$10,0))</x:f>
        <x:v>0.077474022266094</x:v>
      </x:c>
      <x:c r="F10" s="73" t="n">
        <x:f>E10/3</x:f>
        <x:v>0.025824674088698</x:v>
      </x:c>
      <x:c r="G10" s="72" t="n">
        <x:f>COUNTIFS('Issuance Gates'!$B$5:$B$112,A10)</x:f>
        <x:v>6</x:v>
      </x:c>
      <x:c r="H10" s="72" t="n">
        <x:f>COUNTIFS('Issuance Gates'!$B$5:$B$112,A10,'Issuance Gates'!$H$5:$H$112,"PASS")</x:f>
        <x:v>6</x:v>
      </x:c>
      <x:c r="I10" s="72" t="n">
        <x:f>COUNTIFS('Work Packages'!$B$5:$B$94,A10)</x:f>
        <x:v>5</x:v>
      </x:c>
      <x:c r="J10" s="82" t="n">
        <x:f>SUMIFS('Work Packages'!$F$5:$F$94,'Work Packages'!$B$5:$B$94,A10)</x:f>
        <x:v>1</x:v>
      </x:c>
      <x:c r="K10" s="72" t="n">
        <x:f>IF(AND(G10=6,H10=6,I10=5,ABS(J10-1)&lt;0.0000001),1,0)</x:f>
        <x:v>1</x:v>
      </x:c>
      <x:c r="L10" s="72" t="n">
        <x:v>0</x:v>
      </x:c>
      <x:c r="M10" s="72" t="n">
        <x:v>0</x:v>
      </x:c>
      <x:c r="N10" s="73" t="n">
        <x:v>0</x:v>
      </x:c>
      <x:c r="O10" s="73" t="n">
        <x:v>0</x:v>
      </x:c>
      <x:c r="P10" s="71" t="str">
        <x:f>IF(AND(K10=1,L10=0,M10=0,N10=0,O10=0),"AUTHORIZED / NOT ISSUED","INVALID")</x:f>
        <x:v>AUTHORIZED / NOT ISSUED</x:v>
      </x:c>
      <x:c r="Q10" s="71" t="str">
        <x:f>IF(M10=0,"UNSELECTED","INVALID")</x:f>
        <x:v>UNSELECTED</x:v>
      </x:c>
      <x:c r="R10" s="72" t="n">
        <x:f>COUNTIFS($A$5:$A$22,A10)</x:f>
        <x:v>1</x:v>
      </x:c>
      <x:c r="S10" s="72" t="n">
        <x:f>COUNTIFS($B$5:$B$22,B10)</x:f>
        <x:v>3</x:v>
      </x:c>
    </x:row>
    <x:row r="11">
      <x:c r="A11" s="71" t="str">
        <x:v>HC-A-A</x:v>
      </x:c>
      <x:c r="B11" s="71" t="str">
        <x:v>HC-A</x:v>
      </x:c>
      <x:c r="C11" s="71" t="str">
        <x:v>Independent winged sector cells</x:v>
      </x:c>
      <x:c r="D11" s="73" t="n">
        <x:f>INDEX('Root Budgets'!$D$5:$D$10,MATCH(B11,'Root Budgets'!$B$5:$B$10,0))</x:f>
        <x:v>0.307221654067133</x:v>
      </x:c>
      <x:c r="E11" s="73" t="n">
        <x:f>INDEX('Root Budgets'!$F$5:$F$10,MATCH(B11,'Root Budgets'!$B$5:$B$10,0))</x:f>
        <x:v>0.046083248110069946</x:v>
      </x:c>
      <x:c r="F11" s="73" t="n">
        <x:f>E11/3</x:f>
        <x:v>0.015361082703356649</x:v>
      </x:c>
      <x:c r="G11" s="72" t="n">
        <x:f>COUNTIFS('Issuance Gates'!$B$5:$B$112,A11)</x:f>
        <x:v>6</x:v>
      </x:c>
      <x:c r="H11" s="72" t="n">
        <x:f>COUNTIFS('Issuance Gates'!$B$5:$B$112,A11,'Issuance Gates'!$H$5:$H$112,"PASS")</x:f>
        <x:v>6</x:v>
      </x:c>
      <x:c r="I11" s="72" t="n">
        <x:f>COUNTIFS('Work Packages'!$B$5:$B$94,A11)</x:f>
        <x:v>5</x:v>
      </x:c>
      <x:c r="J11" s="82" t="n">
        <x:f>SUMIFS('Work Packages'!$F$5:$F$94,'Work Packages'!$B$5:$B$94,A11)</x:f>
        <x:v>1</x:v>
      </x:c>
      <x:c r="K11" s="72" t="n">
        <x:f>IF(AND(G11=6,H11=6,I11=5,ABS(J11-1)&lt;0.0000001),1,0)</x:f>
        <x:v>1</x:v>
      </x:c>
      <x:c r="L11" s="72" t="n">
        <x:v>0</x:v>
      </x:c>
      <x:c r="M11" s="72" t="n">
        <x:v>0</x:v>
      </x:c>
      <x:c r="N11" s="73" t="n">
        <x:v>0</x:v>
      </x:c>
      <x:c r="O11" s="73" t="n">
        <x:v>0</x:v>
      </x:c>
      <x:c r="P11" s="71" t="str">
        <x:f>IF(AND(K11=1,L11=0,M11=0,N11=0,O11=0),"AUTHORIZED / NOT ISSUED","INVALID")</x:f>
        <x:v>AUTHORIZED / NOT ISSUED</x:v>
      </x:c>
      <x:c r="Q11" s="71" t="str">
        <x:f>IF(M11=0,"UNSELECTED","INVALID")</x:f>
        <x:v>UNSELECTED</x:v>
      </x:c>
      <x:c r="R11" s="72" t="n">
        <x:f>COUNTIFS($A$5:$A$22,A11)</x:f>
        <x:v>1</x:v>
      </x:c>
      <x:c r="S11" s="72" t="n">
        <x:f>COUNTIFS($B$5:$B$22,B11)</x:f>
        <x:v>3</x:v>
      </x:c>
    </x:row>
    <x:row r="12">
      <x:c r="A12" s="71" t="str">
        <x:v>HC-A-B</x:v>
      </x:c>
      <x:c r="B12" s="71" t="str">
        <x:v>HC-A</x:v>
      </x:c>
      <x:c r="C12" s="71" t="str">
        <x:v>Independent aerostat sector cells</x:v>
      </x:c>
      <x:c r="D12" s="73" t="n">
        <x:f>INDEX('Root Budgets'!$D$5:$D$10,MATCH(B12,'Root Budgets'!$B$5:$B$10,0))</x:f>
        <x:v>0.307221654067133</x:v>
      </x:c>
      <x:c r="E12" s="73" t="n">
        <x:f>INDEX('Root Budgets'!$F$5:$F$10,MATCH(B12,'Root Budgets'!$B$5:$B$10,0))</x:f>
        <x:v>0.046083248110069946</x:v>
      </x:c>
      <x:c r="F12" s="73" t="n">
        <x:f>E12/3</x:f>
        <x:v>0.015361082703356649</x:v>
      </x:c>
      <x:c r="G12" s="72" t="n">
        <x:f>COUNTIFS('Issuance Gates'!$B$5:$B$112,A12)</x:f>
        <x:v>6</x:v>
      </x:c>
      <x:c r="H12" s="72" t="n">
        <x:f>COUNTIFS('Issuance Gates'!$B$5:$B$112,A12,'Issuance Gates'!$H$5:$H$112,"PASS")</x:f>
        <x:v>6</x:v>
      </x:c>
      <x:c r="I12" s="72" t="n">
        <x:f>COUNTIFS('Work Packages'!$B$5:$B$94,A12)</x:f>
        <x:v>5</x:v>
      </x:c>
      <x:c r="J12" s="82" t="n">
        <x:f>SUMIFS('Work Packages'!$F$5:$F$94,'Work Packages'!$B$5:$B$94,A12)</x:f>
        <x:v>1</x:v>
      </x:c>
      <x:c r="K12" s="72" t="n">
        <x:f>IF(AND(G12=6,H12=6,I12=5,ABS(J12-1)&lt;0.0000001),1,0)</x:f>
        <x:v>1</x:v>
      </x:c>
      <x:c r="L12" s="72" t="n">
        <x:v>0</x:v>
      </x:c>
      <x:c r="M12" s="72" t="n">
        <x:v>0</x:v>
      </x:c>
      <x:c r="N12" s="73" t="n">
        <x:v>0</x:v>
      </x:c>
      <x:c r="O12" s="73" t="n">
        <x:v>0</x:v>
      </x:c>
      <x:c r="P12" s="71" t="str">
        <x:f>IF(AND(K12=1,L12=0,M12=0,N12=0,O12=0),"AUTHORIZED / NOT ISSUED","INVALID")</x:f>
        <x:v>AUTHORIZED / NOT ISSUED</x:v>
      </x:c>
      <x:c r="Q12" s="71" t="str">
        <x:f>IF(M12=0,"UNSELECTED","INVALID")</x:f>
        <x:v>UNSELECTED</x:v>
      </x:c>
      <x:c r="R12" s="72" t="n">
        <x:f>COUNTIFS($A$5:$A$22,A12)</x:f>
        <x:v>1</x:v>
      </x:c>
      <x:c r="S12" s="72" t="n">
        <x:f>COUNTIFS($B$5:$B$22,B12)</x:f>
        <x:v>3</x:v>
      </x:c>
    </x:row>
    <x:row r="13">
      <x:c r="A13" s="71" t="str">
        <x:v>HC-A-C</x:v>
      </x:c>
      <x:c r="B13" s="71" t="str">
        <x:v>HC-A</x:v>
      </x:c>
      <x:c r="C13" s="71" t="str">
        <x:v>Distributed rotorborne cells</x:v>
      </x:c>
      <x:c r="D13" s="73" t="n">
        <x:f>INDEX('Root Budgets'!$D$5:$D$10,MATCH(B13,'Root Budgets'!$B$5:$B$10,0))</x:f>
        <x:v>0.307221654067133</x:v>
      </x:c>
      <x:c r="E13" s="73" t="n">
        <x:f>INDEX('Root Budgets'!$F$5:$F$10,MATCH(B13,'Root Budgets'!$B$5:$B$10,0))</x:f>
        <x:v>0.046083248110069946</x:v>
      </x:c>
      <x:c r="F13" s="73" t="n">
        <x:f>E13/3</x:f>
        <x:v>0.015361082703356649</x:v>
      </x:c>
      <x:c r="G13" s="72" t="n">
        <x:f>COUNTIFS('Issuance Gates'!$B$5:$B$112,A13)</x:f>
        <x:v>6</x:v>
      </x:c>
      <x:c r="H13" s="72" t="n">
        <x:f>COUNTIFS('Issuance Gates'!$B$5:$B$112,A13,'Issuance Gates'!$H$5:$H$112,"PASS")</x:f>
        <x:v>6</x:v>
      </x:c>
      <x:c r="I13" s="72" t="n">
        <x:f>COUNTIFS('Work Packages'!$B$5:$B$94,A13)</x:f>
        <x:v>5</x:v>
      </x:c>
      <x:c r="J13" s="82" t="n">
        <x:f>SUMIFS('Work Packages'!$F$5:$F$94,'Work Packages'!$B$5:$B$94,A13)</x:f>
        <x:v>1</x:v>
      </x:c>
      <x:c r="K13" s="72" t="n">
        <x:f>IF(AND(G13=6,H13=6,I13=5,ABS(J13-1)&lt;0.0000001),1,0)</x:f>
        <x:v>1</x:v>
      </x:c>
      <x:c r="L13" s="72" t="n">
        <x:v>0</x:v>
      </x:c>
      <x:c r="M13" s="72" t="n">
        <x:v>0</x:v>
      </x:c>
      <x:c r="N13" s="73" t="n">
        <x:v>0</x:v>
      </x:c>
      <x:c r="O13" s="73" t="n">
        <x:v>0</x:v>
      </x:c>
      <x:c r="P13" s="71" t="str">
        <x:f>IF(AND(K13=1,L13=0,M13=0,N13=0,O13=0),"AUTHORIZED / NOT ISSUED","INVALID")</x:f>
        <x:v>AUTHORIZED / NOT ISSUED</x:v>
      </x:c>
      <x:c r="Q13" s="71" t="str">
        <x:f>IF(M13=0,"UNSELECTED","INVALID")</x:f>
        <x:v>UNSELECTED</x:v>
      </x:c>
      <x:c r="R13" s="72" t="n">
        <x:f>COUNTIFS($A$5:$A$22,A13)</x:f>
        <x:v>1</x:v>
      </x:c>
      <x:c r="S13" s="72" t="n">
        <x:f>COUNTIFS($B$5:$B$22,B13)</x:f>
        <x:v>3</x:v>
      </x:c>
    </x:row>
    <x:row r="14">
      <x:c r="A14" s="71" t="str">
        <x:v>LF-B-A</x:v>
      </x:c>
      <x:c r="B14" s="71" t="str">
        <x:v>LF-B</x:v>
      </x:c>
      <x:c r="C14" s="71" t="str">
        <x:v>Cellular radial multi-bore field</x:v>
      </x:c>
      <x:c r="D14" s="73" t="n">
        <x:f>INDEX('Root Budgets'!$D$5:$D$10,MATCH(B14,'Root Budgets'!$B$5:$B$10,0))</x:f>
        <x:v>0.899412819320565</x:v>
      </x:c>
      <x:c r="E14" s="73" t="n">
        <x:f>INDEX('Root Budgets'!$F$5:$F$10,MATCH(B14,'Root Budgets'!$B$5:$B$10,0))</x:f>
        <x:v>0.13491192289808476</x:v>
      </x:c>
      <x:c r="F14" s="73" t="n">
        <x:f>E14/3</x:f>
        <x:v>0.04497064096602826</x:v>
      </x:c>
      <x:c r="G14" s="72" t="n">
        <x:f>COUNTIFS('Issuance Gates'!$B$5:$B$112,A14)</x:f>
        <x:v>6</x:v>
      </x:c>
      <x:c r="H14" s="72" t="n">
        <x:f>COUNTIFS('Issuance Gates'!$B$5:$B$112,A14,'Issuance Gates'!$H$5:$H$112,"PASS")</x:f>
        <x:v>6</x:v>
      </x:c>
      <x:c r="I14" s="72" t="n">
        <x:f>COUNTIFS('Work Packages'!$B$5:$B$94,A14)</x:f>
        <x:v>5</x:v>
      </x:c>
      <x:c r="J14" s="82" t="n">
        <x:f>SUMIFS('Work Packages'!$F$5:$F$94,'Work Packages'!$B$5:$B$94,A14)</x:f>
        <x:v>1</x:v>
      </x:c>
      <x:c r="K14" s="72" t="n">
        <x:f>IF(AND(G14=6,H14=6,I14=5,ABS(J14-1)&lt;0.0000001),1,0)</x:f>
        <x:v>1</x:v>
      </x:c>
      <x:c r="L14" s="72" t="n">
        <x:v>0</x:v>
      </x:c>
      <x:c r="M14" s="72" t="n">
        <x:v>0</x:v>
      </x:c>
      <x:c r="N14" s="73" t="n">
        <x:v>0</x:v>
      </x:c>
      <x:c r="O14" s="73" t="n">
        <x:v>0</x:v>
      </x:c>
      <x:c r="P14" s="71" t="str">
        <x:f>IF(AND(K14=1,L14=0,M14=0,N14=0,O14=0),"AUTHORIZED / NOT ISSUED","INVALID")</x:f>
        <x:v>AUTHORIZED / NOT ISSUED</x:v>
      </x:c>
      <x:c r="Q14" s="71" t="str">
        <x:f>IF(M14=0,"UNSELECTED","INVALID")</x:f>
        <x:v>UNSELECTED</x:v>
      </x:c>
      <x:c r="R14" s="72" t="n">
        <x:f>COUNTIFS($A$5:$A$22,A14)</x:f>
        <x:v>1</x:v>
      </x:c>
      <x:c r="S14" s="72" t="n">
        <x:f>COUNTIFS($B$5:$B$22,B14)</x:f>
        <x:v>3</x:v>
      </x:c>
    </x:row>
    <x:row r="15">
      <x:c r="A15" s="71" t="str">
        <x:v>LF-B-B</x:v>
      </x:c>
      <x:c r="B15" s="71" t="str">
        <x:v>LF-B</x:v>
      </x:c>
      <x:c r="C15" s="71" t="str">
        <x:v>Dual-basin roadless source train</x:v>
      </x:c>
      <x:c r="D15" s="73" t="n">
        <x:f>INDEX('Root Budgets'!$D$5:$D$10,MATCH(B15,'Root Budgets'!$B$5:$B$10,0))</x:f>
        <x:v>0.899412819320565</x:v>
      </x:c>
      <x:c r="E15" s="73" t="n">
        <x:f>INDEX('Root Budgets'!$F$5:$F$10,MATCH(B15,'Root Budgets'!$B$5:$B$10,0))</x:f>
        <x:v>0.13491192289808476</x:v>
      </x:c>
      <x:c r="F15" s="73" t="n">
        <x:f>E15/3</x:f>
        <x:v>0.04497064096602826</x:v>
      </x:c>
      <x:c r="G15" s="72" t="n">
        <x:f>COUNTIFS('Issuance Gates'!$B$5:$B$112,A15)</x:f>
        <x:v>6</x:v>
      </x:c>
      <x:c r="H15" s="72" t="n">
        <x:f>COUNTIFS('Issuance Gates'!$B$5:$B$112,A15,'Issuance Gates'!$H$5:$H$112,"PASS")</x:f>
        <x:v>6</x:v>
      </x:c>
      <x:c r="I15" s="72" t="n">
        <x:f>COUNTIFS('Work Packages'!$B$5:$B$94,A15)</x:f>
        <x:v>5</x:v>
      </x:c>
      <x:c r="J15" s="82" t="n">
        <x:f>SUMIFS('Work Packages'!$F$5:$F$94,'Work Packages'!$B$5:$B$94,A15)</x:f>
        <x:v>1</x:v>
      </x:c>
      <x:c r="K15" s="72" t="n">
        <x:f>IF(AND(G15=6,H15=6,I15=5,ABS(J15-1)&lt;0.0000001),1,0)</x:f>
        <x:v>1</x:v>
      </x:c>
      <x:c r="L15" s="72" t="n">
        <x:v>0</x:v>
      </x:c>
      <x:c r="M15" s="72" t="n">
        <x:v>0</x:v>
      </x:c>
      <x:c r="N15" s="73" t="n">
        <x:v>0</x:v>
      </x:c>
      <x:c r="O15" s="73" t="n">
        <x:v>0</x:v>
      </x:c>
      <x:c r="P15" s="71" t="str">
        <x:f>IF(AND(K15=1,L15=0,M15=0,N15=0,O15=0),"AUTHORIZED / NOT ISSUED","INVALID")</x:f>
        <x:v>AUTHORIZED / NOT ISSUED</x:v>
      </x:c>
      <x:c r="Q15" s="71" t="str">
        <x:f>IF(M15=0,"UNSELECTED","INVALID")</x:f>
        <x:v>UNSELECTED</x:v>
      </x:c>
      <x:c r="R15" s="72" t="n">
        <x:f>COUNTIFS($A$5:$A$22,A15)</x:f>
        <x:v>1</x:v>
      </x:c>
      <x:c r="S15" s="72" t="n">
        <x:f>COUNTIFS($B$5:$B$22,B15)</x:f>
        <x:v>3</x:v>
      </x:c>
    </x:row>
    <x:row r="16">
      <x:c r="A16" s="71" t="str">
        <x:v>LF-B-C</x:v>
      </x:c>
      <x:c r="B16" s="71" t="str">
        <x:v>LF-B</x:v>
      </x:c>
      <x:c r="C16" s="71" t="str">
        <x:v>Nearshore caisson source archipelago</x:v>
      </x:c>
      <x:c r="D16" s="73" t="n">
        <x:f>INDEX('Root Budgets'!$D$5:$D$10,MATCH(B16,'Root Budgets'!$B$5:$B$10,0))</x:f>
        <x:v>0.899412819320565</x:v>
      </x:c>
      <x:c r="E16" s="73" t="n">
        <x:f>INDEX('Root Budgets'!$F$5:$F$10,MATCH(B16,'Root Budgets'!$B$5:$B$10,0))</x:f>
        <x:v>0.13491192289808476</x:v>
      </x:c>
      <x:c r="F16" s="73" t="n">
        <x:f>E16/3</x:f>
        <x:v>0.04497064096602826</x:v>
      </x:c>
      <x:c r="G16" s="72" t="n">
        <x:f>COUNTIFS('Issuance Gates'!$B$5:$B$112,A16)</x:f>
        <x:v>6</x:v>
      </x:c>
      <x:c r="H16" s="72" t="n">
        <x:f>COUNTIFS('Issuance Gates'!$B$5:$B$112,A16,'Issuance Gates'!$H$5:$H$112,"PASS")</x:f>
        <x:v>6</x:v>
      </x:c>
      <x:c r="I16" s="72" t="n">
        <x:f>COUNTIFS('Work Packages'!$B$5:$B$94,A16)</x:f>
        <x:v>5</x:v>
      </x:c>
      <x:c r="J16" s="82" t="n">
        <x:f>SUMIFS('Work Packages'!$F$5:$F$94,'Work Packages'!$B$5:$B$94,A16)</x:f>
        <x:v>1</x:v>
      </x:c>
      <x:c r="K16" s="72" t="n">
        <x:f>IF(AND(G16=6,H16=6,I16=5,ABS(J16-1)&lt;0.0000001),1,0)</x:f>
        <x:v>1</x:v>
      </x:c>
      <x:c r="L16" s="72" t="n">
        <x:v>0</x:v>
      </x:c>
      <x:c r="M16" s="72" t="n">
        <x:v>0</x:v>
      </x:c>
      <x:c r="N16" s="73" t="n">
        <x:v>0</x:v>
      </x:c>
      <x:c r="O16" s="73" t="n">
        <x:v>0</x:v>
      </x:c>
      <x:c r="P16" s="71" t="str">
        <x:f>IF(AND(K16=1,L16=0,M16=0,N16=0,O16=0),"AUTHORIZED / NOT ISSUED","INVALID")</x:f>
        <x:v>AUTHORIZED / NOT ISSUED</x:v>
      </x:c>
      <x:c r="Q16" s="71" t="str">
        <x:f>IF(M16=0,"UNSELECTED","INVALID")</x:f>
        <x:v>UNSELECTED</x:v>
      </x:c>
      <x:c r="R16" s="72" t="n">
        <x:f>COUNTIFS($A$5:$A$22,A16)</x:f>
        <x:v>1</x:v>
      </x:c>
      <x:c r="S16" s="72" t="n">
        <x:f>COUNTIFS($B$5:$B$22,B16)</x:f>
        <x:v>3</x:v>
      </x:c>
    </x:row>
    <x:row r="17">
      <x:c r="A17" s="71" t="str">
        <x:v>HU-A-A</x:v>
      </x:c>
      <x:c r="B17" s="71" t="str">
        <x:v>HU-A</x:v>
      </x:c>
      <x:c r="C17" s="71" t="str">
        <x:v>Utility-separated clinical courtyards</x:v>
      </x:c>
      <x:c r="D17" s="73" t="n">
        <x:f>INDEX('Root Budgets'!$D$5:$D$10,MATCH(B17,'Root Budgets'!$B$5:$B$10,0))</x:f>
        <x:v>0.860712452941095</x:v>
      </x:c>
      <x:c r="E17" s="73" t="n">
        <x:f>INDEX('Root Budgets'!$F$5:$F$10,MATCH(B17,'Root Budgets'!$B$5:$B$10,0))</x:f>
        <x:v>0.12910686794116424</x:v>
      </x:c>
      <x:c r="F17" s="73" t="n">
        <x:f>E17/3</x:f>
        <x:v>0.043035622647054746</x:v>
      </x:c>
      <x:c r="G17" s="72" t="n">
        <x:f>COUNTIFS('Issuance Gates'!$B$5:$B$112,A17)</x:f>
        <x:v>6</x:v>
      </x:c>
      <x:c r="H17" s="72" t="n">
        <x:f>COUNTIFS('Issuance Gates'!$B$5:$B$112,A17,'Issuance Gates'!$H$5:$H$112,"PASS")</x:f>
        <x:v>6</x:v>
      </x:c>
      <x:c r="I17" s="72" t="n">
        <x:f>COUNTIFS('Work Packages'!$B$5:$B$94,A17)</x:f>
        <x:v>5</x:v>
      </x:c>
      <x:c r="J17" s="82" t="n">
        <x:f>SUMIFS('Work Packages'!$F$5:$F$94,'Work Packages'!$B$5:$B$94,A17)</x:f>
        <x:v>1</x:v>
      </x:c>
      <x:c r="K17" s="72" t="n">
        <x:f>IF(AND(G17=6,H17=6,I17=5,ABS(J17-1)&lt;0.0000001),1,0)</x:f>
        <x:v>1</x:v>
      </x:c>
      <x:c r="L17" s="72" t="n">
        <x:v>0</x:v>
      </x:c>
      <x:c r="M17" s="72" t="n">
        <x:v>0</x:v>
      </x:c>
      <x:c r="N17" s="73" t="n">
        <x:v>0</x:v>
      </x:c>
      <x:c r="O17" s="73" t="n">
        <x:v>0</x:v>
      </x:c>
      <x:c r="P17" s="71" t="str">
        <x:f>IF(AND(K17=1,L17=0,M17=0,N17=0,O17=0),"AUTHORIZED / NOT ISSUED","INVALID")</x:f>
        <x:v>AUTHORIZED / NOT ISSUED</x:v>
      </x:c>
      <x:c r="Q17" s="71" t="str">
        <x:f>IF(M17=0,"UNSELECTED","INVALID")</x:f>
        <x:v>UNSELECTED</x:v>
      </x:c>
      <x:c r="R17" s="72" t="n">
        <x:f>COUNTIFS($A$5:$A$22,A17)</x:f>
        <x:v>1</x:v>
      </x:c>
      <x:c r="S17" s="72" t="n">
        <x:f>COUNTIFS($B$5:$B$22,B17)</x:f>
        <x:v>3</x:v>
      </x:c>
    </x:row>
    <x:row r="18">
      <x:c r="A18" s="71" t="str">
        <x:v>HU-A-B</x:v>
      </x:c>
      <x:c r="B18" s="71" t="str">
        <x:v>HU-A</x:v>
      </x:c>
      <x:c r="C18" s="71" t="str">
        <x:v>Sectional bypassed care spine</x:v>
      </x:c>
      <x:c r="D18" s="73" t="n">
        <x:f>INDEX('Root Budgets'!$D$5:$D$10,MATCH(B18,'Root Budgets'!$B$5:$B$10,0))</x:f>
        <x:v>0.860712452941095</x:v>
      </x:c>
      <x:c r="E18" s="73" t="n">
        <x:f>INDEX('Root Budgets'!$F$5:$F$10,MATCH(B18,'Root Budgets'!$B$5:$B$10,0))</x:f>
        <x:v>0.12910686794116424</x:v>
      </x:c>
      <x:c r="F18" s="73" t="n">
        <x:f>E18/3</x:f>
        <x:v>0.043035622647054746</x:v>
      </x:c>
      <x:c r="G18" s="72" t="n">
        <x:f>COUNTIFS('Issuance Gates'!$B$5:$B$112,A18)</x:f>
        <x:v>6</x:v>
      </x:c>
      <x:c r="H18" s="72" t="n">
        <x:f>COUNTIFS('Issuance Gates'!$B$5:$B$112,A18,'Issuance Gates'!$H$5:$H$112,"PASS")</x:f>
        <x:v>6</x:v>
      </x:c>
      <x:c r="I18" s="72" t="n">
        <x:f>COUNTIFS('Work Packages'!$B$5:$B$94,A18)</x:f>
        <x:v>5</x:v>
      </x:c>
      <x:c r="J18" s="82" t="n">
        <x:f>SUMIFS('Work Packages'!$F$5:$F$94,'Work Packages'!$B$5:$B$94,A18)</x:f>
        <x:v>1</x:v>
      </x:c>
      <x:c r="K18" s="72" t="n">
        <x:f>IF(AND(G18=6,H18=6,I18=5,ABS(J18-1)&lt;0.0000001),1,0)</x:f>
        <x:v>1</x:v>
      </x:c>
      <x:c r="L18" s="72" t="n">
        <x:v>0</x:v>
      </x:c>
      <x:c r="M18" s="72" t="n">
        <x:v>0</x:v>
      </x:c>
      <x:c r="N18" s="73" t="n">
        <x:v>0</x:v>
      </x:c>
      <x:c r="O18" s="73" t="n">
        <x:v>0</x:v>
      </x:c>
      <x:c r="P18" s="71" t="str">
        <x:f>IF(AND(K18=1,L18=0,M18=0,N18=0,O18=0),"AUTHORIZED / NOT ISSUED","INVALID")</x:f>
        <x:v>AUTHORIZED / NOT ISSUED</x:v>
      </x:c>
      <x:c r="Q18" s="71" t="str">
        <x:f>IF(M18=0,"UNSELECTED","INVALID")</x:f>
        <x:v>UNSELECTED</x:v>
      </x:c>
      <x:c r="R18" s="72" t="n">
        <x:f>COUNTIFS($A$5:$A$22,A18)</x:f>
        <x:v>1</x:v>
      </x:c>
      <x:c r="S18" s="72" t="n">
        <x:f>COUNTIFS($B$5:$B$22,B18)</x:f>
        <x:v>3</x:v>
      </x:c>
    </x:row>
    <x:row r="19">
      <x:c r="A19" s="71" t="str">
        <x:v>HU-A-C</x:v>
      </x:c>
      <x:c r="B19" s="71" t="str">
        <x:v>HU-A</x:v>
      </x:c>
      <x:c r="C19" s="71" t="str">
        <x:v>Paired clinical metabolism towers</x:v>
      </x:c>
      <x:c r="D19" s="73" t="n">
        <x:f>INDEX('Root Budgets'!$D$5:$D$10,MATCH(B19,'Root Budgets'!$B$5:$B$10,0))</x:f>
        <x:v>0.860712452941095</x:v>
      </x:c>
      <x:c r="E19" s="73" t="n">
        <x:f>INDEX('Root Budgets'!$F$5:$F$10,MATCH(B19,'Root Budgets'!$B$5:$B$10,0))</x:f>
        <x:v>0.12910686794116424</x:v>
      </x:c>
      <x:c r="F19" s="73" t="n">
        <x:f>E19/3</x:f>
        <x:v>0.043035622647054746</x:v>
      </x:c>
      <x:c r="G19" s="72" t="n">
        <x:f>COUNTIFS('Issuance Gates'!$B$5:$B$112,A19)</x:f>
        <x:v>6</x:v>
      </x:c>
      <x:c r="H19" s="72" t="n">
        <x:f>COUNTIFS('Issuance Gates'!$B$5:$B$112,A19,'Issuance Gates'!$H$5:$H$112,"PASS")</x:f>
        <x:v>6</x:v>
      </x:c>
      <x:c r="I19" s="72" t="n">
        <x:f>COUNTIFS('Work Packages'!$B$5:$B$94,A19)</x:f>
        <x:v>5</x:v>
      </x:c>
      <x:c r="J19" s="82" t="n">
        <x:f>SUMIFS('Work Packages'!$F$5:$F$94,'Work Packages'!$B$5:$B$94,A19)</x:f>
        <x:v>1</x:v>
      </x:c>
      <x:c r="K19" s="72" t="n">
        <x:f>IF(AND(G19=6,H19=6,I19=5,ABS(J19-1)&lt;0.0000001),1,0)</x:f>
        <x:v>1</x:v>
      </x:c>
      <x:c r="L19" s="72" t="n">
        <x:v>0</x:v>
      </x:c>
      <x:c r="M19" s="72" t="n">
        <x:v>0</x:v>
      </x:c>
      <x:c r="N19" s="73" t="n">
        <x:v>0</x:v>
      </x:c>
      <x:c r="O19" s="73" t="n">
        <x:v>0</x:v>
      </x:c>
      <x:c r="P19" s="71" t="str">
        <x:f>IF(AND(K19=1,L19=0,M19=0,N19=0,O19=0),"AUTHORIZED / NOT ISSUED","INVALID")</x:f>
        <x:v>AUTHORIZED / NOT ISSUED</x:v>
      </x:c>
      <x:c r="Q19" s="71" t="str">
        <x:f>IF(M19=0,"UNSELECTED","INVALID")</x:f>
        <x:v>UNSELECTED</x:v>
      </x:c>
      <x:c r="R19" s="72" t="n">
        <x:f>COUNTIFS($A$5:$A$22,A19)</x:f>
        <x:v>1</x:v>
      </x:c>
      <x:c r="S19" s="72" t="n">
        <x:f>COUNTIFS($B$5:$B$22,B19)</x:f>
        <x:v>3</x:v>
      </x:c>
    </x:row>
    <x:row r="20">
      <x:c r="A20" s="71" t="str">
        <x:v>RT-B-A</x:v>
      </x:c>
      <x:c r="B20" s="71" t="str">
        <x:v>RT-B</x:v>
      </x:c>
      <x:c r="C20" s="71" t="str">
        <x:v>Distributed container process mesh</x:v>
      </x:c>
      <x:c r="D20" s="73" t="n">
        <x:f>INDEX('Root Budgets'!$D$5:$D$10,MATCH(B20,'Root Budgets'!$B$5:$B$10,0))</x:f>
        <x:v>0.502597793135963</x:v>
      </x:c>
      <x:c r="E20" s="73" t="n">
        <x:f>INDEX('Root Budgets'!$F$5:$F$10,MATCH(B20,'Root Budgets'!$B$5:$B$10,0))</x:f>
        <x:v>0.07538966897039444</x:v>
      </x:c>
      <x:c r="F20" s="73" t="n">
        <x:f>E20/3</x:f>
        <x:v>0.025129889656798146</x:v>
      </x:c>
      <x:c r="G20" s="72" t="n">
        <x:f>COUNTIFS('Issuance Gates'!$B$5:$B$112,A20)</x:f>
        <x:v>6</x:v>
      </x:c>
      <x:c r="H20" s="72" t="n">
        <x:f>COUNTIFS('Issuance Gates'!$B$5:$B$112,A20,'Issuance Gates'!$H$5:$H$112,"PASS")</x:f>
        <x:v>6</x:v>
      </x:c>
      <x:c r="I20" s="72" t="n">
        <x:f>COUNTIFS('Work Packages'!$B$5:$B$94,A20)</x:f>
        <x:v>5</x:v>
      </x:c>
      <x:c r="J20" s="82" t="n">
        <x:f>SUMIFS('Work Packages'!$F$5:$F$94,'Work Packages'!$B$5:$B$94,A20)</x:f>
        <x:v>1</x:v>
      </x:c>
      <x:c r="K20" s="72" t="n">
        <x:f>IF(AND(G20=6,H20=6,I20=5,ABS(J20-1)&lt;0.0000001),1,0)</x:f>
        <x:v>1</x:v>
      </x:c>
      <x:c r="L20" s="72" t="n">
        <x:v>0</x:v>
      </x:c>
      <x:c r="M20" s="72" t="n">
        <x:v>0</x:v>
      </x:c>
      <x:c r="N20" s="73" t="n">
        <x:v>0</x:v>
      </x:c>
      <x:c r="O20" s="73" t="n">
        <x:v>0</x:v>
      </x:c>
      <x:c r="P20" s="71" t="str">
        <x:f>IF(AND(K20=1,L20=0,M20=0,N20=0,O20=0),"AUTHORIZED / NOT ISSUED","INVALID")</x:f>
        <x:v>AUTHORIZED / NOT ISSUED</x:v>
      </x:c>
      <x:c r="Q20" s="71" t="str">
        <x:f>IF(M20=0,"UNSELECTED","INVALID")</x:f>
        <x:v>UNSELECTED</x:v>
      </x:c>
      <x:c r="R20" s="72" t="n">
        <x:f>COUNTIFS($A$5:$A$22,A20)</x:f>
        <x:v>1</x:v>
      </x:c>
      <x:c r="S20" s="72" t="n">
        <x:f>COUNTIFS($B$5:$B$22,B20)</x:f>
        <x:v>3</x:v>
      </x:c>
    </x:row>
    <x:row r="21">
      <x:c r="A21" s="71" t="str">
        <x:v>RT-B-B</x:v>
      </x:c>
      <x:c r="B21" s="71" t="str">
        <x:v>RT-B</x:v>
      </x:c>
      <x:c r="C21" s="71" t="str">
        <x:v>Five-petal independent clean-core ring</x:v>
      </x:c>
      <x:c r="D21" s="73" t="n">
        <x:f>INDEX('Root Budgets'!$D$5:$D$10,MATCH(B21,'Root Budgets'!$B$5:$B$10,0))</x:f>
        <x:v>0.502597793135963</x:v>
      </x:c>
      <x:c r="E21" s="73" t="n">
        <x:f>INDEX('Root Budgets'!$F$5:$F$10,MATCH(B21,'Root Budgets'!$B$5:$B$10,0))</x:f>
        <x:v>0.07538966897039444</x:v>
      </x:c>
      <x:c r="F21" s="73" t="n">
        <x:f>E21/3</x:f>
        <x:v>0.025129889656798146</x:v>
      </x:c>
      <x:c r="G21" s="72" t="n">
        <x:f>COUNTIFS('Issuance Gates'!$B$5:$B$112,A21)</x:f>
        <x:v>6</x:v>
      </x:c>
      <x:c r="H21" s="72" t="n">
        <x:f>COUNTIFS('Issuance Gates'!$B$5:$B$112,A21,'Issuance Gates'!$H$5:$H$112,"PASS")</x:f>
        <x:v>6</x:v>
      </x:c>
      <x:c r="I21" s="72" t="n">
        <x:f>COUNTIFS('Work Packages'!$B$5:$B$94,A21)</x:f>
        <x:v>5</x:v>
      </x:c>
      <x:c r="J21" s="82" t="n">
        <x:f>SUMIFS('Work Packages'!$F$5:$F$94,'Work Packages'!$B$5:$B$94,A21)</x:f>
        <x:v>1</x:v>
      </x:c>
      <x:c r="K21" s="72" t="n">
        <x:f>IF(AND(G21=6,H21=6,I21=5,ABS(J21-1)&lt;0.0000001),1,0)</x:f>
        <x:v>1</x:v>
      </x:c>
      <x:c r="L21" s="72" t="n">
        <x:v>0</x:v>
      </x:c>
      <x:c r="M21" s="72" t="n">
        <x:v>0</x:v>
      </x:c>
      <x:c r="N21" s="73" t="n">
        <x:v>0</x:v>
      </x:c>
      <x:c r="O21" s="73" t="n">
        <x:v>0</x:v>
      </x:c>
      <x:c r="P21" s="71" t="str">
        <x:f>IF(AND(K21=1,L21=0,M21=0,N21=0,O21=0),"AUTHORIZED / NOT ISSUED","INVALID")</x:f>
        <x:v>AUTHORIZED / NOT ISSUED</x:v>
      </x:c>
      <x:c r="Q21" s="71" t="str">
        <x:f>IF(M21=0,"UNSELECTED","INVALID")</x:f>
        <x:v>UNSELECTED</x:v>
      </x:c>
      <x:c r="R21" s="72" t="n">
        <x:f>COUNTIFS($A$5:$A$22,A21)</x:f>
        <x:v>1</x:v>
      </x:c>
      <x:c r="S21" s="72" t="n">
        <x:f>COUNTIFS($B$5:$B$22,B21)</x:f>
        <x:v>3</x:v>
      </x:c>
    </x:row>
    <x:row r="22">
      <x:c r="A22" s="74" t="str">
        <x:v>RT-B-C</x:v>
      </x:c>
      <x:c r="B22" s="74" t="str">
        <x:v>RT-B</x:v>
      </x:c>
      <x:c r="C22" s="74" t="str">
        <x:v>Parallel mobile microfactory trainlets</x:v>
      </x:c>
      <x:c r="D22" s="75" t="n">
        <x:f>INDEX('Root Budgets'!$D$5:$D$10,MATCH(B22,'Root Budgets'!$B$5:$B$10,0))</x:f>
        <x:v>0.502597793135963</x:v>
      </x:c>
      <x:c r="E22" s="75" t="n">
        <x:f>INDEX('Root Budgets'!$F$5:$F$10,MATCH(B22,'Root Budgets'!$B$5:$B$10,0))</x:f>
        <x:v>0.07538966897039444</x:v>
      </x:c>
      <x:c r="F22" s="75" t="n">
        <x:f>E22/3</x:f>
        <x:v>0.025129889656798146</x:v>
      </x:c>
      <x:c r="G22" s="83" t="n">
        <x:f>COUNTIFS('Issuance Gates'!$B$5:$B$112,A22)</x:f>
        <x:v>6</x:v>
      </x:c>
      <x:c r="H22" s="83" t="n">
        <x:f>COUNTIFS('Issuance Gates'!$B$5:$B$112,A22,'Issuance Gates'!$H$5:$H$112,"PASS")</x:f>
        <x:v>6</x:v>
      </x:c>
      <x:c r="I22" s="83" t="n">
        <x:f>COUNTIFS('Work Packages'!$B$5:$B$94,A22)</x:f>
        <x:v>5</x:v>
      </x:c>
      <x:c r="J22" s="84" t="n">
        <x:f>SUMIFS('Work Packages'!$F$5:$F$94,'Work Packages'!$B$5:$B$94,A22)</x:f>
        <x:v>1</x:v>
      </x:c>
      <x:c r="K22" s="83" t="n">
        <x:f>IF(AND(G22=6,H22=6,I22=5,ABS(J22-1)&lt;0.0000001),1,0)</x:f>
        <x:v>1</x:v>
      </x:c>
      <x:c r="L22" s="83" t="n">
        <x:v>0</x:v>
      </x:c>
      <x:c r="M22" s="83" t="n">
        <x:v>0</x:v>
      </x:c>
      <x:c r="N22" s="75" t="n">
        <x:v>0</x:v>
      </x:c>
      <x:c r="O22" s="75" t="n">
        <x:v>0</x:v>
      </x:c>
      <x:c r="P22" s="74" t="str">
        <x:f>IF(AND(K22=1,L22=0,M22=0,N22=0,O22=0),"AUTHORIZED / NOT ISSUED","INVALID")</x:f>
        <x:v>AUTHORIZED / NOT ISSUED</x:v>
      </x:c>
      <x:c r="Q22" s="74" t="str">
        <x:f>IF(M22=0,"UNSELECTED","INVALID")</x:f>
        <x:v>UNSELECTED</x:v>
      </x:c>
      <x:c r="R22" s="83" t="n">
        <x:f>COUNTIFS($A$5:$A$22,A22)</x:f>
        <x:v>1</x:v>
      </x:c>
      <x:c r="S22" s="83" t="n">
        <x:f>COUNTIFS($B$5:$B$22,B22)</x:f>
        <x:v>3</x:v>
      </x:c>
    </x:row>
  </x:sheetData>
  <x:mergeCells>
    <x:mergeCell ref="A2:S2"/>
  </x:mergeCells>
  <x:conditionalFormatting sqref="P5:Q22">
    <x:cfRule type="containsText" dxfId="1" priority="1" operator="containsText" text="INVALID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0" hidden="0" customWidth="1"/>
    <x:col min="4" max="4" width="18" hidden="0" customWidth="1"/>
    <x:col min="5" max="5" width="48" hidden="0" customWidth="1"/>
    <x:col min="6" max="6" width="22" hidden="0" customWidth="1"/>
    <x:col min="7" max="7" width="66" hidden="0" customWidth="1"/>
    <x:col min="8" max="8" width="18" hidden="0" customWidth="1"/>
    <x:col min="9" max="9" width="15" hidden="0" customWidth="1"/>
    <x:col min="10" max="10" width="20" hidden="0" customWidth="1"/>
    <x:col min="11" max="11" width="16" hidden="0" customWidth="1"/>
    <x:col min="12" max="12" width="28" hidden="0" customWidth="1"/>
    <x:col min="13" max="13" width="20" hidden="0" customWidth="1"/>
    <x:col min="14" max="14" width="24" hidden="0" customWidth="1"/>
    <x:col min="15" max="15" width="52" hidden="0" customWidth="1"/>
  </x:cols>
  <x:sheetData>
    <x:row r="2">
      <x:c r="A2" s="64" t="str">
        <x:v>Ninety FRAME work packages</x:v>
      </x:c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  <x:c r="O2" s="65"/>
    </x:row>
    <x:row r="3">
      <x:c r="A3" s="66"/>
      <x:c r="B3" s="66"/>
      <x:c r="C3" s="66"/>
      <x:c r="D3" s="66"/>
      <x:c r="E3" s="66"/>
      <x:c r="F3" s="66"/>
      <x:c r="G3" s="66"/>
      <x:c r="H3" s="66"/>
      <x:c r="I3" s="66"/>
      <x:c r="J3" s="66"/>
      <x:c r="K3" s="66"/>
      <x:c r="L3" s="66"/>
      <x:c r="M3" s="66"/>
      <x:c r="N3" s="66"/>
      <x:c r="O3" s="66"/>
    </x:row>
    <x:row r="4" ht="32" customHeight="1">
      <x:c r="A4" s="14" t="str">
        <x:v>Package</x:v>
      </x:c>
      <x:c r="B4" s="15" t="str">
        <x:v>Form</x:v>
      </x:c>
      <x:c r="C4" s="15" t="str">
        <x:v>Root</x:v>
      </x:c>
      <x:c r="D4" s="15" t="str">
        <x:v>Package code</x:v>
      </x:c>
      <x:c r="E4" s="15" t="str">
        <x:v>Work package</x:v>
      </x:c>
      <x:c r="F4" s="15" t="str">
        <x:v>Share of form ceiling</x:v>
      </x:c>
      <x:c r="G4" s="15" t="str">
        <x:v>Required deliverable</x:v>
      </x:c>
      <x:c r="H4" s="15" t="str">
        <x:v>Ceiling USD B</x:v>
      </x:c>
      <x:c r="I4" s="15" t="str">
        <x:v>Authorized</x:v>
      </x:c>
      <x:c r="J4" s="15" t="str">
        <x:v>Obligated USD B</x:v>
      </x:c>
      <x:c r="K4" s="15" t="str">
        <x:v>Paid USD B</x:v>
      </x:c>
      <x:c r="L4" s="15" t="str">
        <x:v>Package state</x:v>
      </x:c>
      <x:c r="M4" s="15" t="str">
        <x:v>Packages per form</x:v>
      </x:c>
      <x:c r="N4" s="15" t="str">
        <x:v>Share total per form</x:v>
      </x:c>
      <x:c r="O4" s="16" t="str">
        <x:v>Authority limit</x:v>
      </x:c>
    </x:row>
    <x:row r="5">
      <x:c r="A5" s="67" t="str">
        <x:v>W001</x:v>
      </x:c>
      <x:c r="B5" s="67" t="str">
        <x:v>ET-A-A</x:v>
      </x:c>
      <x:c r="C5" s="67" t="str">
        <x:v>ET-A</x:v>
      </x:c>
      <x:c r="D5" s="67" t="str">
        <x:v>METHOD</x:v>
      </x:c>
      <x:c r="E5" s="67" t="str">
        <x:v>Event method and frozen denominator</x:v>
      </x:c>
      <x:c r="F5" s="81" t="n">
        <x:v>0.2</x:v>
      </x:c>
      <x:c r="G5" s="67" t="str">
        <x:v>Complete the destructive-event method, denominator, stopping rule and repeat rule.</x:v>
      </x:c>
      <x:c r="H5" s="70" t="n">
        <x:f>F5*INDEX('Form Options'!$F$5:$F$22,MATCH(B5,'Form Options'!$A$5:$A$22,0))</x:f>
        <x:v>0.0050047461808185</x:v>
      </x:c>
      <x:c r="I5" s="68" t="n">
        <x:v>1</x:v>
      </x:c>
      <x:c r="J5" s="70" t="n">
        <x:v>0</x:v>
      </x:c>
      <x:c r="K5" s="70" t="n">
        <x:v>0</x:v>
      </x:c>
      <x:c r="L5" s="67" t="str">
        <x:f>IF(AND(I5=1,J5=0,K5=0),"AUTHORIZED / NOT ISSUED","INVALID")</x:f>
        <x:v>AUTHORIZED / NOT ISSUED</x:v>
      </x:c>
      <x:c r="M5" s="68" t="n">
        <x:f>COUNTIFS($B$5:$B$94,B5)</x:f>
        <x:v>5</x:v>
      </x:c>
      <x:c r="N5" s="81" t="n">
        <x:f>SUMIFS($F$5:$F$94,$B$5:$B$94,B5)</x:f>
        <x:v>1</x:v>
      </x:c>
      <x:c r="O5" s="67" t="str">
        <x:v>FRAME design only; MAKE and evidence remain held.</x:v>
      </x:c>
    </x:row>
    <x:row r="6">
      <x:c r="A6" s="71" t="str">
        <x:v>W002</x:v>
      </x:c>
      <x:c r="B6" s="71" t="str">
        <x:v>ET-A-A</x:v>
      </x:c>
      <x:c r="C6" s="71" t="str">
        <x:v>ET-A</x:v>
      </x:c>
      <x:c r="D6" s="71" t="str">
        <x:v>MEASURE</x:v>
      </x:c>
      <x:c r="E6" s="71" t="str">
        <x:v>Instrumentation, custody and validity</x:v>
      </x:c>
      <x:c r="F6" s="82" t="n">
        <x:v>0.25</x:v>
      </x:c>
      <x:c r="G6" s="71" t="str">
        <x:v>Design independent sensing, calibration, missingness, ancestry and validity records.</x:v>
      </x:c>
      <x:c r="H6" s="73" t="n">
        <x:f>F6*INDEX('Form Options'!$F$5:$F$22,MATCH(B6,'Form Options'!$A$5:$A$22,0))</x:f>
        <x:v>0.006255932726023125</x:v>
      </x:c>
      <x:c r="I6" s="72" t="n">
        <x:v>1</x:v>
      </x:c>
      <x:c r="J6" s="73" t="n">
        <x:v>0</x:v>
      </x:c>
      <x:c r="K6" s="73" t="n">
        <x:v>0</x:v>
      </x:c>
      <x:c r="L6" s="71" t="str">
        <x:f>IF(AND(I6=1,J6=0,K6=0),"AUTHORIZED / NOT ISSUED","INVALID")</x:f>
        <x:v>AUTHORIZED / NOT ISSUED</x:v>
      </x:c>
      <x:c r="M6" s="72" t="n">
        <x:f>COUNTIFS($B$5:$B$94,B6)</x:f>
        <x:v>5</x:v>
      </x:c>
      <x:c r="N6" s="82" t="n">
        <x:f>SUMIFS($F$5:$F$94,$B$5:$B$94,B6)</x:f>
        <x:v>1</x:v>
      </x:c>
      <x:c r="O6" s="71" t="str">
        <x:v>FRAME design only; MAKE and evidence remain held.</x:v>
      </x:c>
    </x:row>
    <x:row r="7">
      <x:c r="A7" s="71" t="str">
        <x:v>W003</x:v>
      </x:c>
      <x:c r="B7" s="71" t="str">
        <x:v>ET-A-A</x:v>
      </x:c>
      <x:c r="C7" s="71" t="str">
        <x:v>ET-A</x:v>
      </x:c>
      <x:c r="D7" s="71" t="str">
        <x:v>CIVIL</x:v>
      </x:c>
      <x:c r="E7" s="71" t="str">
        <x:v>Rights, receiver and residual closure</x:v>
      </x:c>
      <x:c r="F7" s="82" t="n">
        <x:v>0.15</x:v>
      </x:c>
      <x:c r="G7" s="71" t="str">
        <x:v>Resolve lawful access, receiver acceptance, residual custody and protected-state intervention.</x:v>
      </x:c>
      <x:c r="H7" s="73" t="n">
        <x:f>F7*INDEX('Form Options'!$F$5:$F$22,MATCH(B7,'Form Options'!$A$5:$A$22,0))</x:f>
        <x:v>0.003753559635613875</x:v>
      </x:c>
      <x:c r="I7" s="72" t="n">
        <x:v>1</x:v>
      </x:c>
      <x:c r="J7" s="73" t="n">
        <x:v>0</x:v>
      </x:c>
      <x:c r="K7" s="73" t="n">
        <x:v>0</x:v>
      </x:c>
      <x:c r="L7" s="71" t="str">
        <x:f>IF(AND(I7=1,J7=0,K7=0),"AUTHORIZED / NOT ISSUED","INVALID")</x:f>
        <x:v>AUTHORIZED / NOT ISSUED</x:v>
      </x:c>
      <x:c r="M7" s="72" t="n">
        <x:f>COUNTIFS($B$5:$B$94,B7)</x:f>
        <x:v>5</x:v>
      </x:c>
      <x:c r="N7" s="82" t="n">
        <x:f>SUMIFS($F$5:$F$94,$B$5:$B$94,B7)</x:f>
        <x:v>1</x:v>
      </x:c>
      <x:c r="O7" s="71" t="str">
        <x:v>FRAME design only; MAKE and evidence remain held.</x:v>
      </x:c>
    </x:row>
    <x:row r="8">
      <x:c r="A8" s="71" t="str">
        <x:v>W004</x:v>
      </x:c>
      <x:c r="B8" s="71" t="str">
        <x:v>ET-A-A</x:v>
      </x:c>
      <x:c r="C8" s="71" t="str">
        <x:v>ET-A</x:v>
      </x:c>
      <x:c r="D8" s="71" t="str">
        <x:v>ARTICLE</x:v>
      </x:c>
      <x:c r="E8" s="71" t="str">
        <x:v>Destructive-article engineering</x:v>
      </x:c>
      <x:c r="F8" s="82" t="n">
        <x:v>0.25</x:v>
      </x:c>
      <x:c r="G8" s="71" t="str">
        <x:v>Complete root-native interfaces, loads, isolation, safe state and sacrificial article definition.</x:v>
      </x:c>
      <x:c r="H8" s="73" t="n">
        <x:f>F8*INDEX('Form Options'!$F$5:$F$22,MATCH(B8,'Form Options'!$A$5:$A$22,0))</x:f>
        <x:v>0.006255932726023125</x:v>
      </x:c>
      <x:c r="I8" s="72" t="n">
        <x:v>1</x:v>
      </x:c>
      <x:c r="J8" s="73" t="n">
        <x:v>0</x:v>
      </x:c>
      <x:c r="K8" s="73" t="n">
        <x:v>0</x:v>
      </x:c>
      <x:c r="L8" s="71" t="str">
        <x:f>IF(AND(I8=1,J8=0,K8=0),"AUTHORIZED / NOT ISSUED","INVALID")</x:f>
        <x:v>AUTHORIZED / NOT ISSUED</x:v>
      </x:c>
      <x:c r="M8" s="72" t="n">
        <x:f>COUNTIFS($B$5:$B$94,B8)</x:f>
        <x:v>5</x:v>
      </x:c>
      <x:c r="N8" s="82" t="n">
        <x:f>SUMIFS($F$5:$F$94,$B$5:$B$94,B8)</x:f>
        <x:v>1</x:v>
      </x:c>
      <x:c r="O8" s="71" t="str">
        <x:v>FRAME design only; MAKE and evidence remain held.</x:v>
      </x:c>
    </x:row>
    <x:row r="9">
      <x:c r="A9" s="71" t="str">
        <x:v>W005</x:v>
      </x:c>
      <x:c r="B9" s="71" t="str">
        <x:v>ET-A-A</x:v>
      </x:c>
      <x:c r="C9" s="71" t="str">
        <x:v>ET-A</x:v>
      </x:c>
      <x:c r="D9" s="71" t="str">
        <x:v>REBUILD</x:v>
      </x:c>
      <x:c r="E9" s="71" t="str">
        <x:v>Cold reconstruction and challenge</x:v>
      </x:c>
      <x:c r="F9" s="82" t="n">
        <x:v>0.15</x:v>
      </x:c>
      <x:c r="G9" s="71" t="str">
        <x:v>Freeze public build records, held inventory, clean-team method and independent challenge.</x:v>
      </x:c>
      <x:c r="H9" s="73" t="n">
        <x:f>F9*INDEX('Form Options'!$F$5:$F$22,MATCH(B9,'Form Options'!$A$5:$A$22,0))</x:f>
        <x:v>0.003753559635613875</x:v>
      </x:c>
      <x:c r="I9" s="72" t="n">
        <x:v>1</x:v>
      </x:c>
      <x:c r="J9" s="73" t="n">
        <x:v>0</x:v>
      </x:c>
      <x:c r="K9" s="73" t="n">
        <x:v>0</x:v>
      </x:c>
      <x:c r="L9" s="71" t="str">
        <x:f>IF(AND(I9=1,J9=0,K9=0),"AUTHORIZED / NOT ISSUED","INVALID")</x:f>
        <x:v>AUTHORIZED / NOT ISSUED</x:v>
      </x:c>
      <x:c r="M9" s="72" t="n">
        <x:f>COUNTIFS($B$5:$B$94,B9)</x:f>
        <x:v>5</x:v>
      </x:c>
      <x:c r="N9" s="82" t="n">
        <x:f>SUMIFS($F$5:$F$94,$B$5:$B$94,B9)</x:f>
        <x:v>1</x:v>
      </x:c>
      <x:c r="O9" s="71" t="str">
        <x:v>FRAME design only; MAKE and evidence remain held.</x:v>
      </x:c>
    </x:row>
    <x:row r="10">
      <x:c r="A10" s="71" t="str">
        <x:v>W006</x:v>
      </x:c>
      <x:c r="B10" s="71" t="str">
        <x:v>ET-A-B</x:v>
      </x:c>
      <x:c r="C10" s="71" t="str">
        <x:v>ET-A</x:v>
      </x:c>
      <x:c r="D10" s="71" t="str">
        <x:v>METHOD</x:v>
      </x:c>
      <x:c r="E10" s="71" t="str">
        <x:v>Event method and frozen denominator</x:v>
      </x:c>
      <x:c r="F10" s="82" t="n">
        <x:v>0.2</x:v>
      </x:c>
      <x:c r="G10" s="71" t="str">
        <x:v>Complete the destructive-event method, denominator, stopping rule and repeat rule.</x:v>
      </x:c>
      <x:c r="H10" s="73" t="n">
        <x:f>F10*INDEX('Form Options'!$F$5:$F$22,MATCH(B10,'Form Options'!$A$5:$A$22,0))</x:f>
        <x:v>0.0050047461808185</x:v>
      </x:c>
      <x:c r="I10" s="72" t="n">
        <x:v>1</x:v>
      </x:c>
      <x:c r="J10" s="73" t="n">
        <x:v>0</x:v>
      </x:c>
      <x:c r="K10" s="73" t="n">
        <x:v>0</x:v>
      </x:c>
      <x:c r="L10" s="71" t="str">
        <x:f>IF(AND(I10=1,J10=0,K10=0),"AUTHORIZED / NOT ISSUED","INVALID")</x:f>
        <x:v>AUTHORIZED / NOT ISSUED</x:v>
      </x:c>
      <x:c r="M10" s="72" t="n">
        <x:f>COUNTIFS($B$5:$B$94,B10)</x:f>
        <x:v>5</x:v>
      </x:c>
      <x:c r="N10" s="82" t="n">
        <x:f>SUMIFS($F$5:$F$94,$B$5:$B$94,B10)</x:f>
        <x:v>1</x:v>
      </x:c>
      <x:c r="O10" s="71" t="str">
        <x:v>FRAME design only; MAKE and evidence remain held.</x:v>
      </x:c>
    </x:row>
    <x:row r="11">
      <x:c r="A11" s="71" t="str">
        <x:v>W007</x:v>
      </x:c>
      <x:c r="B11" s="71" t="str">
        <x:v>ET-A-B</x:v>
      </x:c>
      <x:c r="C11" s="71" t="str">
        <x:v>ET-A</x:v>
      </x:c>
      <x:c r="D11" s="71" t="str">
        <x:v>MEASURE</x:v>
      </x:c>
      <x:c r="E11" s="71" t="str">
        <x:v>Instrumentation, custody and validity</x:v>
      </x:c>
      <x:c r="F11" s="82" t="n">
        <x:v>0.25</x:v>
      </x:c>
      <x:c r="G11" s="71" t="str">
        <x:v>Design independent sensing, calibration, missingness, ancestry and validity records.</x:v>
      </x:c>
      <x:c r="H11" s="73" t="n">
        <x:f>F11*INDEX('Form Options'!$F$5:$F$22,MATCH(B11,'Form Options'!$A$5:$A$22,0))</x:f>
        <x:v>0.006255932726023125</x:v>
      </x:c>
      <x:c r="I11" s="72" t="n">
        <x:v>1</x:v>
      </x:c>
      <x:c r="J11" s="73" t="n">
        <x:v>0</x:v>
      </x:c>
      <x:c r="K11" s="73" t="n">
        <x:v>0</x:v>
      </x:c>
      <x:c r="L11" s="71" t="str">
        <x:f>IF(AND(I11=1,J11=0,K11=0),"AUTHORIZED / NOT ISSUED","INVALID")</x:f>
        <x:v>AUTHORIZED / NOT ISSUED</x:v>
      </x:c>
      <x:c r="M11" s="72" t="n">
        <x:f>COUNTIFS($B$5:$B$94,B11)</x:f>
        <x:v>5</x:v>
      </x:c>
      <x:c r="N11" s="82" t="n">
        <x:f>SUMIFS($F$5:$F$94,$B$5:$B$94,B11)</x:f>
        <x:v>1</x:v>
      </x:c>
      <x:c r="O11" s="71" t="str">
        <x:v>FRAME design only; MAKE and evidence remain held.</x:v>
      </x:c>
    </x:row>
    <x:row r="12">
      <x:c r="A12" s="71" t="str">
        <x:v>W008</x:v>
      </x:c>
      <x:c r="B12" s="71" t="str">
        <x:v>ET-A-B</x:v>
      </x:c>
      <x:c r="C12" s="71" t="str">
        <x:v>ET-A</x:v>
      </x:c>
      <x:c r="D12" s="71" t="str">
        <x:v>CIVIL</x:v>
      </x:c>
      <x:c r="E12" s="71" t="str">
        <x:v>Rights, receiver and residual closure</x:v>
      </x:c>
      <x:c r="F12" s="82" t="n">
        <x:v>0.15</x:v>
      </x:c>
      <x:c r="G12" s="71" t="str">
        <x:v>Resolve lawful access, receiver acceptance, residual custody and protected-state intervention.</x:v>
      </x:c>
      <x:c r="H12" s="73" t="n">
        <x:f>F12*INDEX('Form Options'!$F$5:$F$22,MATCH(B12,'Form Options'!$A$5:$A$22,0))</x:f>
        <x:v>0.003753559635613875</x:v>
      </x:c>
      <x:c r="I12" s="72" t="n">
        <x:v>1</x:v>
      </x:c>
      <x:c r="J12" s="73" t="n">
        <x:v>0</x:v>
      </x:c>
      <x:c r="K12" s="73" t="n">
        <x:v>0</x:v>
      </x:c>
      <x:c r="L12" s="71" t="str">
        <x:f>IF(AND(I12=1,J12=0,K12=0),"AUTHORIZED / NOT ISSUED","INVALID")</x:f>
        <x:v>AUTHORIZED / NOT ISSUED</x:v>
      </x:c>
      <x:c r="M12" s="72" t="n">
        <x:f>COUNTIFS($B$5:$B$94,B12)</x:f>
        <x:v>5</x:v>
      </x:c>
      <x:c r="N12" s="82" t="n">
        <x:f>SUMIFS($F$5:$F$94,$B$5:$B$94,B12)</x:f>
        <x:v>1</x:v>
      </x:c>
      <x:c r="O12" s="71" t="str">
        <x:v>FRAME design only; MAKE and evidence remain held.</x:v>
      </x:c>
    </x:row>
    <x:row r="13">
      <x:c r="A13" s="71" t="str">
        <x:v>W009</x:v>
      </x:c>
      <x:c r="B13" s="71" t="str">
        <x:v>ET-A-B</x:v>
      </x:c>
      <x:c r="C13" s="71" t="str">
        <x:v>ET-A</x:v>
      </x:c>
      <x:c r="D13" s="71" t="str">
        <x:v>ARTICLE</x:v>
      </x:c>
      <x:c r="E13" s="71" t="str">
        <x:v>Destructive-article engineering</x:v>
      </x:c>
      <x:c r="F13" s="82" t="n">
        <x:v>0.25</x:v>
      </x:c>
      <x:c r="G13" s="71" t="str">
        <x:v>Complete root-native interfaces, loads, isolation, safe state and sacrificial article definition.</x:v>
      </x:c>
      <x:c r="H13" s="73" t="n">
        <x:f>F13*INDEX('Form Options'!$F$5:$F$22,MATCH(B13,'Form Options'!$A$5:$A$22,0))</x:f>
        <x:v>0.006255932726023125</x:v>
      </x:c>
      <x:c r="I13" s="72" t="n">
        <x:v>1</x:v>
      </x:c>
      <x:c r="J13" s="73" t="n">
        <x:v>0</x:v>
      </x:c>
      <x:c r="K13" s="73" t="n">
        <x:v>0</x:v>
      </x:c>
      <x:c r="L13" s="71" t="str">
        <x:f>IF(AND(I13=1,J13=0,K13=0),"AUTHORIZED / NOT ISSUED","INVALID")</x:f>
        <x:v>AUTHORIZED / NOT ISSUED</x:v>
      </x:c>
      <x:c r="M13" s="72" t="n">
        <x:f>COUNTIFS($B$5:$B$94,B13)</x:f>
        <x:v>5</x:v>
      </x:c>
      <x:c r="N13" s="82" t="n">
        <x:f>SUMIFS($F$5:$F$94,$B$5:$B$94,B13)</x:f>
        <x:v>1</x:v>
      </x:c>
      <x:c r="O13" s="71" t="str">
        <x:v>FRAME design only; MAKE and evidence remain held.</x:v>
      </x:c>
    </x:row>
    <x:row r="14">
      <x:c r="A14" s="71" t="str">
        <x:v>W010</x:v>
      </x:c>
      <x:c r="B14" s="71" t="str">
        <x:v>ET-A-B</x:v>
      </x:c>
      <x:c r="C14" s="71" t="str">
        <x:v>ET-A</x:v>
      </x:c>
      <x:c r="D14" s="71" t="str">
        <x:v>REBUILD</x:v>
      </x:c>
      <x:c r="E14" s="71" t="str">
        <x:v>Cold reconstruction and challenge</x:v>
      </x:c>
      <x:c r="F14" s="82" t="n">
        <x:v>0.15</x:v>
      </x:c>
      <x:c r="G14" s="71" t="str">
        <x:v>Freeze public build records, held inventory, clean-team method and independent challenge.</x:v>
      </x:c>
      <x:c r="H14" s="73" t="n">
        <x:f>F14*INDEX('Form Options'!$F$5:$F$22,MATCH(B14,'Form Options'!$A$5:$A$22,0))</x:f>
        <x:v>0.003753559635613875</x:v>
      </x:c>
      <x:c r="I14" s="72" t="n">
        <x:v>1</x:v>
      </x:c>
      <x:c r="J14" s="73" t="n">
        <x:v>0</x:v>
      </x:c>
      <x:c r="K14" s="73" t="n">
        <x:v>0</x:v>
      </x:c>
      <x:c r="L14" s="71" t="str">
        <x:f>IF(AND(I14=1,J14=0,K14=0),"AUTHORIZED / NOT ISSUED","INVALID")</x:f>
        <x:v>AUTHORIZED / NOT ISSUED</x:v>
      </x:c>
      <x:c r="M14" s="72" t="n">
        <x:f>COUNTIFS($B$5:$B$94,B14)</x:f>
        <x:v>5</x:v>
      </x:c>
      <x:c r="N14" s="82" t="n">
        <x:f>SUMIFS($F$5:$F$94,$B$5:$B$94,B14)</x:f>
        <x:v>1</x:v>
      </x:c>
      <x:c r="O14" s="71" t="str">
        <x:v>FRAME design only; MAKE and evidence remain held.</x:v>
      </x:c>
    </x:row>
    <x:row r="15">
      <x:c r="A15" s="71" t="str">
        <x:v>W011</x:v>
      </x:c>
      <x:c r="B15" s="71" t="str">
        <x:v>ET-A-C</x:v>
      </x:c>
      <x:c r="C15" s="71" t="str">
        <x:v>ET-A</x:v>
      </x:c>
      <x:c r="D15" s="71" t="str">
        <x:v>METHOD</x:v>
      </x:c>
      <x:c r="E15" s="71" t="str">
        <x:v>Event method and frozen denominator</x:v>
      </x:c>
      <x:c r="F15" s="82" t="n">
        <x:v>0.2</x:v>
      </x:c>
      <x:c r="G15" s="71" t="str">
        <x:v>Complete the destructive-event method, denominator, stopping rule and repeat rule.</x:v>
      </x:c>
      <x:c r="H15" s="73" t="n">
        <x:f>F15*INDEX('Form Options'!$F$5:$F$22,MATCH(B15,'Form Options'!$A$5:$A$22,0))</x:f>
        <x:v>0.0050047461808185</x:v>
      </x:c>
      <x:c r="I15" s="72" t="n">
        <x:v>1</x:v>
      </x:c>
      <x:c r="J15" s="73" t="n">
        <x:v>0</x:v>
      </x:c>
      <x:c r="K15" s="73" t="n">
        <x:v>0</x:v>
      </x:c>
      <x:c r="L15" s="71" t="str">
        <x:f>IF(AND(I15=1,J15=0,K15=0),"AUTHORIZED / NOT ISSUED","INVALID")</x:f>
        <x:v>AUTHORIZED / NOT ISSUED</x:v>
      </x:c>
      <x:c r="M15" s="72" t="n">
        <x:f>COUNTIFS($B$5:$B$94,B15)</x:f>
        <x:v>5</x:v>
      </x:c>
      <x:c r="N15" s="82" t="n">
        <x:f>SUMIFS($F$5:$F$94,$B$5:$B$94,B15)</x:f>
        <x:v>1</x:v>
      </x:c>
      <x:c r="O15" s="71" t="str">
        <x:v>FRAME design only; MAKE and evidence remain held.</x:v>
      </x:c>
    </x:row>
    <x:row r="16">
      <x:c r="A16" s="71" t="str">
        <x:v>W012</x:v>
      </x:c>
      <x:c r="B16" s="71" t="str">
        <x:v>ET-A-C</x:v>
      </x:c>
      <x:c r="C16" s="71" t="str">
        <x:v>ET-A</x:v>
      </x:c>
      <x:c r="D16" s="71" t="str">
        <x:v>MEASURE</x:v>
      </x:c>
      <x:c r="E16" s="71" t="str">
        <x:v>Instrumentation, custody and validity</x:v>
      </x:c>
      <x:c r="F16" s="82" t="n">
        <x:v>0.25</x:v>
      </x:c>
      <x:c r="G16" s="71" t="str">
        <x:v>Design independent sensing, calibration, missingness, ancestry and validity records.</x:v>
      </x:c>
      <x:c r="H16" s="73" t="n">
        <x:f>F16*INDEX('Form Options'!$F$5:$F$22,MATCH(B16,'Form Options'!$A$5:$A$22,0))</x:f>
        <x:v>0.006255932726023125</x:v>
      </x:c>
      <x:c r="I16" s="72" t="n">
        <x:v>1</x:v>
      </x:c>
      <x:c r="J16" s="73" t="n">
        <x:v>0</x:v>
      </x:c>
      <x:c r="K16" s="73" t="n">
        <x:v>0</x:v>
      </x:c>
      <x:c r="L16" s="71" t="str">
        <x:f>IF(AND(I16=1,J16=0,K16=0),"AUTHORIZED / NOT ISSUED","INVALID")</x:f>
        <x:v>AUTHORIZED / NOT ISSUED</x:v>
      </x:c>
      <x:c r="M16" s="72" t="n">
        <x:f>COUNTIFS($B$5:$B$94,B16)</x:f>
        <x:v>5</x:v>
      </x:c>
      <x:c r="N16" s="82" t="n">
        <x:f>SUMIFS($F$5:$F$94,$B$5:$B$94,B16)</x:f>
        <x:v>1</x:v>
      </x:c>
      <x:c r="O16" s="71" t="str">
        <x:v>FRAME design only; MAKE and evidence remain held.</x:v>
      </x:c>
    </x:row>
    <x:row r="17">
      <x:c r="A17" s="71" t="str">
        <x:v>W013</x:v>
      </x:c>
      <x:c r="B17" s="71" t="str">
        <x:v>ET-A-C</x:v>
      </x:c>
      <x:c r="C17" s="71" t="str">
        <x:v>ET-A</x:v>
      </x:c>
      <x:c r="D17" s="71" t="str">
        <x:v>CIVIL</x:v>
      </x:c>
      <x:c r="E17" s="71" t="str">
        <x:v>Rights, receiver and residual closure</x:v>
      </x:c>
      <x:c r="F17" s="82" t="n">
        <x:v>0.15</x:v>
      </x:c>
      <x:c r="G17" s="71" t="str">
        <x:v>Resolve lawful access, receiver acceptance, residual custody and protected-state intervention.</x:v>
      </x:c>
      <x:c r="H17" s="73" t="n">
        <x:f>F17*INDEX('Form Options'!$F$5:$F$22,MATCH(B17,'Form Options'!$A$5:$A$22,0))</x:f>
        <x:v>0.003753559635613875</x:v>
      </x:c>
      <x:c r="I17" s="72" t="n">
        <x:v>1</x:v>
      </x:c>
      <x:c r="J17" s="73" t="n">
        <x:v>0</x:v>
      </x:c>
      <x:c r="K17" s="73" t="n">
        <x:v>0</x:v>
      </x:c>
      <x:c r="L17" s="71" t="str">
        <x:f>IF(AND(I17=1,J17=0,K17=0),"AUTHORIZED / NOT ISSUED","INVALID")</x:f>
        <x:v>AUTHORIZED / NOT ISSUED</x:v>
      </x:c>
      <x:c r="M17" s="72" t="n">
        <x:f>COUNTIFS($B$5:$B$94,B17)</x:f>
        <x:v>5</x:v>
      </x:c>
      <x:c r="N17" s="82" t="n">
        <x:f>SUMIFS($F$5:$F$94,$B$5:$B$94,B17)</x:f>
        <x:v>1</x:v>
      </x:c>
      <x:c r="O17" s="71" t="str">
        <x:v>FRAME design only; MAKE and evidence remain held.</x:v>
      </x:c>
    </x:row>
    <x:row r="18">
      <x:c r="A18" s="71" t="str">
        <x:v>W014</x:v>
      </x:c>
      <x:c r="B18" s="71" t="str">
        <x:v>ET-A-C</x:v>
      </x:c>
      <x:c r="C18" s="71" t="str">
        <x:v>ET-A</x:v>
      </x:c>
      <x:c r="D18" s="71" t="str">
        <x:v>ARTICLE</x:v>
      </x:c>
      <x:c r="E18" s="71" t="str">
        <x:v>Destructive-article engineering</x:v>
      </x:c>
      <x:c r="F18" s="82" t="n">
        <x:v>0.25</x:v>
      </x:c>
      <x:c r="G18" s="71" t="str">
        <x:v>Complete root-native interfaces, loads, isolation, safe state and sacrificial article definition.</x:v>
      </x:c>
      <x:c r="H18" s="73" t="n">
        <x:f>F18*INDEX('Form Options'!$F$5:$F$22,MATCH(B18,'Form Options'!$A$5:$A$22,0))</x:f>
        <x:v>0.006255932726023125</x:v>
      </x:c>
      <x:c r="I18" s="72" t="n">
        <x:v>1</x:v>
      </x:c>
      <x:c r="J18" s="73" t="n">
        <x:v>0</x:v>
      </x:c>
      <x:c r="K18" s="73" t="n">
        <x:v>0</x:v>
      </x:c>
      <x:c r="L18" s="71" t="str">
        <x:f>IF(AND(I18=1,J18=0,K18=0),"AUTHORIZED / NOT ISSUED","INVALID")</x:f>
        <x:v>AUTHORIZED / NOT ISSUED</x:v>
      </x:c>
      <x:c r="M18" s="72" t="n">
        <x:f>COUNTIFS($B$5:$B$94,B18)</x:f>
        <x:v>5</x:v>
      </x:c>
      <x:c r="N18" s="82" t="n">
        <x:f>SUMIFS($F$5:$F$94,$B$5:$B$94,B18)</x:f>
        <x:v>1</x:v>
      </x:c>
      <x:c r="O18" s="71" t="str">
        <x:v>FRAME design only; MAKE and evidence remain held.</x:v>
      </x:c>
    </x:row>
    <x:row r="19">
      <x:c r="A19" s="71" t="str">
        <x:v>W015</x:v>
      </x:c>
      <x:c r="B19" s="71" t="str">
        <x:v>ET-A-C</x:v>
      </x:c>
      <x:c r="C19" s="71" t="str">
        <x:v>ET-A</x:v>
      </x:c>
      <x:c r="D19" s="71" t="str">
        <x:v>REBUILD</x:v>
      </x:c>
      <x:c r="E19" s="71" t="str">
        <x:v>Cold reconstruction and challenge</x:v>
      </x:c>
      <x:c r="F19" s="82" t="n">
        <x:v>0.15</x:v>
      </x:c>
      <x:c r="G19" s="71" t="str">
        <x:v>Freeze public build records, held inventory, clean-team method and independent challenge.</x:v>
      </x:c>
      <x:c r="H19" s="73" t="n">
        <x:f>F19*INDEX('Form Options'!$F$5:$F$22,MATCH(B19,'Form Options'!$A$5:$A$22,0))</x:f>
        <x:v>0.003753559635613875</x:v>
      </x:c>
      <x:c r="I19" s="72" t="n">
        <x:v>1</x:v>
      </x:c>
      <x:c r="J19" s="73" t="n">
        <x:v>0</x:v>
      </x:c>
      <x:c r="K19" s="73" t="n">
        <x:v>0</x:v>
      </x:c>
      <x:c r="L19" s="71" t="str">
        <x:f>IF(AND(I19=1,J19=0,K19=0),"AUTHORIZED / NOT ISSUED","INVALID")</x:f>
        <x:v>AUTHORIZED / NOT ISSUED</x:v>
      </x:c>
      <x:c r="M19" s="72" t="n">
        <x:f>COUNTIFS($B$5:$B$94,B19)</x:f>
        <x:v>5</x:v>
      </x:c>
      <x:c r="N19" s="82" t="n">
        <x:f>SUMIFS($F$5:$F$94,$B$5:$B$94,B19)</x:f>
        <x:v>1</x:v>
      </x:c>
      <x:c r="O19" s="71" t="str">
        <x:v>FRAME design only; MAKE and evidence remain held.</x:v>
      </x:c>
    </x:row>
    <x:row r="20">
      <x:c r="A20" s="71" t="str">
        <x:v>W016</x:v>
      </x:c>
      <x:c r="B20" s="71" t="str">
        <x:v>CT-C-A</x:v>
      </x:c>
      <x:c r="C20" s="71" t="str">
        <x:v>CT-C</x:v>
      </x:c>
      <x:c r="D20" s="71" t="str">
        <x:v>METHOD</x:v>
      </x:c>
      <x:c r="E20" s="71" t="str">
        <x:v>Event method and frozen denominator</x:v>
      </x:c>
      <x:c r="F20" s="82" t="n">
        <x:v>0.2</x:v>
      </x:c>
      <x:c r="G20" s="71" t="str">
        <x:v>Complete the destructive-event method, denominator, stopping rule and repeat rule.</x:v>
      </x:c>
      <x:c r="H20" s="73" t="n">
        <x:f>F20*INDEX('Form Options'!$F$5:$F$22,MATCH(B20,'Form Options'!$A$5:$A$22,0))</x:f>
        <x:v>0.0051649348177396</x:v>
      </x:c>
      <x:c r="I20" s="72" t="n">
        <x:v>1</x:v>
      </x:c>
      <x:c r="J20" s="73" t="n">
        <x:v>0</x:v>
      </x:c>
      <x:c r="K20" s="73" t="n">
        <x:v>0</x:v>
      </x:c>
      <x:c r="L20" s="71" t="str">
        <x:f>IF(AND(I20=1,J20=0,K20=0),"AUTHORIZED / NOT ISSUED","INVALID")</x:f>
        <x:v>AUTHORIZED / NOT ISSUED</x:v>
      </x:c>
      <x:c r="M20" s="72" t="n">
        <x:f>COUNTIFS($B$5:$B$94,B20)</x:f>
        <x:v>5</x:v>
      </x:c>
      <x:c r="N20" s="82" t="n">
        <x:f>SUMIFS($F$5:$F$94,$B$5:$B$94,B20)</x:f>
        <x:v>1</x:v>
      </x:c>
      <x:c r="O20" s="71" t="str">
        <x:v>FRAME design only; MAKE and evidence remain held.</x:v>
      </x:c>
    </x:row>
    <x:row r="21">
      <x:c r="A21" s="71" t="str">
        <x:v>W017</x:v>
      </x:c>
      <x:c r="B21" s="71" t="str">
        <x:v>CT-C-A</x:v>
      </x:c>
      <x:c r="C21" s="71" t="str">
        <x:v>CT-C</x:v>
      </x:c>
      <x:c r="D21" s="71" t="str">
        <x:v>MEASURE</x:v>
      </x:c>
      <x:c r="E21" s="71" t="str">
        <x:v>Instrumentation, custody and validity</x:v>
      </x:c>
      <x:c r="F21" s="82" t="n">
        <x:v>0.25</x:v>
      </x:c>
      <x:c r="G21" s="71" t="str">
        <x:v>Design independent sensing, calibration, missingness, ancestry and validity records.</x:v>
      </x:c>
      <x:c r="H21" s="73" t="n">
        <x:f>F21*INDEX('Form Options'!$F$5:$F$22,MATCH(B21,'Form Options'!$A$5:$A$22,0))</x:f>
        <x:v>0.0064561685221745</x:v>
      </x:c>
      <x:c r="I21" s="72" t="n">
        <x:v>1</x:v>
      </x:c>
      <x:c r="J21" s="73" t="n">
        <x:v>0</x:v>
      </x:c>
      <x:c r="K21" s="73" t="n">
        <x:v>0</x:v>
      </x:c>
      <x:c r="L21" s="71" t="str">
        <x:f>IF(AND(I21=1,J21=0,K21=0),"AUTHORIZED / NOT ISSUED","INVALID")</x:f>
        <x:v>AUTHORIZED / NOT ISSUED</x:v>
      </x:c>
      <x:c r="M21" s="72" t="n">
        <x:f>COUNTIFS($B$5:$B$94,B21)</x:f>
        <x:v>5</x:v>
      </x:c>
      <x:c r="N21" s="82" t="n">
        <x:f>SUMIFS($F$5:$F$94,$B$5:$B$94,B21)</x:f>
        <x:v>1</x:v>
      </x:c>
      <x:c r="O21" s="71" t="str">
        <x:v>FRAME design only; MAKE and evidence remain held.</x:v>
      </x:c>
    </x:row>
    <x:row r="22">
      <x:c r="A22" s="71" t="str">
        <x:v>W018</x:v>
      </x:c>
      <x:c r="B22" s="71" t="str">
        <x:v>CT-C-A</x:v>
      </x:c>
      <x:c r="C22" s="71" t="str">
        <x:v>CT-C</x:v>
      </x:c>
      <x:c r="D22" s="71" t="str">
        <x:v>CIVIL</x:v>
      </x:c>
      <x:c r="E22" s="71" t="str">
        <x:v>Rights, receiver and residual closure</x:v>
      </x:c>
      <x:c r="F22" s="82" t="n">
        <x:v>0.15</x:v>
      </x:c>
      <x:c r="G22" s="71" t="str">
        <x:v>Resolve lawful access, receiver acceptance, residual custody and protected-state intervention.</x:v>
      </x:c>
      <x:c r="H22" s="73" t="n">
        <x:f>F22*INDEX('Form Options'!$F$5:$F$22,MATCH(B22,'Form Options'!$A$5:$A$22,0))</x:f>
        <x:v>0.0038737011133046996</x:v>
      </x:c>
      <x:c r="I22" s="72" t="n">
        <x:v>1</x:v>
      </x:c>
      <x:c r="J22" s="73" t="n">
        <x:v>0</x:v>
      </x:c>
      <x:c r="K22" s="73" t="n">
        <x:v>0</x:v>
      </x:c>
      <x:c r="L22" s="71" t="str">
        <x:f>IF(AND(I22=1,J22=0,K22=0),"AUTHORIZED / NOT ISSUED","INVALID")</x:f>
        <x:v>AUTHORIZED / NOT ISSUED</x:v>
      </x:c>
      <x:c r="M22" s="72" t="n">
        <x:f>COUNTIFS($B$5:$B$94,B22)</x:f>
        <x:v>5</x:v>
      </x:c>
      <x:c r="N22" s="82" t="n">
        <x:f>SUMIFS($F$5:$F$94,$B$5:$B$94,B22)</x:f>
        <x:v>1</x:v>
      </x:c>
      <x:c r="O22" s="71" t="str">
        <x:v>FRAME design only; MAKE and evidence remain held.</x:v>
      </x:c>
    </x:row>
    <x:row r="23">
      <x:c r="A23" s="71" t="str">
        <x:v>W019</x:v>
      </x:c>
      <x:c r="B23" s="71" t="str">
        <x:v>CT-C-A</x:v>
      </x:c>
      <x:c r="C23" s="71" t="str">
        <x:v>CT-C</x:v>
      </x:c>
      <x:c r="D23" s="71" t="str">
        <x:v>ARTICLE</x:v>
      </x:c>
      <x:c r="E23" s="71" t="str">
        <x:v>Destructive-article engineering</x:v>
      </x:c>
      <x:c r="F23" s="82" t="n">
        <x:v>0.25</x:v>
      </x:c>
      <x:c r="G23" s="71" t="str">
        <x:v>Complete root-native interfaces, loads, isolation, safe state and sacrificial article definition.</x:v>
      </x:c>
      <x:c r="H23" s="73" t="n">
        <x:f>F23*INDEX('Form Options'!$F$5:$F$22,MATCH(B23,'Form Options'!$A$5:$A$22,0))</x:f>
        <x:v>0.0064561685221745</x:v>
      </x:c>
      <x:c r="I23" s="72" t="n">
        <x:v>1</x:v>
      </x:c>
      <x:c r="J23" s="73" t="n">
        <x:v>0</x:v>
      </x:c>
      <x:c r="K23" s="73" t="n">
        <x:v>0</x:v>
      </x:c>
      <x:c r="L23" s="71" t="str">
        <x:f>IF(AND(I23=1,J23=0,K23=0),"AUTHORIZED / NOT ISSUED","INVALID")</x:f>
        <x:v>AUTHORIZED / NOT ISSUED</x:v>
      </x:c>
      <x:c r="M23" s="72" t="n">
        <x:f>COUNTIFS($B$5:$B$94,B23)</x:f>
        <x:v>5</x:v>
      </x:c>
      <x:c r="N23" s="82" t="n">
        <x:f>SUMIFS($F$5:$F$94,$B$5:$B$94,B23)</x:f>
        <x:v>1</x:v>
      </x:c>
      <x:c r="O23" s="71" t="str">
        <x:v>FRAME design only; MAKE and evidence remain held.</x:v>
      </x:c>
    </x:row>
    <x:row r="24">
      <x:c r="A24" s="71" t="str">
        <x:v>W020</x:v>
      </x:c>
      <x:c r="B24" s="71" t="str">
        <x:v>CT-C-A</x:v>
      </x:c>
      <x:c r="C24" s="71" t="str">
        <x:v>CT-C</x:v>
      </x:c>
      <x:c r="D24" s="71" t="str">
        <x:v>REBUILD</x:v>
      </x:c>
      <x:c r="E24" s="71" t="str">
        <x:v>Cold reconstruction and challenge</x:v>
      </x:c>
      <x:c r="F24" s="82" t="n">
        <x:v>0.15</x:v>
      </x:c>
      <x:c r="G24" s="71" t="str">
        <x:v>Freeze public build records, held inventory, clean-team method and independent challenge.</x:v>
      </x:c>
      <x:c r="H24" s="73" t="n">
        <x:f>F24*INDEX('Form Options'!$F$5:$F$22,MATCH(B24,'Form Options'!$A$5:$A$22,0))</x:f>
        <x:v>0.0038737011133046996</x:v>
      </x:c>
      <x:c r="I24" s="72" t="n">
        <x:v>1</x:v>
      </x:c>
      <x:c r="J24" s="73" t="n">
        <x:v>0</x:v>
      </x:c>
      <x:c r="K24" s="73" t="n">
        <x:v>0</x:v>
      </x:c>
      <x:c r="L24" s="71" t="str">
        <x:f>IF(AND(I24=1,J24=0,K24=0),"AUTHORIZED / NOT ISSUED","INVALID")</x:f>
        <x:v>AUTHORIZED / NOT ISSUED</x:v>
      </x:c>
      <x:c r="M24" s="72" t="n">
        <x:f>COUNTIFS($B$5:$B$94,B24)</x:f>
        <x:v>5</x:v>
      </x:c>
      <x:c r="N24" s="82" t="n">
        <x:f>SUMIFS($F$5:$F$94,$B$5:$B$94,B24)</x:f>
        <x:v>1</x:v>
      </x:c>
      <x:c r="O24" s="71" t="str">
        <x:v>FRAME design only; MAKE and evidence remain held.</x:v>
      </x:c>
    </x:row>
    <x:row r="25">
      <x:c r="A25" s="71" t="str">
        <x:v>W021</x:v>
      </x:c>
      <x:c r="B25" s="71" t="str">
        <x:v>CT-C-B</x:v>
      </x:c>
      <x:c r="C25" s="71" t="str">
        <x:v>CT-C</x:v>
      </x:c>
      <x:c r="D25" s="71" t="str">
        <x:v>METHOD</x:v>
      </x:c>
      <x:c r="E25" s="71" t="str">
        <x:v>Event method and frozen denominator</x:v>
      </x:c>
      <x:c r="F25" s="82" t="n">
        <x:v>0.2</x:v>
      </x:c>
      <x:c r="G25" s="71" t="str">
        <x:v>Complete the destructive-event method, denominator, stopping rule and repeat rule.</x:v>
      </x:c>
      <x:c r="H25" s="73" t="n">
        <x:f>F25*INDEX('Form Options'!$F$5:$F$22,MATCH(B25,'Form Options'!$A$5:$A$22,0))</x:f>
        <x:v>0.0051649348177396</x:v>
      </x:c>
      <x:c r="I25" s="72" t="n">
        <x:v>1</x:v>
      </x:c>
      <x:c r="J25" s="73" t="n">
        <x:v>0</x:v>
      </x:c>
      <x:c r="K25" s="73" t="n">
        <x:v>0</x:v>
      </x:c>
      <x:c r="L25" s="71" t="str">
        <x:f>IF(AND(I25=1,J25=0,K25=0),"AUTHORIZED / NOT ISSUED","INVALID")</x:f>
        <x:v>AUTHORIZED / NOT ISSUED</x:v>
      </x:c>
      <x:c r="M25" s="72" t="n">
        <x:f>COUNTIFS($B$5:$B$94,B25)</x:f>
        <x:v>5</x:v>
      </x:c>
      <x:c r="N25" s="82" t="n">
        <x:f>SUMIFS($F$5:$F$94,$B$5:$B$94,B25)</x:f>
        <x:v>1</x:v>
      </x:c>
      <x:c r="O25" s="71" t="str">
        <x:v>FRAME design only; MAKE and evidence remain held.</x:v>
      </x:c>
    </x:row>
    <x:row r="26">
      <x:c r="A26" s="71" t="str">
        <x:v>W022</x:v>
      </x:c>
      <x:c r="B26" s="71" t="str">
        <x:v>CT-C-B</x:v>
      </x:c>
      <x:c r="C26" s="71" t="str">
        <x:v>CT-C</x:v>
      </x:c>
      <x:c r="D26" s="71" t="str">
        <x:v>MEASURE</x:v>
      </x:c>
      <x:c r="E26" s="71" t="str">
        <x:v>Instrumentation, custody and validity</x:v>
      </x:c>
      <x:c r="F26" s="82" t="n">
        <x:v>0.25</x:v>
      </x:c>
      <x:c r="G26" s="71" t="str">
        <x:v>Design independent sensing, calibration, missingness, ancestry and validity records.</x:v>
      </x:c>
      <x:c r="H26" s="73" t="n">
        <x:f>F26*INDEX('Form Options'!$F$5:$F$22,MATCH(B26,'Form Options'!$A$5:$A$22,0))</x:f>
        <x:v>0.0064561685221745</x:v>
      </x:c>
      <x:c r="I26" s="72" t="n">
        <x:v>1</x:v>
      </x:c>
      <x:c r="J26" s="73" t="n">
        <x:v>0</x:v>
      </x:c>
      <x:c r="K26" s="73" t="n">
        <x:v>0</x:v>
      </x:c>
      <x:c r="L26" s="71" t="str">
        <x:f>IF(AND(I26=1,J26=0,K26=0),"AUTHORIZED / NOT ISSUED","INVALID")</x:f>
        <x:v>AUTHORIZED / NOT ISSUED</x:v>
      </x:c>
      <x:c r="M26" s="72" t="n">
        <x:f>COUNTIFS($B$5:$B$94,B26)</x:f>
        <x:v>5</x:v>
      </x:c>
      <x:c r="N26" s="82" t="n">
        <x:f>SUMIFS($F$5:$F$94,$B$5:$B$94,B26)</x:f>
        <x:v>1</x:v>
      </x:c>
      <x:c r="O26" s="71" t="str">
        <x:v>FRAME design only; MAKE and evidence remain held.</x:v>
      </x:c>
    </x:row>
    <x:row r="27">
      <x:c r="A27" s="71" t="str">
        <x:v>W023</x:v>
      </x:c>
      <x:c r="B27" s="71" t="str">
        <x:v>CT-C-B</x:v>
      </x:c>
      <x:c r="C27" s="71" t="str">
        <x:v>CT-C</x:v>
      </x:c>
      <x:c r="D27" s="71" t="str">
        <x:v>CIVIL</x:v>
      </x:c>
      <x:c r="E27" s="71" t="str">
        <x:v>Rights, receiver and residual closure</x:v>
      </x:c>
      <x:c r="F27" s="82" t="n">
        <x:v>0.15</x:v>
      </x:c>
      <x:c r="G27" s="71" t="str">
        <x:v>Resolve lawful access, receiver acceptance, residual custody and protected-state intervention.</x:v>
      </x:c>
      <x:c r="H27" s="73" t="n">
        <x:f>F27*INDEX('Form Options'!$F$5:$F$22,MATCH(B27,'Form Options'!$A$5:$A$22,0))</x:f>
        <x:v>0.0038737011133046996</x:v>
      </x:c>
      <x:c r="I27" s="72" t="n">
        <x:v>1</x:v>
      </x:c>
      <x:c r="J27" s="73" t="n">
        <x:v>0</x:v>
      </x:c>
      <x:c r="K27" s="73" t="n">
        <x:v>0</x:v>
      </x:c>
      <x:c r="L27" s="71" t="str">
        <x:f>IF(AND(I27=1,J27=0,K27=0),"AUTHORIZED / NOT ISSUED","INVALID")</x:f>
        <x:v>AUTHORIZED / NOT ISSUED</x:v>
      </x:c>
      <x:c r="M27" s="72" t="n">
        <x:f>COUNTIFS($B$5:$B$94,B27)</x:f>
        <x:v>5</x:v>
      </x:c>
      <x:c r="N27" s="82" t="n">
        <x:f>SUMIFS($F$5:$F$94,$B$5:$B$94,B27)</x:f>
        <x:v>1</x:v>
      </x:c>
      <x:c r="O27" s="71" t="str">
        <x:v>FRAME design only; MAKE and evidence remain held.</x:v>
      </x:c>
    </x:row>
    <x:row r="28">
      <x:c r="A28" s="71" t="str">
        <x:v>W024</x:v>
      </x:c>
      <x:c r="B28" s="71" t="str">
        <x:v>CT-C-B</x:v>
      </x:c>
      <x:c r="C28" s="71" t="str">
        <x:v>CT-C</x:v>
      </x:c>
      <x:c r="D28" s="71" t="str">
        <x:v>ARTICLE</x:v>
      </x:c>
      <x:c r="E28" s="71" t="str">
        <x:v>Destructive-article engineering</x:v>
      </x:c>
      <x:c r="F28" s="82" t="n">
        <x:v>0.25</x:v>
      </x:c>
      <x:c r="G28" s="71" t="str">
        <x:v>Complete root-native interfaces, loads, isolation, safe state and sacrificial article definition.</x:v>
      </x:c>
      <x:c r="H28" s="73" t="n">
        <x:f>F28*INDEX('Form Options'!$F$5:$F$22,MATCH(B28,'Form Options'!$A$5:$A$22,0))</x:f>
        <x:v>0.0064561685221745</x:v>
      </x:c>
      <x:c r="I28" s="72" t="n">
        <x:v>1</x:v>
      </x:c>
      <x:c r="J28" s="73" t="n">
        <x:v>0</x:v>
      </x:c>
      <x:c r="K28" s="73" t="n">
        <x:v>0</x:v>
      </x:c>
      <x:c r="L28" s="71" t="str">
        <x:f>IF(AND(I28=1,J28=0,K28=0),"AUTHORIZED / NOT ISSUED","INVALID")</x:f>
        <x:v>AUTHORIZED / NOT ISSUED</x:v>
      </x:c>
      <x:c r="M28" s="72" t="n">
        <x:f>COUNTIFS($B$5:$B$94,B28)</x:f>
        <x:v>5</x:v>
      </x:c>
      <x:c r="N28" s="82" t="n">
        <x:f>SUMIFS($F$5:$F$94,$B$5:$B$94,B28)</x:f>
        <x:v>1</x:v>
      </x:c>
      <x:c r="O28" s="71" t="str">
        <x:v>FRAME design only; MAKE and evidence remain held.</x:v>
      </x:c>
    </x:row>
    <x:row r="29">
      <x:c r="A29" s="71" t="str">
        <x:v>W025</x:v>
      </x:c>
      <x:c r="B29" s="71" t="str">
        <x:v>CT-C-B</x:v>
      </x:c>
      <x:c r="C29" s="71" t="str">
        <x:v>CT-C</x:v>
      </x:c>
      <x:c r="D29" s="71" t="str">
        <x:v>REBUILD</x:v>
      </x:c>
      <x:c r="E29" s="71" t="str">
        <x:v>Cold reconstruction and challenge</x:v>
      </x:c>
      <x:c r="F29" s="82" t="n">
        <x:v>0.15</x:v>
      </x:c>
      <x:c r="G29" s="71" t="str">
        <x:v>Freeze public build records, held inventory, clean-team method and independent challenge.</x:v>
      </x:c>
      <x:c r="H29" s="73" t="n">
        <x:f>F29*INDEX('Form Options'!$F$5:$F$22,MATCH(B29,'Form Options'!$A$5:$A$22,0))</x:f>
        <x:v>0.0038737011133046996</x:v>
      </x:c>
      <x:c r="I29" s="72" t="n">
        <x:v>1</x:v>
      </x:c>
      <x:c r="J29" s="73" t="n">
        <x:v>0</x:v>
      </x:c>
      <x:c r="K29" s="73" t="n">
        <x:v>0</x:v>
      </x:c>
      <x:c r="L29" s="71" t="str">
        <x:f>IF(AND(I29=1,J29=0,K29=0),"AUTHORIZED / NOT ISSUED","INVALID")</x:f>
        <x:v>AUTHORIZED / NOT ISSUED</x:v>
      </x:c>
      <x:c r="M29" s="72" t="n">
        <x:f>COUNTIFS($B$5:$B$94,B29)</x:f>
        <x:v>5</x:v>
      </x:c>
      <x:c r="N29" s="82" t="n">
        <x:f>SUMIFS($F$5:$F$94,$B$5:$B$94,B29)</x:f>
        <x:v>1</x:v>
      </x:c>
      <x:c r="O29" s="71" t="str">
        <x:v>FRAME design only; MAKE and evidence remain held.</x:v>
      </x:c>
    </x:row>
    <x:row r="30">
      <x:c r="A30" s="71" t="str">
        <x:v>W026</x:v>
      </x:c>
      <x:c r="B30" s="71" t="str">
        <x:v>CT-C-C</x:v>
      </x:c>
      <x:c r="C30" s="71" t="str">
        <x:v>CT-C</x:v>
      </x:c>
      <x:c r="D30" s="71" t="str">
        <x:v>METHOD</x:v>
      </x:c>
      <x:c r="E30" s="71" t="str">
        <x:v>Event method and frozen denominator</x:v>
      </x:c>
      <x:c r="F30" s="82" t="n">
        <x:v>0.2</x:v>
      </x:c>
      <x:c r="G30" s="71" t="str">
        <x:v>Complete the destructive-event method, denominator, stopping rule and repeat rule.</x:v>
      </x:c>
      <x:c r="H30" s="73" t="n">
        <x:f>F30*INDEX('Form Options'!$F$5:$F$22,MATCH(B30,'Form Options'!$A$5:$A$22,0))</x:f>
        <x:v>0.0051649348177396</x:v>
      </x:c>
      <x:c r="I30" s="72" t="n">
        <x:v>1</x:v>
      </x:c>
      <x:c r="J30" s="73" t="n">
        <x:v>0</x:v>
      </x:c>
      <x:c r="K30" s="73" t="n">
        <x:v>0</x:v>
      </x:c>
      <x:c r="L30" s="71" t="str">
        <x:f>IF(AND(I30=1,J30=0,K30=0),"AUTHORIZED / NOT ISSUED","INVALID")</x:f>
        <x:v>AUTHORIZED / NOT ISSUED</x:v>
      </x:c>
      <x:c r="M30" s="72" t="n">
        <x:f>COUNTIFS($B$5:$B$94,B30)</x:f>
        <x:v>5</x:v>
      </x:c>
      <x:c r="N30" s="82" t="n">
        <x:f>SUMIFS($F$5:$F$94,$B$5:$B$94,B30)</x:f>
        <x:v>1</x:v>
      </x:c>
      <x:c r="O30" s="71" t="str">
        <x:v>FRAME design only; MAKE and evidence remain held.</x:v>
      </x:c>
    </x:row>
    <x:row r="31">
      <x:c r="A31" s="71" t="str">
        <x:v>W027</x:v>
      </x:c>
      <x:c r="B31" s="71" t="str">
        <x:v>CT-C-C</x:v>
      </x:c>
      <x:c r="C31" s="71" t="str">
        <x:v>CT-C</x:v>
      </x:c>
      <x:c r="D31" s="71" t="str">
        <x:v>MEASURE</x:v>
      </x:c>
      <x:c r="E31" s="71" t="str">
        <x:v>Instrumentation, custody and validity</x:v>
      </x:c>
      <x:c r="F31" s="82" t="n">
        <x:v>0.25</x:v>
      </x:c>
      <x:c r="G31" s="71" t="str">
        <x:v>Design independent sensing, calibration, missingness, ancestry and validity records.</x:v>
      </x:c>
      <x:c r="H31" s="73" t="n">
        <x:f>F31*INDEX('Form Options'!$F$5:$F$22,MATCH(B31,'Form Options'!$A$5:$A$22,0))</x:f>
        <x:v>0.0064561685221745</x:v>
      </x:c>
      <x:c r="I31" s="72" t="n">
        <x:v>1</x:v>
      </x:c>
      <x:c r="J31" s="73" t="n">
        <x:v>0</x:v>
      </x:c>
      <x:c r="K31" s="73" t="n">
        <x:v>0</x:v>
      </x:c>
      <x:c r="L31" s="71" t="str">
        <x:f>IF(AND(I31=1,J31=0,K31=0),"AUTHORIZED / NOT ISSUED","INVALID")</x:f>
        <x:v>AUTHORIZED / NOT ISSUED</x:v>
      </x:c>
      <x:c r="M31" s="72" t="n">
        <x:f>COUNTIFS($B$5:$B$94,B31)</x:f>
        <x:v>5</x:v>
      </x:c>
      <x:c r="N31" s="82" t="n">
        <x:f>SUMIFS($F$5:$F$94,$B$5:$B$94,B31)</x:f>
        <x:v>1</x:v>
      </x:c>
      <x:c r="O31" s="71" t="str">
        <x:v>FRAME design only; MAKE and evidence remain held.</x:v>
      </x:c>
    </x:row>
    <x:row r="32">
      <x:c r="A32" s="71" t="str">
        <x:v>W028</x:v>
      </x:c>
      <x:c r="B32" s="71" t="str">
        <x:v>CT-C-C</x:v>
      </x:c>
      <x:c r="C32" s="71" t="str">
        <x:v>CT-C</x:v>
      </x:c>
      <x:c r="D32" s="71" t="str">
        <x:v>CIVIL</x:v>
      </x:c>
      <x:c r="E32" s="71" t="str">
        <x:v>Rights, receiver and residual closure</x:v>
      </x:c>
      <x:c r="F32" s="82" t="n">
        <x:v>0.15</x:v>
      </x:c>
      <x:c r="G32" s="71" t="str">
        <x:v>Resolve lawful access, receiver acceptance, residual custody and protected-state intervention.</x:v>
      </x:c>
      <x:c r="H32" s="73" t="n">
        <x:f>F32*INDEX('Form Options'!$F$5:$F$22,MATCH(B32,'Form Options'!$A$5:$A$22,0))</x:f>
        <x:v>0.0038737011133046996</x:v>
      </x:c>
      <x:c r="I32" s="72" t="n">
        <x:v>1</x:v>
      </x:c>
      <x:c r="J32" s="73" t="n">
        <x:v>0</x:v>
      </x:c>
      <x:c r="K32" s="73" t="n">
        <x:v>0</x:v>
      </x:c>
      <x:c r="L32" s="71" t="str">
        <x:f>IF(AND(I32=1,J32=0,K32=0),"AUTHORIZED / NOT ISSUED","INVALID")</x:f>
        <x:v>AUTHORIZED / NOT ISSUED</x:v>
      </x:c>
      <x:c r="M32" s="72" t="n">
        <x:f>COUNTIFS($B$5:$B$94,B32)</x:f>
        <x:v>5</x:v>
      </x:c>
      <x:c r="N32" s="82" t="n">
        <x:f>SUMIFS($F$5:$F$94,$B$5:$B$94,B32)</x:f>
        <x:v>1</x:v>
      </x:c>
      <x:c r="O32" s="71" t="str">
        <x:v>FRAME design only; MAKE and evidence remain held.</x:v>
      </x:c>
    </x:row>
    <x:row r="33">
      <x:c r="A33" s="71" t="str">
        <x:v>W029</x:v>
      </x:c>
      <x:c r="B33" s="71" t="str">
        <x:v>CT-C-C</x:v>
      </x:c>
      <x:c r="C33" s="71" t="str">
        <x:v>CT-C</x:v>
      </x:c>
      <x:c r="D33" s="71" t="str">
        <x:v>ARTICLE</x:v>
      </x:c>
      <x:c r="E33" s="71" t="str">
        <x:v>Destructive-article engineering</x:v>
      </x:c>
      <x:c r="F33" s="82" t="n">
        <x:v>0.25</x:v>
      </x:c>
      <x:c r="G33" s="71" t="str">
        <x:v>Complete root-native interfaces, loads, isolation, safe state and sacrificial article definition.</x:v>
      </x:c>
      <x:c r="H33" s="73" t="n">
        <x:f>F33*INDEX('Form Options'!$F$5:$F$22,MATCH(B33,'Form Options'!$A$5:$A$22,0))</x:f>
        <x:v>0.0064561685221745</x:v>
      </x:c>
      <x:c r="I33" s="72" t="n">
        <x:v>1</x:v>
      </x:c>
      <x:c r="J33" s="73" t="n">
        <x:v>0</x:v>
      </x:c>
      <x:c r="K33" s="73" t="n">
        <x:v>0</x:v>
      </x:c>
      <x:c r="L33" s="71" t="str">
        <x:f>IF(AND(I33=1,J33=0,K33=0),"AUTHORIZED / NOT ISSUED","INVALID")</x:f>
        <x:v>AUTHORIZED / NOT ISSUED</x:v>
      </x:c>
      <x:c r="M33" s="72" t="n">
        <x:f>COUNTIFS($B$5:$B$94,B33)</x:f>
        <x:v>5</x:v>
      </x:c>
      <x:c r="N33" s="82" t="n">
        <x:f>SUMIFS($F$5:$F$94,$B$5:$B$94,B33)</x:f>
        <x:v>1</x:v>
      </x:c>
      <x:c r="O33" s="71" t="str">
        <x:v>FRAME design only; MAKE and evidence remain held.</x:v>
      </x:c>
    </x:row>
    <x:row r="34">
      <x:c r="A34" s="71" t="str">
        <x:v>W030</x:v>
      </x:c>
      <x:c r="B34" s="71" t="str">
        <x:v>CT-C-C</x:v>
      </x:c>
      <x:c r="C34" s="71" t="str">
        <x:v>CT-C</x:v>
      </x:c>
      <x:c r="D34" s="71" t="str">
        <x:v>REBUILD</x:v>
      </x:c>
      <x:c r="E34" s="71" t="str">
        <x:v>Cold reconstruction and challenge</x:v>
      </x:c>
      <x:c r="F34" s="82" t="n">
        <x:v>0.15</x:v>
      </x:c>
      <x:c r="G34" s="71" t="str">
        <x:v>Freeze public build records, held inventory, clean-team method and independent challenge.</x:v>
      </x:c>
      <x:c r="H34" s="73" t="n">
        <x:f>F34*INDEX('Form Options'!$F$5:$F$22,MATCH(B34,'Form Options'!$A$5:$A$22,0))</x:f>
        <x:v>0.0038737011133046996</x:v>
      </x:c>
      <x:c r="I34" s="72" t="n">
        <x:v>1</x:v>
      </x:c>
      <x:c r="J34" s="73" t="n">
        <x:v>0</x:v>
      </x:c>
      <x:c r="K34" s="73" t="n">
        <x:v>0</x:v>
      </x:c>
      <x:c r="L34" s="71" t="str">
        <x:f>IF(AND(I34=1,J34=0,K34=0),"AUTHORIZED / NOT ISSUED","INVALID")</x:f>
        <x:v>AUTHORIZED / NOT ISSUED</x:v>
      </x:c>
      <x:c r="M34" s="72" t="n">
        <x:f>COUNTIFS($B$5:$B$94,B34)</x:f>
        <x:v>5</x:v>
      </x:c>
      <x:c r="N34" s="82" t="n">
        <x:f>SUMIFS($F$5:$F$94,$B$5:$B$94,B34)</x:f>
        <x:v>1</x:v>
      </x:c>
      <x:c r="O34" s="71" t="str">
        <x:v>FRAME design only; MAKE and evidence remain held.</x:v>
      </x:c>
    </x:row>
    <x:row r="35">
      <x:c r="A35" s="71" t="str">
        <x:v>W031</x:v>
      </x:c>
      <x:c r="B35" s="71" t="str">
        <x:v>HC-A-A</x:v>
      </x:c>
      <x:c r="C35" s="71" t="str">
        <x:v>HC-A</x:v>
      </x:c>
      <x:c r="D35" s="71" t="str">
        <x:v>METHOD</x:v>
      </x:c>
      <x:c r="E35" s="71" t="str">
        <x:v>Event method and frozen denominator</x:v>
      </x:c>
      <x:c r="F35" s="82" t="n">
        <x:v>0.2</x:v>
      </x:c>
      <x:c r="G35" s="71" t="str">
        <x:v>Complete the destructive-event method, denominator, stopping rule and repeat rule.</x:v>
      </x:c>
      <x:c r="H35" s="73" t="n">
        <x:f>F35*INDEX('Form Options'!$F$5:$F$22,MATCH(B35,'Form Options'!$A$5:$A$22,0))</x:f>
        <x:v>0.0030722165406713298</x:v>
      </x:c>
      <x:c r="I35" s="72" t="n">
        <x:v>1</x:v>
      </x:c>
      <x:c r="J35" s="73" t="n">
        <x:v>0</x:v>
      </x:c>
      <x:c r="K35" s="73" t="n">
        <x:v>0</x:v>
      </x:c>
      <x:c r="L35" s="71" t="str">
        <x:f>IF(AND(I35=1,J35=0,K35=0),"AUTHORIZED / NOT ISSUED","INVALID")</x:f>
        <x:v>AUTHORIZED / NOT ISSUED</x:v>
      </x:c>
      <x:c r="M35" s="72" t="n">
        <x:f>COUNTIFS($B$5:$B$94,B35)</x:f>
        <x:v>5</x:v>
      </x:c>
      <x:c r="N35" s="82" t="n">
        <x:f>SUMIFS($F$5:$F$94,$B$5:$B$94,B35)</x:f>
        <x:v>1</x:v>
      </x:c>
      <x:c r="O35" s="71" t="str">
        <x:v>FRAME design only; MAKE and evidence remain held.</x:v>
      </x:c>
    </x:row>
    <x:row r="36">
      <x:c r="A36" s="71" t="str">
        <x:v>W032</x:v>
      </x:c>
      <x:c r="B36" s="71" t="str">
        <x:v>HC-A-A</x:v>
      </x:c>
      <x:c r="C36" s="71" t="str">
        <x:v>HC-A</x:v>
      </x:c>
      <x:c r="D36" s="71" t="str">
        <x:v>MEASURE</x:v>
      </x:c>
      <x:c r="E36" s="71" t="str">
        <x:v>Instrumentation, custody and validity</x:v>
      </x:c>
      <x:c r="F36" s="82" t="n">
        <x:v>0.25</x:v>
      </x:c>
      <x:c r="G36" s="71" t="str">
        <x:v>Design independent sensing, calibration, missingness, ancestry and validity records.</x:v>
      </x:c>
      <x:c r="H36" s="73" t="n">
        <x:f>F36*INDEX('Form Options'!$F$5:$F$22,MATCH(B36,'Form Options'!$A$5:$A$22,0))</x:f>
        <x:v>0.003840270675839162</x:v>
      </x:c>
      <x:c r="I36" s="72" t="n">
        <x:v>1</x:v>
      </x:c>
      <x:c r="J36" s="73" t="n">
        <x:v>0</x:v>
      </x:c>
      <x:c r="K36" s="73" t="n">
        <x:v>0</x:v>
      </x:c>
      <x:c r="L36" s="71" t="str">
        <x:f>IF(AND(I36=1,J36=0,K36=0),"AUTHORIZED / NOT ISSUED","INVALID")</x:f>
        <x:v>AUTHORIZED / NOT ISSUED</x:v>
      </x:c>
      <x:c r="M36" s="72" t="n">
        <x:f>COUNTIFS($B$5:$B$94,B36)</x:f>
        <x:v>5</x:v>
      </x:c>
      <x:c r="N36" s="82" t="n">
        <x:f>SUMIFS($F$5:$F$94,$B$5:$B$94,B36)</x:f>
        <x:v>1</x:v>
      </x:c>
      <x:c r="O36" s="71" t="str">
        <x:v>FRAME design only; MAKE and evidence remain held.</x:v>
      </x:c>
    </x:row>
    <x:row r="37">
      <x:c r="A37" s="71" t="str">
        <x:v>W033</x:v>
      </x:c>
      <x:c r="B37" s="71" t="str">
        <x:v>HC-A-A</x:v>
      </x:c>
      <x:c r="C37" s="71" t="str">
        <x:v>HC-A</x:v>
      </x:c>
      <x:c r="D37" s="71" t="str">
        <x:v>CIVIL</x:v>
      </x:c>
      <x:c r="E37" s="71" t="str">
        <x:v>Rights, receiver and residual closure</x:v>
      </x:c>
      <x:c r="F37" s="82" t="n">
        <x:v>0.15</x:v>
      </x:c>
      <x:c r="G37" s="71" t="str">
        <x:v>Resolve lawful access, receiver acceptance, residual custody and protected-state intervention.</x:v>
      </x:c>
      <x:c r="H37" s="73" t="n">
        <x:f>F37*INDEX('Form Options'!$F$5:$F$22,MATCH(B37,'Form Options'!$A$5:$A$22,0))</x:f>
        <x:v>0.0023041624055034973</x:v>
      </x:c>
      <x:c r="I37" s="72" t="n">
        <x:v>1</x:v>
      </x:c>
      <x:c r="J37" s="73" t="n">
        <x:v>0</x:v>
      </x:c>
      <x:c r="K37" s="73" t="n">
        <x:v>0</x:v>
      </x:c>
      <x:c r="L37" s="71" t="str">
        <x:f>IF(AND(I37=1,J37=0,K37=0),"AUTHORIZED / NOT ISSUED","INVALID")</x:f>
        <x:v>AUTHORIZED / NOT ISSUED</x:v>
      </x:c>
      <x:c r="M37" s="72" t="n">
        <x:f>COUNTIFS($B$5:$B$94,B37)</x:f>
        <x:v>5</x:v>
      </x:c>
      <x:c r="N37" s="82" t="n">
        <x:f>SUMIFS($F$5:$F$94,$B$5:$B$94,B37)</x:f>
        <x:v>1</x:v>
      </x:c>
      <x:c r="O37" s="71" t="str">
        <x:v>FRAME design only; MAKE and evidence remain held.</x:v>
      </x:c>
    </x:row>
    <x:row r="38">
      <x:c r="A38" s="71" t="str">
        <x:v>W034</x:v>
      </x:c>
      <x:c r="B38" s="71" t="str">
        <x:v>HC-A-A</x:v>
      </x:c>
      <x:c r="C38" s="71" t="str">
        <x:v>HC-A</x:v>
      </x:c>
      <x:c r="D38" s="71" t="str">
        <x:v>ARTICLE</x:v>
      </x:c>
      <x:c r="E38" s="71" t="str">
        <x:v>Destructive-article engineering</x:v>
      </x:c>
      <x:c r="F38" s="82" t="n">
        <x:v>0.25</x:v>
      </x:c>
      <x:c r="G38" s="71" t="str">
        <x:v>Complete root-native interfaces, loads, isolation, safe state and sacrificial article definition.</x:v>
      </x:c>
      <x:c r="H38" s="73" t="n">
        <x:f>F38*INDEX('Form Options'!$F$5:$F$22,MATCH(B38,'Form Options'!$A$5:$A$22,0))</x:f>
        <x:v>0.003840270675839162</x:v>
      </x:c>
      <x:c r="I38" s="72" t="n">
        <x:v>1</x:v>
      </x:c>
      <x:c r="J38" s="73" t="n">
        <x:v>0</x:v>
      </x:c>
      <x:c r="K38" s="73" t="n">
        <x:v>0</x:v>
      </x:c>
      <x:c r="L38" s="71" t="str">
        <x:f>IF(AND(I38=1,J38=0,K38=0),"AUTHORIZED / NOT ISSUED","INVALID")</x:f>
        <x:v>AUTHORIZED / NOT ISSUED</x:v>
      </x:c>
      <x:c r="M38" s="72" t="n">
        <x:f>COUNTIFS($B$5:$B$94,B38)</x:f>
        <x:v>5</x:v>
      </x:c>
      <x:c r="N38" s="82" t="n">
        <x:f>SUMIFS($F$5:$F$94,$B$5:$B$94,B38)</x:f>
        <x:v>1</x:v>
      </x:c>
      <x:c r="O38" s="71" t="str">
        <x:v>FRAME design only; MAKE and evidence remain held.</x:v>
      </x:c>
    </x:row>
    <x:row r="39">
      <x:c r="A39" s="71" t="str">
        <x:v>W035</x:v>
      </x:c>
      <x:c r="B39" s="71" t="str">
        <x:v>HC-A-A</x:v>
      </x:c>
      <x:c r="C39" s="71" t="str">
        <x:v>HC-A</x:v>
      </x:c>
      <x:c r="D39" s="71" t="str">
        <x:v>REBUILD</x:v>
      </x:c>
      <x:c r="E39" s="71" t="str">
        <x:v>Cold reconstruction and challenge</x:v>
      </x:c>
      <x:c r="F39" s="82" t="n">
        <x:v>0.15</x:v>
      </x:c>
      <x:c r="G39" s="71" t="str">
        <x:v>Freeze public build records, held inventory, clean-team method and independent challenge.</x:v>
      </x:c>
      <x:c r="H39" s="73" t="n">
        <x:f>F39*INDEX('Form Options'!$F$5:$F$22,MATCH(B39,'Form Options'!$A$5:$A$22,0))</x:f>
        <x:v>0.0023041624055034973</x:v>
      </x:c>
      <x:c r="I39" s="72" t="n">
        <x:v>1</x:v>
      </x:c>
      <x:c r="J39" s="73" t="n">
        <x:v>0</x:v>
      </x:c>
      <x:c r="K39" s="73" t="n">
        <x:v>0</x:v>
      </x:c>
      <x:c r="L39" s="71" t="str">
        <x:f>IF(AND(I39=1,J39=0,K39=0),"AUTHORIZED / NOT ISSUED","INVALID")</x:f>
        <x:v>AUTHORIZED / NOT ISSUED</x:v>
      </x:c>
      <x:c r="M39" s="72" t="n">
        <x:f>COUNTIFS($B$5:$B$94,B39)</x:f>
        <x:v>5</x:v>
      </x:c>
      <x:c r="N39" s="82" t="n">
        <x:f>SUMIFS($F$5:$F$94,$B$5:$B$94,B39)</x:f>
        <x:v>1</x:v>
      </x:c>
      <x:c r="O39" s="71" t="str">
        <x:v>FRAME design only; MAKE and evidence remain held.</x:v>
      </x:c>
    </x:row>
    <x:row r="40">
      <x:c r="A40" s="71" t="str">
        <x:v>W036</x:v>
      </x:c>
      <x:c r="B40" s="71" t="str">
        <x:v>HC-A-B</x:v>
      </x:c>
      <x:c r="C40" s="71" t="str">
        <x:v>HC-A</x:v>
      </x:c>
      <x:c r="D40" s="71" t="str">
        <x:v>METHOD</x:v>
      </x:c>
      <x:c r="E40" s="71" t="str">
        <x:v>Event method and frozen denominator</x:v>
      </x:c>
      <x:c r="F40" s="82" t="n">
        <x:v>0.2</x:v>
      </x:c>
      <x:c r="G40" s="71" t="str">
        <x:v>Complete the destructive-event method, denominator, stopping rule and repeat rule.</x:v>
      </x:c>
      <x:c r="H40" s="73" t="n">
        <x:f>F40*INDEX('Form Options'!$F$5:$F$22,MATCH(B40,'Form Options'!$A$5:$A$22,0))</x:f>
        <x:v>0.0030722165406713298</x:v>
      </x:c>
      <x:c r="I40" s="72" t="n">
        <x:v>1</x:v>
      </x:c>
      <x:c r="J40" s="73" t="n">
        <x:v>0</x:v>
      </x:c>
      <x:c r="K40" s="73" t="n">
        <x:v>0</x:v>
      </x:c>
      <x:c r="L40" s="71" t="str">
        <x:f>IF(AND(I40=1,J40=0,K40=0),"AUTHORIZED / NOT ISSUED","INVALID")</x:f>
        <x:v>AUTHORIZED / NOT ISSUED</x:v>
      </x:c>
      <x:c r="M40" s="72" t="n">
        <x:f>COUNTIFS($B$5:$B$94,B40)</x:f>
        <x:v>5</x:v>
      </x:c>
      <x:c r="N40" s="82" t="n">
        <x:f>SUMIFS($F$5:$F$94,$B$5:$B$94,B40)</x:f>
        <x:v>1</x:v>
      </x:c>
      <x:c r="O40" s="71" t="str">
        <x:v>FRAME design only; MAKE and evidence remain held.</x:v>
      </x:c>
    </x:row>
    <x:row r="41">
      <x:c r="A41" s="71" t="str">
        <x:v>W037</x:v>
      </x:c>
      <x:c r="B41" s="71" t="str">
        <x:v>HC-A-B</x:v>
      </x:c>
      <x:c r="C41" s="71" t="str">
        <x:v>HC-A</x:v>
      </x:c>
      <x:c r="D41" s="71" t="str">
        <x:v>MEASURE</x:v>
      </x:c>
      <x:c r="E41" s="71" t="str">
        <x:v>Instrumentation, custody and validity</x:v>
      </x:c>
      <x:c r="F41" s="82" t="n">
        <x:v>0.25</x:v>
      </x:c>
      <x:c r="G41" s="71" t="str">
        <x:v>Design independent sensing, calibration, missingness, ancestry and validity records.</x:v>
      </x:c>
      <x:c r="H41" s="73" t="n">
        <x:f>F41*INDEX('Form Options'!$F$5:$F$22,MATCH(B41,'Form Options'!$A$5:$A$22,0))</x:f>
        <x:v>0.003840270675839162</x:v>
      </x:c>
      <x:c r="I41" s="72" t="n">
        <x:v>1</x:v>
      </x:c>
      <x:c r="J41" s="73" t="n">
        <x:v>0</x:v>
      </x:c>
      <x:c r="K41" s="73" t="n">
        <x:v>0</x:v>
      </x:c>
      <x:c r="L41" s="71" t="str">
        <x:f>IF(AND(I41=1,J41=0,K41=0),"AUTHORIZED / NOT ISSUED","INVALID")</x:f>
        <x:v>AUTHORIZED / NOT ISSUED</x:v>
      </x:c>
      <x:c r="M41" s="72" t="n">
        <x:f>COUNTIFS($B$5:$B$94,B41)</x:f>
        <x:v>5</x:v>
      </x:c>
      <x:c r="N41" s="82" t="n">
        <x:f>SUMIFS($F$5:$F$94,$B$5:$B$94,B41)</x:f>
        <x:v>1</x:v>
      </x:c>
      <x:c r="O41" s="71" t="str">
        <x:v>FRAME design only; MAKE and evidence remain held.</x:v>
      </x:c>
    </x:row>
    <x:row r="42">
      <x:c r="A42" s="71" t="str">
        <x:v>W038</x:v>
      </x:c>
      <x:c r="B42" s="71" t="str">
        <x:v>HC-A-B</x:v>
      </x:c>
      <x:c r="C42" s="71" t="str">
        <x:v>HC-A</x:v>
      </x:c>
      <x:c r="D42" s="71" t="str">
        <x:v>CIVIL</x:v>
      </x:c>
      <x:c r="E42" s="71" t="str">
        <x:v>Rights, receiver and residual closure</x:v>
      </x:c>
      <x:c r="F42" s="82" t="n">
        <x:v>0.15</x:v>
      </x:c>
      <x:c r="G42" s="71" t="str">
        <x:v>Resolve lawful access, receiver acceptance, residual custody and protected-state intervention.</x:v>
      </x:c>
      <x:c r="H42" s="73" t="n">
        <x:f>F42*INDEX('Form Options'!$F$5:$F$22,MATCH(B42,'Form Options'!$A$5:$A$22,0))</x:f>
        <x:v>0.0023041624055034973</x:v>
      </x:c>
      <x:c r="I42" s="72" t="n">
        <x:v>1</x:v>
      </x:c>
      <x:c r="J42" s="73" t="n">
        <x:v>0</x:v>
      </x:c>
      <x:c r="K42" s="73" t="n">
        <x:v>0</x:v>
      </x:c>
      <x:c r="L42" s="71" t="str">
        <x:f>IF(AND(I42=1,J42=0,K42=0),"AUTHORIZED / NOT ISSUED","INVALID")</x:f>
        <x:v>AUTHORIZED / NOT ISSUED</x:v>
      </x:c>
      <x:c r="M42" s="72" t="n">
        <x:f>COUNTIFS($B$5:$B$94,B42)</x:f>
        <x:v>5</x:v>
      </x:c>
      <x:c r="N42" s="82" t="n">
        <x:f>SUMIFS($F$5:$F$94,$B$5:$B$94,B42)</x:f>
        <x:v>1</x:v>
      </x:c>
      <x:c r="O42" s="71" t="str">
        <x:v>FRAME design only; MAKE and evidence remain held.</x:v>
      </x:c>
    </x:row>
    <x:row r="43">
      <x:c r="A43" s="71" t="str">
        <x:v>W039</x:v>
      </x:c>
      <x:c r="B43" s="71" t="str">
        <x:v>HC-A-B</x:v>
      </x:c>
      <x:c r="C43" s="71" t="str">
        <x:v>HC-A</x:v>
      </x:c>
      <x:c r="D43" s="71" t="str">
        <x:v>ARTICLE</x:v>
      </x:c>
      <x:c r="E43" s="71" t="str">
        <x:v>Destructive-article engineering</x:v>
      </x:c>
      <x:c r="F43" s="82" t="n">
        <x:v>0.25</x:v>
      </x:c>
      <x:c r="G43" s="71" t="str">
        <x:v>Complete root-native interfaces, loads, isolation, safe state and sacrificial article definition.</x:v>
      </x:c>
      <x:c r="H43" s="73" t="n">
        <x:f>F43*INDEX('Form Options'!$F$5:$F$22,MATCH(B43,'Form Options'!$A$5:$A$22,0))</x:f>
        <x:v>0.003840270675839162</x:v>
      </x:c>
      <x:c r="I43" s="72" t="n">
        <x:v>1</x:v>
      </x:c>
      <x:c r="J43" s="73" t="n">
        <x:v>0</x:v>
      </x:c>
      <x:c r="K43" s="73" t="n">
        <x:v>0</x:v>
      </x:c>
      <x:c r="L43" s="71" t="str">
        <x:f>IF(AND(I43=1,J43=0,K43=0),"AUTHORIZED / NOT ISSUED","INVALID")</x:f>
        <x:v>AUTHORIZED / NOT ISSUED</x:v>
      </x:c>
      <x:c r="M43" s="72" t="n">
        <x:f>COUNTIFS($B$5:$B$94,B43)</x:f>
        <x:v>5</x:v>
      </x:c>
      <x:c r="N43" s="82" t="n">
        <x:f>SUMIFS($F$5:$F$94,$B$5:$B$94,B43)</x:f>
        <x:v>1</x:v>
      </x:c>
      <x:c r="O43" s="71" t="str">
        <x:v>FRAME design only; MAKE and evidence remain held.</x:v>
      </x:c>
    </x:row>
    <x:row r="44">
      <x:c r="A44" s="71" t="str">
        <x:v>W040</x:v>
      </x:c>
      <x:c r="B44" s="71" t="str">
        <x:v>HC-A-B</x:v>
      </x:c>
      <x:c r="C44" s="71" t="str">
        <x:v>HC-A</x:v>
      </x:c>
      <x:c r="D44" s="71" t="str">
        <x:v>REBUILD</x:v>
      </x:c>
      <x:c r="E44" s="71" t="str">
        <x:v>Cold reconstruction and challenge</x:v>
      </x:c>
      <x:c r="F44" s="82" t="n">
        <x:v>0.15</x:v>
      </x:c>
      <x:c r="G44" s="71" t="str">
        <x:v>Freeze public build records, held inventory, clean-team method and independent challenge.</x:v>
      </x:c>
      <x:c r="H44" s="73" t="n">
        <x:f>F44*INDEX('Form Options'!$F$5:$F$22,MATCH(B44,'Form Options'!$A$5:$A$22,0))</x:f>
        <x:v>0.0023041624055034973</x:v>
      </x:c>
      <x:c r="I44" s="72" t="n">
        <x:v>1</x:v>
      </x:c>
      <x:c r="J44" s="73" t="n">
        <x:v>0</x:v>
      </x:c>
      <x:c r="K44" s="73" t="n">
        <x:v>0</x:v>
      </x:c>
      <x:c r="L44" s="71" t="str">
        <x:f>IF(AND(I44=1,J44=0,K44=0),"AUTHORIZED / NOT ISSUED","INVALID")</x:f>
        <x:v>AUTHORIZED / NOT ISSUED</x:v>
      </x:c>
      <x:c r="M44" s="72" t="n">
        <x:f>COUNTIFS($B$5:$B$94,B44)</x:f>
        <x:v>5</x:v>
      </x:c>
      <x:c r="N44" s="82" t="n">
        <x:f>SUMIFS($F$5:$F$94,$B$5:$B$94,B44)</x:f>
        <x:v>1</x:v>
      </x:c>
      <x:c r="O44" s="71" t="str">
        <x:v>FRAME design only; MAKE and evidence remain held.</x:v>
      </x:c>
    </x:row>
    <x:row r="45">
      <x:c r="A45" s="71" t="str">
        <x:v>W041</x:v>
      </x:c>
      <x:c r="B45" s="71" t="str">
        <x:v>HC-A-C</x:v>
      </x:c>
      <x:c r="C45" s="71" t="str">
        <x:v>HC-A</x:v>
      </x:c>
      <x:c r="D45" s="71" t="str">
        <x:v>METHOD</x:v>
      </x:c>
      <x:c r="E45" s="71" t="str">
        <x:v>Event method and frozen denominator</x:v>
      </x:c>
      <x:c r="F45" s="82" t="n">
        <x:v>0.2</x:v>
      </x:c>
      <x:c r="G45" s="71" t="str">
        <x:v>Complete the destructive-event method, denominator, stopping rule and repeat rule.</x:v>
      </x:c>
      <x:c r="H45" s="73" t="n">
        <x:f>F45*INDEX('Form Options'!$F$5:$F$22,MATCH(B45,'Form Options'!$A$5:$A$22,0))</x:f>
        <x:v>0.0030722165406713298</x:v>
      </x:c>
      <x:c r="I45" s="72" t="n">
        <x:v>1</x:v>
      </x:c>
      <x:c r="J45" s="73" t="n">
        <x:v>0</x:v>
      </x:c>
      <x:c r="K45" s="73" t="n">
        <x:v>0</x:v>
      </x:c>
      <x:c r="L45" s="71" t="str">
        <x:f>IF(AND(I45=1,J45=0,K45=0),"AUTHORIZED / NOT ISSUED","INVALID")</x:f>
        <x:v>AUTHORIZED / NOT ISSUED</x:v>
      </x:c>
      <x:c r="M45" s="72" t="n">
        <x:f>COUNTIFS($B$5:$B$94,B45)</x:f>
        <x:v>5</x:v>
      </x:c>
      <x:c r="N45" s="82" t="n">
        <x:f>SUMIFS($F$5:$F$94,$B$5:$B$94,B45)</x:f>
        <x:v>1</x:v>
      </x:c>
      <x:c r="O45" s="71" t="str">
        <x:v>FRAME design only; MAKE and evidence remain held.</x:v>
      </x:c>
    </x:row>
    <x:row r="46">
      <x:c r="A46" s="71" t="str">
        <x:v>W042</x:v>
      </x:c>
      <x:c r="B46" s="71" t="str">
        <x:v>HC-A-C</x:v>
      </x:c>
      <x:c r="C46" s="71" t="str">
        <x:v>HC-A</x:v>
      </x:c>
      <x:c r="D46" s="71" t="str">
        <x:v>MEASURE</x:v>
      </x:c>
      <x:c r="E46" s="71" t="str">
        <x:v>Instrumentation, custody and validity</x:v>
      </x:c>
      <x:c r="F46" s="82" t="n">
        <x:v>0.25</x:v>
      </x:c>
      <x:c r="G46" s="71" t="str">
        <x:v>Design independent sensing, calibration, missingness, ancestry and validity records.</x:v>
      </x:c>
      <x:c r="H46" s="73" t="n">
        <x:f>F46*INDEX('Form Options'!$F$5:$F$22,MATCH(B46,'Form Options'!$A$5:$A$22,0))</x:f>
        <x:v>0.003840270675839162</x:v>
      </x:c>
      <x:c r="I46" s="72" t="n">
        <x:v>1</x:v>
      </x:c>
      <x:c r="J46" s="73" t="n">
        <x:v>0</x:v>
      </x:c>
      <x:c r="K46" s="73" t="n">
        <x:v>0</x:v>
      </x:c>
      <x:c r="L46" s="71" t="str">
        <x:f>IF(AND(I46=1,J46=0,K46=0),"AUTHORIZED / NOT ISSUED","INVALID")</x:f>
        <x:v>AUTHORIZED / NOT ISSUED</x:v>
      </x:c>
      <x:c r="M46" s="72" t="n">
        <x:f>COUNTIFS($B$5:$B$94,B46)</x:f>
        <x:v>5</x:v>
      </x:c>
      <x:c r="N46" s="82" t="n">
        <x:f>SUMIFS($F$5:$F$94,$B$5:$B$94,B46)</x:f>
        <x:v>1</x:v>
      </x:c>
      <x:c r="O46" s="71" t="str">
        <x:v>FRAME design only; MAKE and evidence remain held.</x:v>
      </x:c>
    </x:row>
    <x:row r="47">
      <x:c r="A47" s="71" t="str">
        <x:v>W043</x:v>
      </x:c>
      <x:c r="B47" s="71" t="str">
        <x:v>HC-A-C</x:v>
      </x:c>
      <x:c r="C47" s="71" t="str">
        <x:v>HC-A</x:v>
      </x:c>
      <x:c r="D47" s="71" t="str">
        <x:v>CIVIL</x:v>
      </x:c>
      <x:c r="E47" s="71" t="str">
        <x:v>Rights, receiver and residual closure</x:v>
      </x:c>
      <x:c r="F47" s="82" t="n">
        <x:v>0.15</x:v>
      </x:c>
      <x:c r="G47" s="71" t="str">
        <x:v>Resolve lawful access, receiver acceptance, residual custody and protected-state intervention.</x:v>
      </x:c>
      <x:c r="H47" s="73" t="n">
        <x:f>F47*INDEX('Form Options'!$F$5:$F$22,MATCH(B47,'Form Options'!$A$5:$A$22,0))</x:f>
        <x:v>0.0023041624055034973</x:v>
      </x:c>
      <x:c r="I47" s="72" t="n">
        <x:v>1</x:v>
      </x:c>
      <x:c r="J47" s="73" t="n">
        <x:v>0</x:v>
      </x:c>
      <x:c r="K47" s="73" t="n">
        <x:v>0</x:v>
      </x:c>
      <x:c r="L47" s="71" t="str">
        <x:f>IF(AND(I47=1,J47=0,K47=0),"AUTHORIZED / NOT ISSUED","INVALID")</x:f>
        <x:v>AUTHORIZED / NOT ISSUED</x:v>
      </x:c>
      <x:c r="M47" s="72" t="n">
        <x:f>COUNTIFS($B$5:$B$94,B47)</x:f>
        <x:v>5</x:v>
      </x:c>
      <x:c r="N47" s="82" t="n">
        <x:f>SUMIFS($F$5:$F$94,$B$5:$B$94,B47)</x:f>
        <x:v>1</x:v>
      </x:c>
      <x:c r="O47" s="71" t="str">
        <x:v>FRAME design only; MAKE and evidence remain held.</x:v>
      </x:c>
    </x:row>
    <x:row r="48">
      <x:c r="A48" s="71" t="str">
        <x:v>W044</x:v>
      </x:c>
      <x:c r="B48" s="71" t="str">
        <x:v>HC-A-C</x:v>
      </x:c>
      <x:c r="C48" s="71" t="str">
        <x:v>HC-A</x:v>
      </x:c>
      <x:c r="D48" s="71" t="str">
        <x:v>ARTICLE</x:v>
      </x:c>
      <x:c r="E48" s="71" t="str">
        <x:v>Destructive-article engineering</x:v>
      </x:c>
      <x:c r="F48" s="82" t="n">
        <x:v>0.25</x:v>
      </x:c>
      <x:c r="G48" s="71" t="str">
        <x:v>Complete root-native interfaces, loads, isolation, safe state and sacrificial article definition.</x:v>
      </x:c>
      <x:c r="H48" s="73" t="n">
        <x:f>F48*INDEX('Form Options'!$F$5:$F$22,MATCH(B48,'Form Options'!$A$5:$A$22,0))</x:f>
        <x:v>0.003840270675839162</x:v>
      </x:c>
      <x:c r="I48" s="72" t="n">
        <x:v>1</x:v>
      </x:c>
      <x:c r="J48" s="73" t="n">
        <x:v>0</x:v>
      </x:c>
      <x:c r="K48" s="73" t="n">
        <x:v>0</x:v>
      </x:c>
      <x:c r="L48" s="71" t="str">
        <x:f>IF(AND(I48=1,J48=0,K48=0),"AUTHORIZED / NOT ISSUED","INVALID")</x:f>
        <x:v>AUTHORIZED / NOT ISSUED</x:v>
      </x:c>
      <x:c r="M48" s="72" t="n">
        <x:f>COUNTIFS($B$5:$B$94,B48)</x:f>
        <x:v>5</x:v>
      </x:c>
      <x:c r="N48" s="82" t="n">
        <x:f>SUMIFS($F$5:$F$94,$B$5:$B$94,B48)</x:f>
        <x:v>1</x:v>
      </x:c>
      <x:c r="O48" s="71" t="str">
        <x:v>FRAME design only; MAKE and evidence remain held.</x:v>
      </x:c>
    </x:row>
    <x:row r="49">
      <x:c r="A49" s="71" t="str">
        <x:v>W045</x:v>
      </x:c>
      <x:c r="B49" s="71" t="str">
        <x:v>HC-A-C</x:v>
      </x:c>
      <x:c r="C49" s="71" t="str">
        <x:v>HC-A</x:v>
      </x:c>
      <x:c r="D49" s="71" t="str">
        <x:v>REBUILD</x:v>
      </x:c>
      <x:c r="E49" s="71" t="str">
        <x:v>Cold reconstruction and challenge</x:v>
      </x:c>
      <x:c r="F49" s="82" t="n">
        <x:v>0.15</x:v>
      </x:c>
      <x:c r="G49" s="71" t="str">
        <x:v>Freeze public build records, held inventory, clean-team method and independent challenge.</x:v>
      </x:c>
      <x:c r="H49" s="73" t="n">
        <x:f>F49*INDEX('Form Options'!$F$5:$F$22,MATCH(B49,'Form Options'!$A$5:$A$22,0))</x:f>
        <x:v>0.0023041624055034973</x:v>
      </x:c>
      <x:c r="I49" s="72" t="n">
        <x:v>1</x:v>
      </x:c>
      <x:c r="J49" s="73" t="n">
        <x:v>0</x:v>
      </x:c>
      <x:c r="K49" s="73" t="n">
        <x:v>0</x:v>
      </x:c>
      <x:c r="L49" s="71" t="str">
        <x:f>IF(AND(I49=1,J49=0,K49=0),"AUTHORIZED / NOT ISSUED","INVALID")</x:f>
        <x:v>AUTHORIZED / NOT ISSUED</x:v>
      </x:c>
      <x:c r="M49" s="72" t="n">
        <x:f>COUNTIFS($B$5:$B$94,B49)</x:f>
        <x:v>5</x:v>
      </x:c>
      <x:c r="N49" s="82" t="n">
        <x:f>SUMIFS($F$5:$F$94,$B$5:$B$94,B49)</x:f>
        <x:v>1</x:v>
      </x:c>
      <x:c r="O49" s="71" t="str">
        <x:v>FRAME design only; MAKE and evidence remain held.</x:v>
      </x:c>
    </x:row>
    <x:row r="50">
      <x:c r="A50" s="71" t="str">
        <x:v>W046</x:v>
      </x:c>
      <x:c r="B50" s="71" t="str">
        <x:v>LF-B-A</x:v>
      </x:c>
      <x:c r="C50" s="71" t="str">
        <x:v>LF-B</x:v>
      </x:c>
      <x:c r="D50" s="71" t="str">
        <x:v>METHOD</x:v>
      </x:c>
      <x:c r="E50" s="71" t="str">
        <x:v>Event method and frozen denominator</x:v>
      </x:c>
      <x:c r="F50" s="82" t="n">
        <x:v>0.2</x:v>
      </x:c>
      <x:c r="G50" s="71" t="str">
        <x:v>Complete the destructive-event method, denominator, stopping rule and repeat rule.</x:v>
      </x:c>
      <x:c r="H50" s="73" t="n">
        <x:f>F50*INDEX('Form Options'!$F$5:$F$22,MATCH(B50,'Form Options'!$A$5:$A$22,0))</x:f>
        <x:v>0.008994128193205652</x:v>
      </x:c>
      <x:c r="I50" s="72" t="n">
        <x:v>1</x:v>
      </x:c>
      <x:c r="J50" s="73" t="n">
        <x:v>0</x:v>
      </x:c>
      <x:c r="K50" s="73" t="n">
        <x:v>0</x:v>
      </x:c>
      <x:c r="L50" s="71" t="str">
        <x:f>IF(AND(I50=1,J50=0,K50=0),"AUTHORIZED / NOT ISSUED","INVALID")</x:f>
        <x:v>AUTHORIZED / NOT ISSUED</x:v>
      </x:c>
      <x:c r="M50" s="72" t="n">
        <x:f>COUNTIFS($B$5:$B$94,B50)</x:f>
        <x:v>5</x:v>
      </x:c>
      <x:c r="N50" s="82" t="n">
        <x:f>SUMIFS($F$5:$F$94,$B$5:$B$94,B50)</x:f>
        <x:v>1</x:v>
      </x:c>
      <x:c r="O50" s="71" t="str">
        <x:v>FRAME design only; MAKE and evidence remain held.</x:v>
      </x:c>
    </x:row>
    <x:row r="51">
      <x:c r="A51" s="71" t="str">
        <x:v>W047</x:v>
      </x:c>
      <x:c r="B51" s="71" t="str">
        <x:v>LF-B-A</x:v>
      </x:c>
      <x:c r="C51" s="71" t="str">
        <x:v>LF-B</x:v>
      </x:c>
      <x:c r="D51" s="71" t="str">
        <x:v>MEASURE</x:v>
      </x:c>
      <x:c r="E51" s="71" t="str">
        <x:v>Instrumentation, custody and validity</x:v>
      </x:c>
      <x:c r="F51" s="82" t="n">
        <x:v>0.25</x:v>
      </x:c>
      <x:c r="G51" s="71" t="str">
        <x:v>Design independent sensing, calibration, missingness, ancestry and validity records.</x:v>
      </x:c>
      <x:c r="H51" s="73" t="n">
        <x:f>F51*INDEX('Form Options'!$F$5:$F$22,MATCH(B51,'Form Options'!$A$5:$A$22,0))</x:f>
        <x:v>0.011242660241507064</x:v>
      </x:c>
      <x:c r="I51" s="72" t="n">
        <x:v>1</x:v>
      </x:c>
      <x:c r="J51" s="73" t="n">
        <x:v>0</x:v>
      </x:c>
      <x:c r="K51" s="73" t="n">
        <x:v>0</x:v>
      </x:c>
      <x:c r="L51" s="71" t="str">
        <x:f>IF(AND(I51=1,J51=0,K51=0),"AUTHORIZED / NOT ISSUED","INVALID")</x:f>
        <x:v>AUTHORIZED / NOT ISSUED</x:v>
      </x:c>
      <x:c r="M51" s="72" t="n">
        <x:f>COUNTIFS($B$5:$B$94,B51)</x:f>
        <x:v>5</x:v>
      </x:c>
      <x:c r="N51" s="82" t="n">
        <x:f>SUMIFS($F$5:$F$94,$B$5:$B$94,B51)</x:f>
        <x:v>1</x:v>
      </x:c>
      <x:c r="O51" s="71" t="str">
        <x:v>FRAME design only; MAKE and evidence remain held.</x:v>
      </x:c>
    </x:row>
    <x:row r="52">
      <x:c r="A52" s="71" t="str">
        <x:v>W048</x:v>
      </x:c>
      <x:c r="B52" s="71" t="str">
        <x:v>LF-B-A</x:v>
      </x:c>
      <x:c r="C52" s="71" t="str">
        <x:v>LF-B</x:v>
      </x:c>
      <x:c r="D52" s="71" t="str">
        <x:v>CIVIL</x:v>
      </x:c>
      <x:c r="E52" s="71" t="str">
        <x:v>Rights, receiver and residual closure</x:v>
      </x:c>
      <x:c r="F52" s="82" t="n">
        <x:v>0.15</x:v>
      </x:c>
      <x:c r="G52" s="71" t="str">
        <x:v>Resolve lawful access, receiver acceptance, residual custody and protected-state intervention.</x:v>
      </x:c>
      <x:c r="H52" s="73" t="n">
        <x:f>F52*INDEX('Form Options'!$F$5:$F$22,MATCH(B52,'Form Options'!$A$5:$A$22,0))</x:f>
        <x:v>0.006745596144904238</x:v>
      </x:c>
      <x:c r="I52" s="72" t="n">
        <x:v>1</x:v>
      </x:c>
      <x:c r="J52" s="73" t="n">
        <x:v>0</x:v>
      </x:c>
      <x:c r="K52" s="73" t="n">
        <x:v>0</x:v>
      </x:c>
      <x:c r="L52" s="71" t="str">
        <x:f>IF(AND(I52=1,J52=0,K52=0),"AUTHORIZED / NOT ISSUED","INVALID")</x:f>
        <x:v>AUTHORIZED / NOT ISSUED</x:v>
      </x:c>
      <x:c r="M52" s="72" t="n">
        <x:f>COUNTIFS($B$5:$B$94,B52)</x:f>
        <x:v>5</x:v>
      </x:c>
      <x:c r="N52" s="82" t="n">
        <x:f>SUMIFS($F$5:$F$94,$B$5:$B$94,B52)</x:f>
        <x:v>1</x:v>
      </x:c>
      <x:c r="O52" s="71" t="str">
        <x:v>FRAME design only; MAKE and evidence remain held.</x:v>
      </x:c>
    </x:row>
    <x:row r="53">
      <x:c r="A53" s="71" t="str">
        <x:v>W049</x:v>
      </x:c>
      <x:c r="B53" s="71" t="str">
        <x:v>LF-B-A</x:v>
      </x:c>
      <x:c r="C53" s="71" t="str">
        <x:v>LF-B</x:v>
      </x:c>
      <x:c r="D53" s="71" t="str">
        <x:v>ARTICLE</x:v>
      </x:c>
      <x:c r="E53" s="71" t="str">
        <x:v>Destructive-article engineering</x:v>
      </x:c>
      <x:c r="F53" s="82" t="n">
        <x:v>0.25</x:v>
      </x:c>
      <x:c r="G53" s="71" t="str">
        <x:v>Complete root-native interfaces, loads, isolation, safe state and sacrificial article definition.</x:v>
      </x:c>
      <x:c r="H53" s="73" t="n">
        <x:f>F53*INDEX('Form Options'!$F$5:$F$22,MATCH(B53,'Form Options'!$A$5:$A$22,0))</x:f>
        <x:v>0.011242660241507064</x:v>
      </x:c>
      <x:c r="I53" s="72" t="n">
        <x:v>1</x:v>
      </x:c>
      <x:c r="J53" s="73" t="n">
        <x:v>0</x:v>
      </x:c>
      <x:c r="K53" s="73" t="n">
        <x:v>0</x:v>
      </x:c>
      <x:c r="L53" s="71" t="str">
        <x:f>IF(AND(I53=1,J53=0,K53=0),"AUTHORIZED / NOT ISSUED","INVALID")</x:f>
        <x:v>AUTHORIZED / NOT ISSUED</x:v>
      </x:c>
      <x:c r="M53" s="72" t="n">
        <x:f>COUNTIFS($B$5:$B$94,B53)</x:f>
        <x:v>5</x:v>
      </x:c>
      <x:c r="N53" s="82" t="n">
        <x:f>SUMIFS($F$5:$F$94,$B$5:$B$94,B53)</x:f>
        <x:v>1</x:v>
      </x:c>
      <x:c r="O53" s="71" t="str">
        <x:v>FRAME design only; MAKE and evidence remain held.</x:v>
      </x:c>
    </x:row>
    <x:row r="54">
      <x:c r="A54" s="71" t="str">
        <x:v>W050</x:v>
      </x:c>
      <x:c r="B54" s="71" t="str">
        <x:v>LF-B-A</x:v>
      </x:c>
      <x:c r="C54" s="71" t="str">
        <x:v>LF-B</x:v>
      </x:c>
      <x:c r="D54" s="71" t="str">
        <x:v>REBUILD</x:v>
      </x:c>
      <x:c r="E54" s="71" t="str">
        <x:v>Cold reconstruction and challenge</x:v>
      </x:c>
      <x:c r="F54" s="82" t="n">
        <x:v>0.15</x:v>
      </x:c>
      <x:c r="G54" s="71" t="str">
        <x:v>Freeze public build records, held inventory, clean-team method and independent challenge.</x:v>
      </x:c>
      <x:c r="H54" s="73" t="n">
        <x:f>F54*INDEX('Form Options'!$F$5:$F$22,MATCH(B54,'Form Options'!$A$5:$A$22,0))</x:f>
        <x:v>0.006745596144904238</x:v>
      </x:c>
      <x:c r="I54" s="72" t="n">
        <x:v>1</x:v>
      </x:c>
      <x:c r="J54" s="73" t="n">
        <x:v>0</x:v>
      </x:c>
      <x:c r="K54" s="73" t="n">
        <x:v>0</x:v>
      </x:c>
      <x:c r="L54" s="71" t="str">
        <x:f>IF(AND(I54=1,J54=0,K54=0),"AUTHORIZED / NOT ISSUED","INVALID")</x:f>
        <x:v>AUTHORIZED / NOT ISSUED</x:v>
      </x:c>
      <x:c r="M54" s="72" t="n">
        <x:f>COUNTIFS($B$5:$B$94,B54)</x:f>
        <x:v>5</x:v>
      </x:c>
      <x:c r="N54" s="82" t="n">
        <x:f>SUMIFS($F$5:$F$94,$B$5:$B$94,B54)</x:f>
        <x:v>1</x:v>
      </x:c>
      <x:c r="O54" s="71" t="str">
        <x:v>FRAME design only; MAKE and evidence remain held.</x:v>
      </x:c>
    </x:row>
    <x:row r="55">
      <x:c r="A55" s="71" t="str">
        <x:v>W051</x:v>
      </x:c>
      <x:c r="B55" s="71" t="str">
        <x:v>LF-B-B</x:v>
      </x:c>
      <x:c r="C55" s="71" t="str">
        <x:v>LF-B</x:v>
      </x:c>
      <x:c r="D55" s="71" t="str">
        <x:v>METHOD</x:v>
      </x:c>
      <x:c r="E55" s="71" t="str">
        <x:v>Event method and frozen denominator</x:v>
      </x:c>
      <x:c r="F55" s="82" t="n">
        <x:v>0.2</x:v>
      </x:c>
      <x:c r="G55" s="71" t="str">
        <x:v>Complete the destructive-event method, denominator, stopping rule and repeat rule.</x:v>
      </x:c>
      <x:c r="H55" s="73" t="n">
        <x:f>F55*INDEX('Form Options'!$F$5:$F$22,MATCH(B55,'Form Options'!$A$5:$A$22,0))</x:f>
        <x:v>0.008994128193205652</x:v>
      </x:c>
      <x:c r="I55" s="72" t="n">
        <x:v>1</x:v>
      </x:c>
      <x:c r="J55" s="73" t="n">
        <x:v>0</x:v>
      </x:c>
      <x:c r="K55" s="73" t="n">
        <x:v>0</x:v>
      </x:c>
      <x:c r="L55" s="71" t="str">
        <x:f>IF(AND(I55=1,J55=0,K55=0),"AUTHORIZED / NOT ISSUED","INVALID")</x:f>
        <x:v>AUTHORIZED / NOT ISSUED</x:v>
      </x:c>
      <x:c r="M55" s="72" t="n">
        <x:f>COUNTIFS($B$5:$B$94,B55)</x:f>
        <x:v>5</x:v>
      </x:c>
      <x:c r="N55" s="82" t="n">
        <x:f>SUMIFS($F$5:$F$94,$B$5:$B$94,B55)</x:f>
        <x:v>1</x:v>
      </x:c>
      <x:c r="O55" s="71" t="str">
        <x:v>FRAME design only; MAKE and evidence remain held.</x:v>
      </x:c>
    </x:row>
    <x:row r="56">
      <x:c r="A56" s="71" t="str">
        <x:v>W052</x:v>
      </x:c>
      <x:c r="B56" s="71" t="str">
        <x:v>LF-B-B</x:v>
      </x:c>
      <x:c r="C56" s="71" t="str">
        <x:v>LF-B</x:v>
      </x:c>
      <x:c r="D56" s="71" t="str">
        <x:v>MEASURE</x:v>
      </x:c>
      <x:c r="E56" s="71" t="str">
        <x:v>Instrumentation, custody and validity</x:v>
      </x:c>
      <x:c r="F56" s="82" t="n">
        <x:v>0.25</x:v>
      </x:c>
      <x:c r="G56" s="71" t="str">
        <x:v>Design independent sensing, calibration, missingness, ancestry and validity records.</x:v>
      </x:c>
      <x:c r="H56" s="73" t="n">
        <x:f>F56*INDEX('Form Options'!$F$5:$F$22,MATCH(B56,'Form Options'!$A$5:$A$22,0))</x:f>
        <x:v>0.011242660241507064</x:v>
      </x:c>
      <x:c r="I56" s="72" t="n">
        <x:v>1</x:v>
      </x:c>
      <x:c r="J56" s="73" t="n">
        <x:v>0</x:v>
      </x:c>
      <x:c r="K56" s="73" t="n">
        <x:v>0</x:v>
      </x:c>
      <x:c r="L56" s="71" t="str">
        <x:f>IF(AND(I56=1,J56=0,K56=0),"AUTHORIZED / NOT ISSUED","INVALID")</x:f>
        <x:v>AUTHORIZED / NOT ISSUED</x:v>
      </x:c>
      <x:c r="M56" s="72" t="n">
        <x:f>COUNTIFS($B$5:$B$94,B56)</x:f>
        <x:v>5</x:v>
      </x:c>
      <x:c r="N56" s="82" t="n">
        <x:f>SUMIFS($F$5:$F$94,$B$5:$B$94,B56)</x:f>
        <x:v>1</x:v>
      </x:c>
      <x:c r="O56" s="71" t="str">
        <x:v>FRAME design only; MAKE and evidence remain held.</x:v>
      </x:c>
    </x:row>
    <x:row r="57">
      <x:c r="A57" s="71" t="str">
        <x:v>W053</x:v>
      </x:c>
      <x:c r="B57" s="71" t="str">
        <x:v>LF-B-B</x:v>
      </x:c>
      <x:c r="C57" s="71" t="str">
        <x:v>LF-B</x:v>
      </x:c>
      <x:c r="D57" s="71" t="str">
        <x:v>CIVIL</x:v>
      </x:c>
      <x:c r="E57" s="71" t="str">
        <x:v>Rights, receiver and residual closure</x:v>
      </x:c>
      <x:c r="F57" s="82" t="n">
        <x:v>0.15</x:v>
      </x:c>
      <x:c r="G57" s="71" t="str">
        <x:v>Resolve lawful access, receiver acceptance, residual custody and protected-state intervention.</x:v>
      </x:c>
      <x:c r="H57" s="73" t="n">
        <x:f>F57*INDEX('Form Options'!$F$5:$F$22,MATCH(B57,'Form Options'!$A$5:$A$22,0))</x:f>
        <x:v>0.006745596144904238</x:v>
      </x:c>
      <x:c r="I57" s="72" t="n">
        <x:v>1</x:v>
      </x:c>
      <x:c r="J57" s="73" t="n">
        <x:v>0</x:v>
      </x:c>
      <x:c r="K57" s="73" t="n">
        <x:v>0</x:v>
      </x:c>
      <x:c r="L57" s="71" t="str">
        <x:f>IF(AND(I57=1,J57=0,K57=0),"AUTHORIZED / NOT ISSUED","INVALID")</x:f>
        <x:v>AUTHORIZED / NOT ISSUED</x:v>
      </x:c>
      <x:c r="M57" s="72" t="n">
        <x:f>COUNTIFS($B$5:$B$94,B57)</x:f>
        <x:v>5</x:v>
      </x:c>
      <x:c r="N57" s="82" t="n">
        <x:f>SUMIFS($F$5:$F$94,$B$5:$B$94,B57)</x:f>
        <x:v>1</x:v>
      </x:c>
      <x:c r="O57" s="71" t="str">
        <x:v>FRAME design only; MAKE and evidence remain held.</x:v>
      </x:c>
    </x:row>
    <x:row r="58">
      <x:c r="A58" s="71" t="str">
        <x:v>W054</x:v>
      </x:c>
      <x:c r="B58" s="71" t="str">
        <x:v>LF-B-B</x:v>
      </x:c>
      <x:c r="C58" s="71" t="str">
        <x:v>LF-B</x:v>
      </x:c>
      <x:c r="D58" s="71" t="str">
        <x:v>ARTICLE</x:v>
      </x:c>
      <x:c r="E58" s="71" t="str">
        <x:v>Destructive-article engineering</x:v>
      </x:c>
      <x:c r="F58" s="82" t="n">
        <x:v>0.25</x:v>
      </x:c>
      <x:c r="G58" s="71" t="str">
        <x:v>Complete root-native interfaces, loads, isolation, safe state and sacrificial article definition.</x:v>
      </x:c>
      <x:c r="H58" s="73" t="n">
        <x:f>F58*INDEX('Form Options'!$F$5:$F$22,MATCH(B58,'Form Options'!$A$5:$A$22,0))</x:f>
        <x:v>0.011242660241507064</x:v>
      </x:c>
      <x:c r="I58" s="72" t="n">
        <x:v>1</x:v>
      </x:c>
      <x:c r="J58" s="73" t="n">
        <x:v>0</x:v>
      </x:c>
      <x:c r="K58" s="73" t="n">
        <x:v>0</x:v>
      </x:c>
      <x:c r="L58" s="71" t="str">
        <x:f>IF(AND(I58=1,J58=0,K58=0),"AUTHORIZED / NOT ISSUED","INVALID")</x:f>
        <x:v>AUTHORIZED / NOT ISSUED</x:v>
      </x:c>
      <x:c r="M58" s="72" t="n">
        <x:f>COUNTIFS($B$5:$B$94,B58)</x:f>
        <x:v>5</x:v>
      </x:c>
      <x:c r="N58" s="82" t="n">
        <x:f>SUMIFS($F$5:$F$94,$B$5:$B$94,B58)</x:f>
        <x:v>1</x:v>
      </x:c>
      <x:c r="O58" s="71" t="str">
        <x:v>FRAME design only; MAKE and evidence remain held.</x:v>
      </x:c>
    </x:row>
    <x:row r="59">
      <x:c r="A59" s="71" t="str">
        <x:v>W055</x:v>
      </x:c>
      <x:c r="B59" s="71" t="str">
        <x:v>LF-B-B</x:v>
      </x:c>
      <x:c r="C59" s="71" t="str">
        <x:v>LF-B</x:v>
      </x:c>
      <x:c r="D59" s="71" t="str">
        <x:v>REBUILD</x:v>
      </x:c>
      <x:c r="E59" s="71" t="str">
        <x:v>Cold reconstruction and challenge</x:v>
      </x:c>
      <x:c r="F59" s="82" t="n">
        <x:v>0.15</x:v>
      </x:c>
      <x:c r="G59" s="71" t="str">
        <x:v>Freeze public build records, held inventory, clean-team method and independent challenge.</x:v>
      </x:c>
      <x:c r="H59" s="73" t="n">
        <x:f>F59*INDEX('Form Options'!$F$5:$F$22,MATCH(B59,'Form Options'!$A$5:$A$22,0))</x:f>
        <x:v>0.006745596144904238</x:v>
      </x:c>
      <x:c r="I59" s="72" t="n">
        <x:v>1</x:v>
      </x:c>
      <x:c r="J59" s="73" t="n">
        <x:v>0</x:v>
      </x:c>
      <x:c r="K59" s="73" t="n">
        <x:v>0</x:v>
      </x:c>
      <x:c r="L59" s="71" t="str">
        <x:f>IF(AND(I59=1,J59=0,K59=0),"AUTHORIZED / NOT ISSUED","INVALID")</x:f>
        <x:v>AUTHORIZED / NOT ISSUED</x:v>
      </x:c>
      <x:c r="M59" s="72" t="n">
        <x:f>COUNTIFS($B$5:$B$94,B59)</x:f>
        <x:v>5</x:v>
      </x:c>
      <x:c r="N59" s="82" t="n">
        <x:f>SUMIFS($F$5:$F$94,$B$5:$B$94,B59)</x:f>
        <x:v>1</x:v>
      </x:c>
      <x:c r="O59" s="71" t="str">
        <x:v>FRAME design only; MAKE and evidence remain held.</x:v>
      </x:c>
    </x:row>
    <x:row r="60">
      <x:c r="A60" s="71" t="str">
        <x:v>W056</x:v>
      </x:c>
      <x:c r="B60" s="71" t="str">
        <x:v>LF-B-C</x:v>
      </x:c>
      <x:c r="C60" s="71" t="str">
        <x:v>LF-B</x:v>
      </x:c>
      <x:c r="D60" s="71" t="str">
        <x:v>METHOD</x:v>
      </x:c>
      <x:c r="E60" s="71" t="str">
        <x:v>Event method and frozen denominator</x:v>
      </x:c>
      <x:c r="F60" s="82" t="n">
        <x:v>0.2</x:v>
      </x:c>
      <x:c r="G60" s="71" t="str">
        <x:v>Complete the destructive-event method, denominator, stopping rule and repeat rule.</x:v>
      </x:c>
      <x:c r="H60" s="73" t="n">
        <x:f>F60*INDEX('Form Options'!$F$5:$F$22,MATCH(B60,'Form Options'!$A$5:$A$22,0))</x:f>
        <x:v>0.008994128193205652</x:v>
      </x:c>
      <x:c r="I60" s="72" t="n">
        <x:v>1</x:v>
      </x:c>
      <x:c r="J60" s="73" t="n">
        <x:v>0</x:v>
      </x:c>
      <x:c r="K60" s="73" t="n">
        <x:v>0</x:v>
      </x:c>
      <x:c r="L60" s="71" t="str">
        <x:f>IF(AND(I60=1,J60=0,K60=0),"AUTHORIZED / NOT ISSUED","INVALID")</x:f>
        <x:v>AUTHORIZED / NOT ISSUED</x:v>
      </x:c>
      <x:c r="M60" s="72" t="n">
        <x:f>COUNTIFS($B$5:$B$94,B60)</x:f>
        <x:v>5</x:v>
      </x:c>
      <x:c r="N60" s="82" t="n">
        <x:f>SUMIFS($F$5:$F$94,$B$5:$B$94,B60)</x:f>
        <x:v>1</x:v>
      </x:c>
      <x:c r="O60" s="71" t="str">
        <x:v>FRAME design only; MAKE and evidence remain held.</x:v>
      </x:c>
    </x:row>
    <x:row r="61">
      <x:c r="A61" s="71" t="str">
        <x:v>W057</x:v>
      </x:c>
      <x:c r="B61" s="71" t="str">
        <x:v>LF-B-C</x:v>
      </x:c>
      <x:c r="C61" s="71" t="str">
        <x:v>LF-B</x:v>
      </x:c>
      <x:c r="D61" s="71" t="str">
        <x:v>MEASURE</x:v>
      </x:c>
      <x:c r="E61" s="71" t="str">
        <x:v>Instrumentation, custody and validity</x:v>
      </x:c>
      <x:c r="F61" s="82" t="n">
        <x:v>0.25</x:v>
      </x:c>
      <x:c r="G61" s="71" t="str">
        <x:v>Design independent sensing, calibration, missingness, ancestry and validity records.</x:v>
      </x:c>
      <x:c r="H61" s="73" t="n">
        <x:f>F61*INDEX('Form Options'!$F$5:$F$22,MATCH(B61,'Form Options'!$A$5:$A$22,0))</x:f>
        <x:v>0.011242660241507064</x:v>
      </x:c>
      <x:c r="I61" s="72" t="n">
        <x:v>1</x:v>
      </x:c>
      <x:c r="J61" s="73" t="n">
        <x:v>0</x:v>
      </x:c>
      <x:c r="K61" s="73" t="n">
        <x:v>0</x:v>
      </x:c>
      <x:c r="L61" s="71" t="str">
        <x:f>IF(AND(I61=1,J61=0,K61=0),"AUTHORIZED / NOT ISSUED","INVALID")</x:f>
        <x:v>AUTHORIZED / NOT ISSUED</x:v>
      </x:c>
      <x:c r="M61" s="72" t="n">
        <x:f>COUNTIFS($B$5:$B$94,B61)</x:f>
        <x:v>5</x:v>
      </x:c>
      <x:c r="N61" s="82" t="n">
        <x:f>SUMIFS($F$5:$F$94,$B$5:$B$94,B61)</x:f>
        <x:v>1</x:v>
      </x:c>
      <x:c r="O61" s="71" t="str">
        <x:v>FRAME design only; MAKE and evidence remain held.</x:v>
      </x:c>
    </x:row>
    <x:row r="62">
      <x:c r="A62" s="71" t="str">
        <x:v>W058</x:v>
      </x:c>
      <x:c r="B62" s="71" t="str">
        <x:v>LF-B-C</x:v>
      </x:c>
      <x:c r="C62" s="71" t="str">
        <x:v>LF-B</x:v>
      </x:c>
      <x:c r="D62" s="71" t="str">
        <x:v>CIVIL</x:v>
      </x:c>
      <x:c r="E62" s="71" t="str">
        <x:v>Rights, receiver and residual closure</x:v>
      </x:c>
      <x:c r="F62" s="82" t="n">
        <x:v>0.15</x:v>
      </x:c>
      <x:c r="G62" s="71" t="str">
        <x:v>Resolve lawful access, receiver acceptance, residual custody and protected-state intervention.</x:v>
      </x:c>
      <x:c r="H62" s="73" t="n">
        <x:f>F62*INDEX('Form Options'!$F$5:$F$22,MATCH(B62,'Form Options'!$A$5:$A$22,0))</x:f>
        <x:v>0.006745596144904238</x:v>
      </x:c>
      <x:c r="I62" s="72" t="n">
        <x:v>1</x:v>
      </x:c>
      <x:c r="J62" s="73" t="n">
        <x:v>0</x:v>
      </x:c>
      <x:c r="K62" s="73" t="n">
        <x:v>0</x:v>
      </x:c>
      <x:c r="L62" s="71" t="str">
        <x:f>IF(AND(I62=1,J62=0,K62=0),"AUTHORIZED / NOT ISSUED","INVALID")</x:f>
        <x:v>AUTHORIZED / NOT ISSUED</x:v>
      </x:c>
      <x:c r="M62" s="72" t="n">
        <x:f>COUNTIFS($B$5:$B$94,B62)</x:f>
        <x:v>5</x:v>
      </x:c>
      <x:c r="N62" s="82" t="n">
        <x:f>SUMIFS($F$5:$F$94,$B$5:$B$94,B62)</x:f>
        <x:v>1</x:v>
      </x:c>
      <x:c r="O62" s="71" t="str">
        <x:v>FRAME design only; MAKE and evidence remain held.</x:v>
      </x:c>
    </x:row>
    <x:row r="63">
      <x:c r="A63" s="71" t="str">
        <x:v>W059</x:v>
      </x:c>
      <x:c r="B63" s="71" t="str">
        <x:v>LF-B-C</x:v>
      </x:c>
      <x:c r="C63" s="71" t="str">
        <x:v>LF-B</x:v>
      </x:c>
      <x:c r="D63" s="71" t="str">
        <x:v>ARTICLE</x:v>
      </x:c>
      <x:c r="E63" s="71" t="str">
        <x:v>Destructive-article engineering</x:v>
      </x:c>
      <x:c r="F63" s="82" t="n">
        <x:v>0.25</x:v>
      </x:c>
      <x:c r="G63" s="71" t="str">
        <x:v>Complete root-native interfaces, loads, isolation, safe state and sacrificial article definition.</x:v>
      </x:c>
      <x:c r="H63" s="73" t="n">
        <x:f>F63*INDEX('Form Options'!$F$5:$F$22,MATCH(B63,'Form Options'!$A$5:$A$22,0))</x:f>
        <x:v>0.011242660241507064</x:v>
      </x:c>
      <x:c r="I63" s="72" t="n">
        <x:v>1</x:v>
      </x:c>
      <x:c r="J63" s="73" t="n">
        <x:v>0</x:v>
      </x:c>
      <x:c r="K63" s="73" t="n">
        <x:v>0</x:v>
      </x:c>
      <x:c r="L63" s="71" t="str">
        <x:f>IF(AND(I63=1,J63=0,K63=0),"AUTHORIZED / NOT ISSUED","INVALID")</x:f>
        <x:v>AUTHORIZED / NOT ISSUED</x:v>
      </x:c>
      <x:c r="M63" s="72" t="n">
        <x:f>COUNTIFS($B$5:$B$94,B63)</x:f>
        <x:v>5</x:v>
      </x:c>
      <x:c r="N63" s="82" t="n">
        <x:f>SUMIFS($F$5:$F$94,$B$5:$B$94,B63)</x:f>
        <x:v>1</x:v>
      </x:c>
      <x:c r="O63" s="71" t="str">
        <x:v>FRAME design only; MAKE and evidence remain held.</x:v>
      </x:c>
    </x:row>
    <x:row r="64">
      <x:c r="A64" s="71" t="str">
        <x:v>W060</x:v>
      </x:c>
      <x:c r="B64" s="71" t="str">
        <x:v>LF-B-C</x:v>
      </x:c>
      <x:c r="C64" s="71" t="str">
        <x:v>LF-B</x:v>
      </x:c>
      <x:c r="D64" s="71" t="str">
        <x:v>REBUILD</x:v>
      </x:c>
      <x:c r="E64" s="71" t="str">
        <x:v>Cold reconstruction and challenge</x:v>
      </x:c>
      <x:c r="F64" s="82" t="n">
        <x:v>0.15</x:v>
      </x:c>
      <x:c r="G64" s="71" t="str">
        <x:v>Freeze public build records, held inventory, clean-team method and independent challenge.</x:v>
      </x:c>
      <x:c r="H64" s="73" t="n">
        <x:f>F64*INDEX('Form Options'!$F$5:$F$22,MATCH(B64,'Form Options'!$A$5:$A$22,0))</x:f>
        <x:v>0.006745596144904238</x:v>
      </x:c>
      <x:c r="I64" s="72" t="n">
        <x:v>1</x:v>
      </x:c>
      <x:c r="J64" s="73" t="n">
        <x:v>0</x:v>
      </x:c>
      <x:c r="K64" s="73" t="n">
        <x:v>0</x:v>
      </x:c>
      <x:c r="L64" s="71" t="str">
        <x:f>IF(AND(I64=1,J64=0,K64=0),"AUTHORIZED / NOT ISSUED","INVALID")</x:f>
        <x:v>AUTHORIZED / NOT ISSUED</x:v>
      </x:c>
      <x:c r="M64" s="72" t="n">
        <x:f>COUNTIFS($B$5:$B$94,B64)</x:f>
        <x:v>5</x:v>
      </x:c>
      <x:c r="N64" s="82" t="n">
        <x:f>SUMIFS($F$5:$F$94,$B$5:$B$94,B64)</x:f>
        <x:v>1</x:v>
      </x:c>
      <x:c r="O64" s="71" t="str">
        <x:v>FRAME design only; MAKE and evidence remain held.</x:v>
      </x:c>
    </x:row>
    <x:row r="65">
      <x:c r="A65" s="71" t="str">
        <x:v>W061</x:v>
      </x:c>
      <x:c r="B65" s="71" t="str">
        <x:v>HU-A-A</x:v>
      </x:c>
      <x:c r="C65" s="71" t="str">
        <x:v>HU-A</x:v>
      </x:c>
      <x:c r="D65" s="71" t="str">
        <x:v>METHOD</x:v>
      </x:c>
      <x:c r="E65" s="71" t="str">
        <x:v>Event method and frozen denominator</x:v>
      </x:c>
      <x:c r="F65" s="82" t="n">
        <x:v>0.2</x:v>
      </x:c>
      <x:c r="G65" s="71" t="str">
        <x:v>Complete the destructive-event method, denominator, stopping rule and repeat rule.</x:v>
      </x:c>
      <x:c r="H65" s="73" t="n">
        <x:f>F65*INDEX('Form Options'!$F$5:$F$22,MATCH(B65,'Form Options'!$A$5:$A$22,0))</x:f>
        <x:v>0.00860712452941095</x:v>
      </x:c>
      <x:c r="I65" s="72" t="n">
        <x:v>1</x:v>
      </x:c>
      <x:c r="J65" s="73" t="n">
        <x:v>0</x:v>
      </x:c>
      <x:c r="K65" s="73" t="n">
        <x:v>0</x:v>
      </x:c>
      <x:c r="L65" s="71" t="str">
        <x:f>IF(AND(I65=1,J65=0,K65=0),"AUTHORIZED / NOT ISSUED","INVALID")</x:f>
        <x:v>AUTHORIZED / NOT ISSUED</x:v>
      </x:c>
      <x:c r="M65" s="72" t="n">
        <x:f>COUNTIFS($B$5:$B$94,B65)</x:f>
        <x:v>5</x:v>
      </x:c>
      <x:c r="N65" s="82" t="n">
        <x:f>SUMIFS($F$5:$F$94,$B$5:$B$94,B65)</x:f>
        <x:v>1</x:v>
      </x:c>
      <x:c r="O65" s="71" t="str">
        <x:v>FRAME design only; MAKE and evidence remain held.</x:v>
      </x:c>
    </x:row>
    <x:row r="66">
      <x:c r="A66" s="71" t="str">
        <x:v>W062</x:v>
      </x:c>
      <x:c r="B66" s="71" t="str">
        <x:v>HU-A-A</x:v>
      </x:c>
      <x:c r="C66" s="71" t="str">
        <x:v>HU-A</x:v>
      </x:c>
      <x:c r="D66" s="71" t="str">
        <x:v>MEASURE</x:v>
      </x:c>
      <x:c r="E66" s="71" t="str">
        <x:v>Instrumentation, custody and validity</x:v>
      </x:c>
      <x:c r="F66" s="82" t="n">
        <x:v>0.25</x:v>
      </x:c>
      <x:c r="G66" s="71" t="str">
        <x:v>Design independent sensing, calibration, missingness, ancestry and validity records.</x:v>
      </x:c>
      <x:c r="H66" s="73" t="n">
        <x:f>F66*INDEX('Form Options'!$F$5:$F$22,MATCH(B66,'Form Options'!$A$5:$A$22,0))</x:f>
        <x:v>0.010758905661763686</x:v>
      </x:c>
      <x:c r="I66" s="72" t="n">
        <x:v>1</x:v>
      </x:c>
      <x:c r="J66" s="73" t="n">
        <x:v>0</x:v>
      </x:c>
      <x:c r="K66" s="73" t="n">
        <x:v>0</x:v>
      </x:c>
      <x:c r="L66" s="71" t="str">
        <x:f>IF(AND(I66=1,J66=0,K66=0),"AUTHORIZED / NOT ISSUED","INVALID")</x:f>
        <x:v>AUTHORIZED / NOT ISSUED</x:v>
      </x:c>
      <x:c r="M66" s="72" t="n">
        <x:f>COUNTIFS($B$5:$B$94,B66)</x:f>
        <x:v>5</x:v>
      </x:c>
      <x:c r="N66" s="82" t="n">
        <x:f>SUMIFS($F$5:$F$94,$B$5:$B$94,B66)</x:f>
        <x:v>1</x:v>
      </x:c>
      <x:c r="O66" s="71" t="str">
        <x:v>FRAME design only; MAKE and evidence remain held.</x:v>
      </x:c>
    </x:row>
    <x:row r="67">
      <x:c r="A67" s="71" t="str">
        <x:v>W063</x:v>
      </x:c>
      <x:c r="B67" s="71" t="str">
        <x:v>HU-A-A</x:v>
      </x:c>
      <x:c r="C67" s="71" t="str">
        <x:v>HU-A</x:v>
      </x:c>
      <x:c r="D67" s="71" t="str">
        <x:v>CIVIL</x:v>
      </x:c>
      <x:c r="E67" s="71" t="str">
        <x:v>Rights, receiver and residual closure</x:v>
      </x:c>
      <x:c r="F67" s="82" t="n">
        <x:v>0.15</x:v>
      </x:c>
      <x:c r="G67" s="71" t="str">
        <x:v>Resolve lawful access, receiver acceptance, residual custody and protected-state intervention.</x:v>
      </x:c>
      <x:c r="H67" s="73" t="n">
        <x:f>F67*INDEX('Form Options'!$F$5:$F$22,MATCH(B67,'Form Options'!$A$5:$A$22,0))</x:f>
        <x:v>0.0064553433970582115</x:v>
      </x:c>
      <x:c r="I67" s="72" t="n">
        <x:v>1</x:v>
      </x:c>
      <x:c r="J67" s="73" t="n">
        <x:v>0</x:v>
      </x:c>
      <x:c r="K67" s="73" t="n">
        <x:v>0</x:v>
      </x:c>
      <x:c r="L67" s="71" t="str">
        <x:f>IF(AND(I67=1,J67=0,K67=0),"AUTHORIZED / NOT ISSUED","INVALID")</x:f>
        <x:v>AUTHORIZED / NOT ISSUED</x:v>
      </x:c>
      <x:c r="M67" s="72" t="n">
        <x:f>COUNTIFS($B$5:$B$94,B67)</x:f>
        <x:v>5</x:v>
      </x:c>
      <x:c r="N67" s="82" t="n">
        <x:f>SUMIFS($F$5:$F$94,$B$5:$B$94,B67)</x:f>
        <x:v>1</x:v>
      </x:c>
      <x:c r="O67" s="71" t="str">
        <x:v>FRAME design only; MAKE and evidence remain held.</x:v>
      </x:c>
    </x:row>
    <x:row r="68">
      <x:c r="A68" s="71" t="str">
        <x:v>W064</x:v>
      </x:c>
      <x:c r="B68" s="71" t="str">
        <x:v>HU-A-A</x:v>
      </x:c>
      <x:c r="C68" s="71" t="str">
        <x:v>HU-A</x:v>
      </x:c>
      <x:c r="D68" s="71" t="str">
        <x:v>ARTICLE</x:v>
      </x:c>
      <x:c r="E68" s="71" t="str">
        <x:v>Destructive-article engineering</x:v>
      </x:c>
      <x:c r="F68" s="82" t="n">
        <x:v>0.25</x:v>
      </x:c>
      <x:c r="G68" s="71" t="str">
        <x:v>Complete root-native interfaces, loads, isolation, safe state and sacrificial article definition.</x:v>
      </x:c>
      <x:c r="H68" s="73" t="n">
        <x:f>F68*INDEX('Form Options'!$F$5:$F$22,MATCH(B68,'Form Options'!$A$5:$A$22,0))</x:f>
        <x:v>0.010758905661763686</x:v>
      </x:c>
      <x:c r="I68" s="72" t="n">
        <x:v>1</x:v>
      </x:c>
      <x:c r="J68" s="73" t="n">
        <x:v>0</x:v>
      </x:c>
      <x:c r="K68" s="73" t="n">
        <x:v>0</x:v>
      </x:c>
      <x:c r="L68" s="71" t="str">
        <x:f>IF(AND(I68=1,J68=0,K68=0),"AUTHORIZED / NOT ISSUED","INVALID")</x:f>
        <x:v>AUTHORIZED / NOT ISSUED</x:v>
      </x:c>
      <x:c r="M68" s="72" t="n">
        <x:f>COUNTIFS($B$5:$B$94,B68)</x:f>
        <x:v>5</x:v>
      </x:c>
      <x:c r="N68" s="82" t="n">
        <x:f>SUMIFS($F$5:$F$94,$B$5:$B$94,B68)</x:f>
        <x:v>1</x:v>
      </x:c>
      <x:c r="O68" s="71" t="str">
        <x:v>FRAME design only; MAKE and evidence remain held.</x:v>
      </x:c>
    </x:row>
    <x:row r="69">
      <x:c r="A69" s="71" t="str">
        <x:v>W065</x:v>
      </x:c>
      <x:c r="B69" s="71" t="str">
        <x:v>HU-A-A</x:v>
      </x:c>
      <x:c r="C69" s="71" t="str">
        <x:v>HU-A</x:v>
      </x:c>
      <x:c r="D69" s="71" t="str">
        <x:v>REBUILD</x:v>
      </x:c>
      <x:c r="E69" s="71" t="str">
        <x:v>Cold reconstruction and challenge</x:v>
      </x:c>
      <x:c r="F69" s="82" t="n">
        <x:v>0.15</x:v>
      </x:c>
      <x:c r="G69" s="71" t="str">
        <x:v>Freeze public build records, held inventory, clean-team method and independent challenge.</x:v>
      </x:c>
      <x:c r="H69" s="73" t="n">
        <x:f>F69*INDEX('Form Options'!$F$5:$F$22,MATCH(B69,'Form Options'!$A$5:$A$22,0))</x:f>
        <x:v>0.0064553433970582115</x:v>
      </x:c>
      <x:c r="I69" s="72" t="n">
        <x:v>1</x:v>
      </x:c>
      <x:c r="J69" s="73" t="n">
        <x:v>0</x:v>
      </x:c>
      <x:c r="K69" s="73" t="n">
        <x:v>0</x:v>
      </x:c>
      <x:c r="L69" s="71" t="str">
        <x:f>IF(AND(I69=1,J69=0,K69=0),"AUTHORIZED / NOT ISSUED","INVALID")</x:f>
        <x:v>AUTHORIZED / NOT ISSUED</x:v>
      </x:c>
      <x:c r="M69" s="72" t="n">
        <x:f>COUNTIFS($B$5:$B$94,B69)</x:f>
        <x:v>5</x:v>
      </x:c>
      <x:c r="N69" s="82" t="n">
        <x:f>SUMIFS($F$5:$F$94,$B$5:$B$94,B69)</x:f>
        <x:v>1</x:v>
      </x:c>
      <x:c r="O69" s="71" t="str">
        <x:v>FRAME design only; MAKE and evidence remain held.</x:v>
      </x:c>
    </x:row>
    <x:row r="70">
      <x:c r="A70" s="71" t="str">
        <x:v>W066</x:v>
      </x:c>
      <x:c r="B70" s="71" t="str">
        <x:v>HU-A-B</x:v>
      </x:c>
      <x:c r="C70" s="71" t="str">
        <x:v>HU-A</x:v>
      </x:c>
      <x:c r="D70" s="71" t="str">
        <x:v>METHOD</x:v>
      </x:c>
      <x:c r="E70" s="71" t="str">
        <x:v>Event method and frozen denominator</x:v>
      </x:c>
      <x:c r="F70" s="82" t="n">
        <x:v>0.2</x:v>
      </x:c>
      <x:c r="G70" s="71" t="str">
        <x:v>Complete the destructive-event method, denominator, stopping rule and repeat rule.</x:v>
      </x:c>
      <x:c r="H70" s="73" t="n">
        <x:f>F70*INDEX('Form Options'!$F$5:$F$22,MATCH(B70,'Form Options'!$A$5:$A$22,0))</x:f>
        <x:v>0.00860712452941095</x:v>
      </x:c>
      <x:c r="I70" s="72" t="n">
        <x:v>1</x:v>
      </x:c>
      <x:c r="J70" s="73" t="n">
        <x:v>0</x:v>
      </x:c>
      <x:c r="K70" s="73" t="n">
        <x:v>0</x:v>
      </x:c>
      <x:c r="L70" s="71" t="str">
        <x:f>IF(AND(I70=1,J70=0,K70=0),"AUTHORIZED / NOT ISSUED","INVALID")</x:f>
        <x:v>AUTHORIZED / NOT ISSUED</x:v>
      </x:c>
      <x:c r="M70" s="72" t="n">
        <x:f>COUNTIFS($B$5:$B$94,B70)</x:f>
        <x:v>5</x:v>
      </x:c>
      <x:c r="N70" s="82" t="n">
        <x:f>SUMIFS($F$5:$F$94,$B$5:$B$94,B70)</x:f>
        <x:v>1</x:v>
      </x:c>
      <x:c r="O70" s="71" t="str">
        <x:v>FRAME design only; MAKE and evidence remain held.</x:v>
      </x:c>
    </x:row>
    <x:row r="71">
      <x:c r="A71" s="71" t="str">
        <x:v>W067</x:v>
      </x:c>
      <x:c r="B71" s="71" t="str">
        <x:v>HU-A-B</x:v>
      </x:c>
      <x:c r="C71" s="71" t="str">
        <x:v>HU-A</x:v>
      </x:c>
      <x:c r="D71" s="71" t="str">
        <x:v>MEASURE</x:v>
      </x:c>
      <x:c r="E71" s="71" t="str">
        <x:v>Instrumentation, custody and validity</x:v>
      </x:c>
      <x:c r="F71" s="82" t="n">
        <x:v>0.25</x:v>
      </x:c>
      <x:c r="G71" s="71" t="str">
        <x:v>Design independent sensing, calibration, missingness, ancestry and validity records.</x:v>
      </x:c>
      <x:c r="H71" s="73" t="n">
        <x:f>F71*INDEX('Form Options'!$F$5:$F$22,MATCH(B71,'Form Options'!$A$5:$A$22,0))</x:f>
        <x:v>0.010758905661763686</x:v>
      </x:c>
      <x:c r="I71" s="72" t="n">
        <x:v>1</x:v>
      </x:c>
      <x:c r="J71" s="73" t="n">
        <x:v>0</x:v>
      </x:c>
      <x:c r="K71" s="73" t="n">
        <x:v>0</x:v>
      </x:c>
      <x:c r="L71" s="71" t="str">
        <x:f>IF(AND(I71=1,J71=0,K71=0),"AUTHORIZED / NOT ISSUED","INVALID")</x:f>
        <x:v>AUTHORIZED / NOT ISSUED</x:v>
      </x:c>
      <x:c r="M71" s="72" t="n">
        <x:f>COUNTIFS($B$5:$B$94,B71)</x:f>
        <x:v>5</x:v>
      </x:c>
      <x:c r="N71" s="82" t="n">
        <x:f>SUMIFS($F$5:$F$94,$B$5:$B$94,B71)</x:f>
        <x:v>1</x:v>
      </x:c>
      <x:c r="O71" s="71" t="str">
        <x:v>FRAME design only; MAKE and evidence remain held.</x:v>
      </x:c>
    </x:row>
    <x:row r="72">
      <x:c r="A72" s="71" t="str">
        <x:v>W068</x:v>
      </x:c>
      <x:c r="B72" s="71" t="str">
        <x:v>HU-A-B</x:v>
      </x:c>
      <x:c r="C72" s="71" t="str">
        <x:v>HU-A</x:v>
      </x:c>
      <x:c r="D72" s="71" t="str">
        <x:v>CIVIL</x:v>
      </x:c>
      <x:c r="E72" s="71" t="str">
        <x:v>Rights, receiver and residual closure</x:v>
      </x:c>
      <x:c r="F72" s="82" t="n">
        <x:v>0.15</x:v>
      </x:c>
      <x:c r="G72" s="71" t="str">
        <x:v>Resolve lawful access, receiver acceptance, residual custody and protected-state intervention.</x:v>
      </x:c>
      <x:c r="H72" s="73" t="n">
        <x:f>F72*INDEX('Form Options'!$F$5:$F$22,MATCH(B72,'Form Options'!$A$5:$A$22,0))</x:f>
        <x:v>0.0064553433970582115</x:v>
      </x:c>
      <x:c r="I72" s="72" t="n">
        <x:v>1</x:v>
      </x:c>
      <x:c r="J72" s="73" t="n">
        <x:v>0</x:v>
      </x:c>
      <x:c r="K72" s="73" t="n">
        <x:v>0</x:v>
      </x:c>
      <x:c r="L72" s="71" t="str">
        <x:f>IF(AND(I72=1,J72=0,K72=0),"AUTHORIZED / NOT ISSUED","INVALID")</x:f>
        <x:v>AUTHORIZED / NOT ISSUED</x:v>
      </x:c>
      <x:c r="M72" s="72" t="n">
        <x:f>COUNTIFS($B$5:$B$94,B72)</x:f>
        <x:v>5</x:v>
      </x:c>
      <x:c r="N72" s="82" t="n">
        <x:f>SUMIFS($F$5:$F$94,$B$5:$B$94,B72)</x:f>
        <x:v>1</x:v>
      </x:c>
      <x:c r="O72" s="71" t="str">
        <x:v>FRAME design only; MAKE and evidence remain held.</x:v>
      </x:c>
    </x:row>
    <x:row r="73">
      <x:c r="A73" s="71" t="str">
        <x:v>W069</x:v>
      </x:c>
      <x:c r="B73" s="71" t="str">
        <x:v>HU-A-B</x:v>
      </x:c>
      <x:c r="C73" s="71" t="str">
        <x:v>HU-A</x:v>
      </x:c>
      <x:c r="D73" s="71" t="str">
        <x:v>ARTICLE</x:v>
      </x:c>
      <x:c r="E73" s="71" t="str">
        <x:v>Destructive-article engineering</x:v>
      </x:c>
      <x:c r="F73" s="82" t="n">
        <x:v>0.25</x:v>
      </x:c>
      <x:c r="G73" s="71" t="str">
        <x:v>Complete root-native interfaces, loads, isolation, safe state and sacrificial article definition.</x:v>
      </x:c>
      <x:c r="H73" s="73" t="n">
        <x:f>F73*INDEX('Form Options'!$F$5:$F$22,MATCH(B73,'Form Options'!$A$5:$A$22,0))</x:f>
        <x:v>0.010758905661763686</x:v>
      </x:c>
      <x:c r="I73" s="72" t="n">
        <x:v>1</x:v>
      </x:c>
      <x:c r="J73" s="73" t="n">
        <x:v>0</x:v>
      </x:c>
      <x:c r="K73" s="73" t="n">
        <x:v>0</x:v>
      </x:c>
      <x:c r="L73" s="71" t="str">
        <x:f>IF(AND(I73=1,J73=0,K73=0),"AUTHORIZED / NOT ISSUED","INVALID")</x:f>
        <x:v>AUTHORIZED / NOT ISSUED</x:v>
      </x:c>
      <x:c r="M73" s="72" t="n">
        <x:f>COUNTIFS($B$5:$B$94,B73)</x:f>
        <x:v>5</x:v>
      </x:c>
      <x:c r="N73" s="82" t="n">
        <x:f>SUMIFS($F$5:$F$94,$B$5:$B$94,B73)</x:f>
        <x:v>1</x:v>
      </x:c>
      <x:c r="O73" s="71" t="str">
        <x:v>FRAME design only; MAKE and evidence remain held.</x:v>
      </x:c>
    </x:row>
    <x:row r="74">
      <x:c r="A74" s="71" t="str">
        <x:v>W070</x:v>
      </x:c>
      <x:c r="B74" s="71" t="str">
        <x:v>HU-A-B</x:v>
      </x:c>
      <x:c r="C74" s="71" t="str">
        <x:v>HU-A</x:v>
      </x:c>
      <x:c r="D74" s="71" t="str">
        <x:v>REBUILD</x:v>
      </x:c>
      <x:c r="E74" s="71" t="str">
        <x:v>Cold reconstruction and challenge</x:v>
      </x:c>
      <x:c r="F74" s="82" t="n">
        <x:v>0.15</x:v>
      </x:c>
      <x:c r="G74" s="71" t="str">
        <x:v>Freeze public build records, held inventory, clean-team method and independent challenge.</x:v>
      </x:c>
      <x:c r="H74" s="73" t="n">
        <x:f>F74*INDEX('Form Options'!$F$5:$F$22,MATCH(B74,'Form Options'!$A$5:$A$22,0))</x:f>
        <x:v>0.0064553433970582115</x:v>
      </x:c>
      <x:c r="I74" s="72" t="n">
        <x:v>1</x:v>
      </x:c>
      <x:c r="J74" s="73" t="n">
        <x:v>0</x:v>
      </x:c>
      <x:c r="K74" s="73" t="n">
        <x:v>0</x:v>
      </x:c>
      <x:c r="L74" s="71" t="str">
        <x:f>IF(AND(I74=1,J74=0,K74=0),"AUTHORIZED / NOT ISSUED","INVALID")</x:f>
        <x:v>AUTHORIZED / NOT ISSUED</x:v>
      </x:c>
      <x:c r="M74" s="72" t="n">
        <x:f>COUNTIFS($B$5:$B$94,B74)</x:f>
        <x:v>5</x:v>
      </x:c>
      <x:c r="N74" s="82" t="n">
        <x:f>SUMIFS($F$5:$F$94,$B$5:$B$94,B74)</x:f>
        <x:v>1</x:v>
      </x:c>
      <x:c r="O74" s="71" t="str">
        <x:v>FRAME design only; MAKE and evidence remain held.</x:v>
      </x:c>
    </x:row>
    <x:row r="75">
      <x:c r="A75" s="71" t="str">
        <x:v>W071</x:v>
      </x:c>
      <x:c r="B75" s="71" t="str">
        <x:v>HU-A-C</x:v>
      </x:c>
      <x:c r="C75" s="71" t="str">
        <x:v>HU-A</x:v>
      </x:c>
      <x:c r="D75" s="71" t="str">
        <x:v>METHOD</x:v>
      </x:c>
      <x:c r="E75" s="71" t="str">
        <x:v>Event method and frozen denominator</x:v>
      </x:c>
      <x:c r="F75" s="82" t="n">
        <x:v>0.2</x:v>
      </x:c>
      <x:c r="G75" s="71" t="str">
        <x:v>Complete the destructive-event method, denominator, stopping rule and repeat rule.</x:v>
      </x:c>
      <x:c r="H75" s="73" t="n">
        <x:f>F75*INDEX('Form Options'!$F$5:$F$22,MATCH(B75,'Form Options'!$A$5:$A$22,0))</x:f>
        <x:v>0.00860712452941095</x:v>
      </x:c>
      <x:c r="I75" s="72" t="n">
        <x:v>1</x:v>
      </x:c>
      <x:c r="J75" s="73" t="n">
        <x:v>0</x:v>
      </x:c>
      <x:c r="K75" s="73" t="n">
        <x:v>0</x:v>
      </x:c>
      <x:c r="L75" s="71" t="str">
        <x:f>IF(AND(I75=1,J75=0,K75=0),"AUTHORIZED / NOT ISSUED","INVALID")</x:f>
        <x:v>AUTHORIZED / NOT ISSUED</x:v>
      </x:c>
      <x:c r="M75" s="72" t="n">
        <x:f>COUNTIFS($B$5:$B$94,B75)</x:f>
        <x:v>5</x:v>
      </x:c>
      <x:c r="N75" s="82" t="n">
        <x:f>SUMIFS($F$5:$F$94,$B$5:$B$94,B75)</x:f>
        <x:v>1</x:v>
      </x:c>
      <x:c r="O75" s="71" t="str">
        <x:v>FRAME design only; MAKE and evidence remain held.</x:v>
      </x:c>
    </x:row>
    <x:row r="76">
      <x:c r="A76" s="71" t="str">
        <x:v>W072</x:v>
      </x:c>
      <x:c r="B76" s="71" t="str">
        <x:v>HU-A-C</x:v>
      </x:c>
      <x:c r="C76" s="71" t="str">
        <x:v>HU-A</x:v>
      </x:c>
      <x:c r="D76" s="71" t="str">
        <x:v>MEASURE</x:v>
      </x:c>
      <x:c r="E76" s="71" t="str">
        <x:v>Instrumentation, custody and validity</x:v>
      </x:c>
      <x:c r="F76" s="82" t="n">
        <x:v>0.25</x:v>
      </x:c>
      <x:c r="G76" s="71" t="str">
        <x:v>Design independent sensing, calibration, missingness, ancestry and validity records.</x:v>
      </x:c>
      <x:c r="H76" s="73" t="n">
        <x:f>F76*INDEX('Form Options'!$F$5:$F$22,MATCH(B76,'Form Options'!$A$5:$A$22,0))</x:f>
        <x:v>0.010758905661763686</x:v>
      </x:c>
      <x:c r="I76" s="72" t="n">
        <x:v>1</x:v>
      </x:c>
      <x:c r="J76" s="73" t="n">
        <x:v>0</x:v>
      </x:c>
      <x:c r="K76" s="73" t="n">
        <x:v>0</x:v>
      </x:c>
      <x:c r="L76" s="71" t="str">
        <x:f>IF(AND(I76=1,J76=0,K76=0),"AUTHORIZED / NOT ISSUED","INVALID")</x:f>
        <x:v>AUTHORIZED / NOT ISSUED</x:v>
      </x:c>
      <x:c r="M76" s="72" t="n">
        <x:f>COUNTIFS($B$5:$B$94,B76)</x:f>
        <x:v>5</x:v>
      </x:c>
      <x:c r="N76" s="82" t="n">
        <x:f>SUMIFS($F$5:$F$94,$B$5:$B$94,B76)</x:f>
        <x:v>1</x:v>
      </x:c>
      <x:c r="O76" s="71" t="str">
        <x:v>FRAME design only; MAKE and evidence remain held.</x:v>
      </x:c>
    </x:row>
    <x:row r="77">
      <x:c r="A77" s="71" t="str">
        <x:v>W073</x:v>
      </x:c>
      <x:c r="B77" s="71" t="str">
        <x:v>HU-A-C</x:v>
      </x:c>
      <x:c r="C77" s="71" t="str">
        <x:v>HU-A</x:v>
      </x:c>
      <x:c r="D77" s="71" t="str">
        <x:v>CIVIL</x:v>
      </x:c>
      <x:c r="E77" s="71" t="str">
        <x:v>Rights, receiver and residual closure</x:v>
      </x:c>
      <x:c r="F77" s="82" t="n">
        <x:v>0.15</x:v>
      </x:c>
      <x:c r="G77" s="71" t="str">
        <x:v>Resolve lawful access, receiver acceptance, residual custody and protected-state intervention.</x:v>
      </x:c>
      <x:c r="H77" s="73" t="n">
        <x:f>F77*INDEX('Form Options'!$F$5:$F$22,MATCH(B77,'Form Options'!$A$5:$A$22,0))</x:f>
        <x:v>0.0064553433970582115</x:v>
      </x:c>
      <x:c r="I77" s="72" t="n">
        <x:v>1</x:v>
      </x:c>
      <x:c r="J77" s="73" t="n">
        <x:v>0</x:v>
      </x:c>
      <x:c r="K77" s="73" t="n">
        <x:v>0</x:v>
      </x:c>
      <x:c r="L77" s="71" t="str">
        <x:f>IF(AND(I77=1,J77=0,K77=0),"AUTHORIZED / NOT ISSUED","INVALID")</x:f>
        <x:v>AUTHORIZED / NOT ISSUED</x:v>
      </x:c>
      <x:c r="M77" s="72" t="n">
        <x:f>COUNTIFS($B$5:$B$94,B77)</x:f>
        <x:v>5</x:v>
      </x:c>
      <x:c r="N77" s="82" t="n">
        <x:f>SUMIFS($F$5:$F$94,$B$5:$B$94,B77)</x:f>
        <x:v>1</x:v>
      </x:c>
      <x:c r="O77" s="71" t="str">
        <x:v>FRAME design only; MAKE and evidence remain held.</x:v>
      </x:c>
    </x:row>
    <x:row r="78">
      <x:c r="A78" s="71" t="str">
        <x:v>W074</x:v>
      </x:c>
      <x:c r="B78" s="71" t="str">
        <x:v>HU-A-C</x:v>
      </x:c>
      <x:c r="C78" s="71" t="str">
        <x:v>HU-A</x:v>
      </x:c>
      <x:c r="D78" s="71" t="str">
        <x:v>ARTICLE</x:v>
      </x:c>
      <x:c r="E78" s="71" t="str">
        <x:v>Destructive-article engineering</x:v>
      </x:c>
      <x:c r="F78" s="82" t="n">
        <x:v>0.25</x:v>
      </x:c>
      <x:c r="G78" s="71" t="str">
        <x:v>Complete root-native interfaces, loads, isolation, safe state and sacrificial article definition.</x:v>
      </x:c>
      <x:c r="H78" s="73" t="n">
        <x:f>F78*INDEX('Form Options'!$F$5:$F$22,MATCH(B78,'Form Options'!$A$5:$A$22,0))</x:f>
        <x:v>0.010758905661763686</x:v>
      </x:c>
      <x:c r="I78" s="72" t="n">
        <x:v>1</x:v>
      </x:c>
      <x:c r="J78" s="73" t="n">
        <x:v>0</x:v>
      </x:c>
      <x:c r="K78" s="73" t="n">
        <x:v>0</x:v>
      </x:c>
      <x:c r="L78" s="71" t="str">
        <x:f>IF(AND(I78=1,J78=0,K78=0),"AUTHORIZED / NOT ISSUED","INVALID")</x:f>
        <x:v>AUTHORIZED / NOT ISSUED</x:v>
      </x:c>
      <x:c r="M78" s="72" t="n">
        <x:f>COUNTIFS($B$5:$B$94,B78)</x:f>
        <x:v>5</x:v>
      </x:c>
      <x:c r="N78" s="82" t="n">
        <x:f>SUMIFS($F$5:$F$94,$B$5:$B$94,B78)</x:f>
        <x:v>1</x:v>
      </x:c>
      <x:c r="O78" s="71" t="str">
        <x:v>FRAME design only; MAKE and evidence remain held.</x:v>
      </x:c>
    </x:row>
    <x:row r="79">
      <x:c r="A79" s="71" t="str">
        <x:v>W075</x:v>
      </x:c>
      <x:c r="B79" s="71" t="str">
        <x:v>HU-A-C</x:v>
      </x:c>
      <x:c r="C79" s="71" t="str">
        <x:v>HU-A</x:v>
      </x:c>
      <x:c r="D79" s="71" t="str">
        <x:v>REBUILD</x:v>
      </x:c>
      <x:c r="E79" s="71" t="str">
        <x:v>Cold reconstruction and challenge</x:v>
      </x:c>
      <x:c r="F79" s="82" t="n">
        <x:v>0.15</x:v>
      </x:c>
      <x:c r="G79" s="71" t="str">
        <x:v>Freeze public build records, held inventory, clean-team method and independent challenge.</x:v>
      </x:c>
      <x:c r="H79" s="73" t="n">
        <x:f>F79*INDEX('Form Options'!$F$5:$F$22,MATCH(B79,'Form Options'!$A$5:$A$22,0))</x:f>
        <x:v>0.0064553433970582115</x:v>
      </x:c>
      <x:c r="I79" s="72" t="n">
        <x:v>1</x:v>
      </x:c>
      <x:c r="J79" s="73" t="n">
        <x:v>0</x:v>
      </x:c>
      <x:c r="K79" s="73" t="n">
        <x:v>0</x:v>
      </x:c>
      <x:c r="L79" s="71" t="str">
        <x:f>IF(AND(I79=1,J79=0,K79=0),"AUTHORIZED / NOT ISSUED","INVALID")</x:f>
        <x:v>AUTHORIZED / NOT ISSUED</x:v>
      </x:c>
      <x:c r="M79" s="72" t="n">
        <x:f>COUNTIFS($B$5:$B$94,B79)</x:f>
        <x:v>5</x:v>
      </x:c>
      <x:c r="N79" s="82" t="n">
        <x:f>SUMIFS($F$5:$F$94,$B$5:$B$94,B79)</x:f>
        <x:v>1</x:v>
      </x:c>
      <x:c r="O79" s="71" t="str">
        <x:v>FRAME design only; MAKE and evidence remain held.</x:v>
      </x:c>
    </x:row>
    <x:row r="80">
      <x:c r="A80" s="71" t="str">
        <x:v>W076</x:v>
      </x:c>
      <x:c r="B80" s="71" t="str">
        <x:v>RT-B-A</x:v>
      </x:c>
      <x:c r="C80" s="71" t="str">
        <x:v>RT-B</x:v>
      </x:c>
      <x:c r="D80" s="71" t="str">
        <x:v>METHOD</x:v>
      </x:c>
      <x:c r="E80" s="71" t="str">
        <x:v>Event method and frozen denominator</x:v>
      </x:c>
      <x:c r="F80" s="82" t="n">
        <x:v>0.2</x:v>
      </x:c>
      <x:c r="G80" s="71" t="str">
        <x:v>Complete the destructive-event method, denominator, stopping rule and repeat rule.</x:v>
      </x:c>
      <x:c r="H80" s="73" t="n">
        <x:f>F80*INDEX('Form Options'!$F$5:$F$22,MATCH(B80,'Form Options'!$A$5:$A$22,0))</x:f>
        <x:v>0.005025977931359629</x:v>
      </x:c>
      <x:c r="I80" s="72" t="n">
        <x:v>1</x:v>
      </x:c>
      <x:c r="J80" s="73" t="n">
        <x:v>0</x:v>
      </x:c>
      <x:c r="K80" s="73" t="n">
        <x:v>0</x:v>
      </x:c>
      <x:c r="L80" s="71" t="str">
        <x:f>IF(AND(I80=1,J80=0,K80=0),"AUTHORIZED / NOT ISSUED","INVALID")</x:f>
        <x:v>AUTHORIZED / NOT ISSUED</x:v>
      </x:c>
      <x:c r="M80" s="72" t="n">
        <x:f>COUNTIFS($B$5:$B$94,B80)</x:f>
        <x:v>5</x:v>
      </x:c>
      <x:c r="N80" s="82" t="n">
        <x:f>SUMIFS($F$5:$F$94,$B$5:$B$94,B80)</x:f>
        <x:v>1</x:v>
      </x:c>
      <x:c r="O80" s="71" t="str">
        <x:v>FRAME design only; MAKE and evidence remain held.</x:v>
      </x:c>
    </x:row>
    <x:row r="81">
      <x:c r="A81" s="71" t="str">
        <x:v>W077</x:v>
      </x:c>
      <x:c r="B81" s="71" t="str">
        <x:v>RT-B-A</x:v>
      </x:c>
      <x:c r="C81" s="71" t="str">
        <x:v>RT-B</x:v>
      </x:c>
      <x:c r="D81" s="71" t="str">
        <x:v>MEASURE</x:v>
      </x:c>
      <x:c r="E81" s="71" t="str">
        <x:v>Instrumentation, custody and validity</x:v>
      </x:c>
      <x:c r="F81" s="82" t="n">
        <x:v>0.25</x:v>
      </x:c>
      <x:c r="G81" s="71" t="str">
        <x:v>Design independent sensing, calibration, missingness, ancestry and validity records.</x:v>
      </x:c>
      <x:c r="H81" s="73" t="n">
        <x:f>F81*INDEX('Form Options'!$F$5:$F$22,MATCH(B81,'Form Options'!$A$5:$A$22,0))</x:f>
        <x:v>0.0062824724141995365</x:v>
      </x:c>
      <x:c r="I81" s="72" t="n">
        <x:v>1</x:v>
      </x:c>
      <x:c r="J81" s="73" t="n">
        <x:v>0</x:v>
      </x:c>
      <x:c r="K81" s="73" t="n">
        <x:v>0</x:v>
      </x:c>
      <x:c r="L81" s="71" t="str">
        <x:f>IF(AND(I81=1,J81=0,K81=0),"AUTHORIZED / NOT ISSUED","INVALID")</x:f>
        <x:v>AUTHORIZED / NOT ISSUED</x:v>
      </x:c>
      <x:c r="M81" s="72" t="n">
        <x:f>COUNTIFS($B$5:$B$94,B81)</x:f>
        <x:v>5</x:v>
      </x:c>
      <x:c r="N81" s="82" t="n">
        <x:f>SUMIFS($F$5:$F$94,$B$5:$B$94,B81)</x:f>
        <x:v>1</x:v>
      </x:c>
      <x:c r="O81" s="71" t="str">
        <x:v>FRAME design only; MAKE and evidence remain held.</x:v>
      </x:c>
    </x:row>
    <x:row r="82">
      <x:c r="A82" s="71" t="str">
        <x:v>W078</x:v>
      </x:c>
      <x:c r="B82" s="71" t="str">
        <x:v>RT-B-A</x:v>
      </x:c>
      <x:c r="C82" s="71" t="str">
        <x:v>RT-B</x:v>
      </x:c>
      <x:c r="D82" s="71" t="str">
        <x:v>CIVIL</x:v>
      </x:c>
      <x:c r="E82" s="71" t="str">
        <x:v>Rights, receiver and residual closure</x:v>
      </x:c>
      <x:c r="F82" s="82" t="n">
        <x:v>0.15</x:v>
      </x:c>
      <x:c r="G82" s="71" t="str">
        <x:v>Resolve lawful access, receiver acceptance, residual custody and protected-state intervention.</x:v>
      </x:c>
      <x:c r="H82" s="73" t="n">
        <x:f>F82*INDEX('Form Options'!$F$5:$F$22,MATCH(B82,'Form Options'!$A$5:$A$22,0))</x:f>
        <x:v>0.003769483448519722</x:v>
      </x:c>
      <x:c r="I82" s="72" t="n">
        <x:v>1</x:v>
      </x:c>
      <x:c r="J82" s="73" t="n">
        <x:v>0</x:v>
      </x:c>
      <x:c r="K82" s="73" t="n">
        <x:v>0</x:v>
      </x:c>
      <x:c r="L82" s="71" t="str">
        <x:f>IF(AND(I82=1,J82=0,K82=0),"AUTHORIZED / NOT ISSUED","INVALID")</x:f>
        <x:v>AUTHORIZED / NOT ISSUED</x:v>
      </x:c>
      <x:c r="M82" s="72" t="n">
        <x:f>COUNTIFS($B$5:$B$94,B82)</x:f>
        <x:v>5</x:v>
      </x:c>
      <x:c r="N82" s="82" t="n">
        <x:f>SUMIFS($F$5:$F$94,$B$5:$B$94,B82)</x:f>
        <x:v>1</x:v>
      </x:c>
      <x:c r="O82" s="71" t="str">
        <x:v>FRAME design only; MAKE and evidence remain held.</x:v>
      </x:c>
    </x:row>
    <x:row r="83">
      <x:c r="A83" s="71" t="str">
        <x:v>W079</x:v>
      </x:c>
      <x:c r="B83" s="71" t="str">
        <x:v>RT-B-A</x:v>
      </x:c>
      <x:c r="C83" s="71" t="str">
        <x:v>RT-B</x:v>
      </x:c>
      <x:c r="D83" s="71" t="str">
        <x:v>ARTICLE</x:v>
      </x:c>
      <x:c r="E83" s="71" t="str">
        <x:v>Destructive-article engineering</x:v>
      </x:c>
      <x:c r="F83" s="82" t="n">
        <x:v>0.25</x:v>
      </x:c>
      <x:c r="G83" s="71" t="str">
        <x:v>Complete root-native interfaces, loads, isolation, safe state and sacrificial article definition.</x:v>
      </x:c>
      <x:c r="H83" s="73" t="n">
        <x:f>F83*INDEX('Form Options'!$F$5:$F$22,MATCH(B83,'Form Options'!$A$5:$A$22,0))</x:f>
        <x:v>0.0062824724141995365</x:v>
      </x:c>
      <x:c r="I83" s="72" t="n">
        <x:v>1</x:v>
      </x:c>
      <x:c r="J83" s="73" t="n">
        <x:v>0</x:v>
      </x:c>
      <x:c r="K83" s="73" t="n">
        <x:v>0</x:v>
      </x:c>
      <x:c r="L83" s="71" t="str">
        <x:f>IF(AND(I83=1,J83=0,K83=0),"AUTHORIZED / NOT ISSUED","INVALID")</x:f>
        <x:v>AUTHORIZED / NOT ISSUED</x:v>
      </x:c>
      <x:c r="M83" s="72" t="n">
        <x:f>COUNTIFS($B$5:$B$94,B83)</x:f>
        <x:v>5</x:v>
      </x:c>
      <x:c r="N83" s="82" t="n">
        <x:f>SUMIFS($F$5:$F$94,$B$5:$B$94,B83)</x:f>
        <x:v>1</x:v>
      </x:c>
      <x:c r="O83" s="71" t="str">
        <x:v>FRAME design only; MAKE and evidence remain held.</x:v>
      </x:c>
    </x:row>
    <x:row r="84">
      <x:c r="A84" s="71" t="str">
        <x:v>W080</x:v>
      </x:c>
      <x:c r="B84" s="71" t="str">
        <x:v>RT-B-A</x:v>
      </x:c>
      <x:c r="C84" s="71" t="str">
        <x:v>RT-B</x:v>
      </x:c>
      <x:c r="D84" s="71" t="str">
        <x:v>REBUILD</x:v>
      </x:c>
      <x:c r="E84" s="71" t="str">
        <x:v>Cold reconstruction and challenge</x:v>
      </x:c>
      <x:c r="F84" s="82" t="n">
        <x:v>0.15</x:v>
      </x:c>
      <x:c r="G84" s="71" t="str">
        <x:v>Freeze public build records, held inventory, clean-team method and independent challenge.</x:v>
      </x:c>
      <x:c r="H84" s="73" t="n">
        <x:f>F84*INDEX('Form Options'!$F$5:$F$22,MATCH(B84,'Form Options'!$A$5:$A$22,0))</x:f>
        <x:v>0.003769483448519722</x:v>
      </x:c>
      <x:c r="I84" s="72" t="n">
        <x:v>1</x:v>
      </x:c>
      <x:c r="J84" s="73" t="n">
        <x:v>0</x:v>
      </x:c>
      <x:c r="K84" s="73" t="n">
        <x:v>0</x:v>
      </x:c>
      <x:c r="L84" s="71" t="str">
        <x:f>IF(AND(I84=1,J84=0,K84=0),"AUTHORIZED / NOT ISSUED","INVALID")</x:f>
        <x:v>AUTHORIZED / NOT ISSUED</x:v>
      </x:c>
      <x:c r="M84" s="72" t="n">
        <x:f>COUNTIFS($B$5:$B$94,B84)</x:f>
        <x:v>5</x:v>
      </x:c>
      <x:c r="N84" s="82" t="n">
        <x:f>SUMIFS($F$5:$F$94,$B$5:$B$94,B84)</x:f>
        <x:v>1</x:v>
      </x:c>
      <x:c r="O84" s="71" t="str">
        <x:v>FRAME design only; MAKE and evidence remain held.</x:v>
      </x:c>
    </x:row>
    <x:row r="85">
      <x:c r="A85" s="71" t="str">
        <x:v>W081</x:v>
      </x:c>
      <x:c r="B85" s="71" t="str">
        <x:v>RT-B-B</x:v>
      </x:c>
      <x:c r="C85" s="71" t="str">
        <x:v>RT-B</x:v>
      </x:c>
      <x:c r="D85" s="71" t="str">
        <x:v>METHOD</x:v>
      </x:c>
      <x:c r="E85" s="71" t="str">
        <x:v>Event method and frozen denominator</x:v>
      </x:c>
      <x:c r="F85" s="82" t="n">
        <x:v>0.2</x:v>
      </x:c>
      <x:c r="G85" s="71" t="str">
        <x:v>Complete the destructive-event method, denominator, stopping rule and repeat rule.</x:v>
      </x:c>
      <x:c r="H85" s="73" t="n">
        <x:f>F85*INDEX('Form Options'!$F$5:$F$22,MATCH(B85,'Form Options'!$A$5:$A$22,0))</x:f>
        <x:v>0.005025977931359629</x:v>
      </x:c>
      <x:c r="I85" s="72" t="n">
        <x:v>1</x:v>
      </x:c>
      <x:c r="J85" s="73" t="n">
        <x:v>0</x:v>
      </x:c>
      <x:c r="K85" s="73" t="n">
        <x:v>0</x:v>
      </x:c>
      <x:c r="L85" s="71" t="str">
        <x:f>IF(AND(I85=1,J85=0,K85=0),"AUTHORIZED / NOT ISSUED","INVALID")</x:f>
        <x:v>AUTHORIZED / NOT ISSUED</x:v>
      </x:c>
      <x:c r="M85" s="72" t="n">
        <x:f>COUNTIFS($B$5:$B$94,B85)</x:f>
        <x:v>5</x:v>
      </x:c>
      <x:c r="N85" s="82" t="n">
        <x:f>SUMIFS($F$5:$F$94,$B$5:$B$94,B85)</x:f>
        <x:v>1</x:v>
      </x:c>
      <x:c r="O85" s="71" t="str">
        <x:v>FRAME design only; MAKE and evidence remain held.</x:v>
      </x:c>
    </x:row>
    <x:row r="86">
      <x:c r="A86" s="71" t="str">
        <x:v>W082</x:v>
      </x:c>
      <x:c r="B86" s="71" t="str">
        <x:v>RT-B-B</x:v>
      </x:c>
      <x:c r="C86" s="71" t="str">
        <x:v>RT-B</x:v>
      </x:c>
      <x:c r="D86" s="71" t="str">
        <x:v>MEASURE</x:v>
      </x:c>
      <x:c r="E86" s="71" t="str">
        <x:v>Instrumentation, custody and validity</x:v>
      </x:c>
      <x:c r="F86" s="82" t="n">
        <x:v>0.25</x:v>
      </x:c>
      <x:c r="G86" s="71" t="str">
        <x:v>Design independent sensing, calibration, missingness, ancestry and validity records.</x:v>
      </x:c>
      <x:c r="H86" s="73" t="n">
        <x:f>F86*INDEX('Form Options'!$F$5:$F$22,MATCH(B86,'Form Options'!$A$5:$A$22,0))</x:f>
        <x:v>0.0062824724141995365</x:v>
      </x:c>
      <x:c r="I86" s="72" t="n">
        <x:v>1</x:v>
      </x:c>
      <x:c r="J86" s="73" t="n">
        <x:v>0</x:v>
      </x:c>
      <x:c r="K86" s="73" t="n">
        <x:v>0</x:v>
      </x:c>
      <x:c r="L86" s="71" t="str">
        <x:f>IF(AND(I86=1,J86=0,K86=0),"AUTHORIZED / NOT ISSUED","INVALID")</x:f>
        <x:v>AUTHORIZED / NOT ISSUED</x:v>
      </x:c>
      <x:c r="M86" s="72" t="n">
        <x:f>COUNTIFS($B$5:$B$94,B86)</x:f>
        <x:v>5</x:v>
      </x:c>
      <x:c r="N86" s="82" t="n">
        <x:f>SUMIFS($F$5:$F$94,$B$5:$B$94,B86)</x:f>
        <x:v>1</x:v>
      </x:c>
      <x:c r="O86" s="71" t="str">
        <x:v>FRAME design only; MAKE and evidence remain held.</x:v>
      </x:c>
    </x:row>
    <x:row r="87">
      <x:c r="A87" s="71" t="str">
        <x:v>W083</x:v>
      </x:c>
      <x:c r="B87" s="71" t="str">
        <x:v>RT-B-B</x:v>
      </x:c>
      <x:c r="C87" s="71" t="str">
        <x:v>RT-B</x:v>
      </x:c>
      <x:c r="D87" s="71" t="str">
        <x:v>CIVIL</x:v>
      </x:c>
      <x:c r="E87" s="71" t="str">
        <x:v>Rights, receiver and residual closure</x:v>
      </x:c>
      <x:c r="F87" s="82" t="n">
        <x:v>0.15</x:v>
      </x:c>
      <x:c r="G87" s="71" t="str">
        <x:v>Resolve lawful access, receiver acceptance, residual custody and protected-state intervention.</x:v>
      </x:c>
      <x:c r="H87" s="73" t="n">
        <x:f>F87*INDEX('Form Options'!$F$5:$F$22,MATCH(B87,'Form Options'!$A$5:$A$22,0))</x:f>
        <x:v>0.003769483448519722</x:v>
      </x:c>
      <x:c r="I87" s="72" t="n">
        <x:v>1</x:v>
      </x:c>
      <x:c r="J87" s="73" t="n">
        <x:v>0</x:v>
      </x:c>
      <x:c r="K87" s="73" t="n">
        <x:v>0</x:v>
      </x:c>
      <x:c r="L87" s="71" t="str">
        <x:f>IF(AND(I87=1,J87=0,K87=0),"AUTHORIZED / NOT ISSUED","INVALID")</x:f>
        <x:v>AUTHORIZED / NOT ISSUED</x:v>
      </x:c>
      <x:c r="M87" s="72" t="n">
        <x:f>COUNTIFS($B$5:$B$94,B87)</x:f>
        <x:v>5</x:v>
      </x:c>
      <x:c r="N87" s="82" t="n">
        <x:f>SUMIFS($F$5:$F$94,$B$5:$B$94,B87)</x:f>
        <x:v>1</x:v>
      </x:c>
      <x:c r="O87" s="71" t="str">
        <x:v>FRAME design only; MAKE and evidence remain held.</x:v>
      </x:c>
    </x:row>
    <x:row r="88">
      <x:c r="A88" s="71" t="str">
        <x:v>W084</x:v>
      </x:c>
      <x:c r="B88" s="71" t="str">
        <x:v>RT-B-B</x:v>
      </x:c>
      <x:c r="C88" s="71" t="str">
        <x:v>RT-B</x:v>
      </x:c>
      <x:c r="D88" s="71" t="str">
        <x:v>ARTICLE</x:v>
      </x:c>
      <x:c r="E88" s="71" t="str">
        <x:v>Destructive-article engineering</x:v>
      </x:c>
      <x:c r="F88" s="82" t="n">
        <x:v>0.25</x:v>
      </x:c>
      <x:c r="G88" s="71" t="str">
        <x:v>Complete root-native interfaces, loads, isolation, safe state and sacrificial article definition.</x:v>
      </x:c>
      <x:c r="H88" s="73" t="n">
        <x:f>F88*INDEX('Form Options'!$F$5:$F$22,MATCH(B88,'Form Options'!$A$5:$A$22,0))</x:f>
        <x:v>0.0062824724141995365</x:v>
      </x:c>
      <x:c r="I88" s="72" t="n">
        <x:v>1</x:v>
      </x:c>
      <x:c r="J88" s="73" t="n">
        <x:v>0</x:v>
      </x:c>
      <x:c r="K88" s="73" t="n">
        <x:v>0</x:v>
      </x:c>
      <x:c r="L88" s="71" t="str">
        <x:f>IF(AND(I88=1,J88=0,K88=0),"AUTHORIZED / NOT ISSUED","INVALID")</x:f>
        <x:v>AUTHORIZED / NOT ISSUED</x:v>
      </x:c>
      <x:c r="M88" s="72" t="n">
        <x:f>COUNTIFS($B$5:$B$94,B88)</x:f>
        <x:v>5</x:v>
      </x:c>
      <x:c r="N88" s="82" t="n">
        <x:f>SUMIFS($F$5:$F$94,$B$5:$B$94,B88)</x:f>
        <x:v>1</x:v>
      </x:c>
      <x:c r="O88" s="71" t="str">
        <x:v>FRAME design only; MAKE and evidence remain held.</x:v>
      </x:c>
    </x:row>
    <x:row r="89">
      <x:c r="A89" s="71" t="str">
        <x:v>W085</x:v>
      </x:c>
      <x:c r="B89" s="71" t="str">
        <x:v>RT-B-B</x:v>
      </x:c>
      <x:c r="C89" s="71" t="str">
        <x:v>RT-B</x:v>
      </x:c>
      <x:c r="D89" s="71" t="str">
        <x:v>REBUILD</x:v>
      </x:c>
      <x:c r="E89" s="71" t="str">
        <x:v>Cold reconstruction and challenge</x:v>
      </x:c>
      <x:c r="F89" s="82" t="n">
        <x:v>0.15</x:v>
      </x:c>
      <x:c r="G89" s="71" t="str">
        <x:v>Freeze public build records, held inventory, clean-team method and independent challenge.</x:v>
      </x:c>
      <x:c r="H89" s="73" t="n">
        <x:f>F89*INDEX('Form Options'!$F$5:$F$22,MATCH(B89,'Form Options'!$A$5:$A$22,0))</x:f>
        <x:v>0.003769483448519722</x:v>
      </x:c>
      <x:c r="I89" s="72" t="n">
        <x:v>1</x:v>
      </x:c>
      <x:c r="J89" s="73" t="n">
        <x:v>0</x:v>
      </x:c>
      <x:c r="K89" s="73" t="n">
        <x:v>0</x:v>
      </x:c>
      <x:c r="L89" s="71" t="str">
        <x:f>IF(AND(I89=1,J89=0,K89=0),"AUTHORIZED / NOT ISSUED","INVALID")</x:f>
        <x:v>AUTHORIZED / NOT ISSUED</x:v>
      </x:c>
      <x:c r="M89" s="72" t="n">
        <x:f>COUNTIFS($B$5:$B$94,B89)</x:f>
        <x:v>5</x:v>
      </x:c>
      <x:c r="N89" s="82" t="n">
        <x:f>SUMIFS($F$5:$F$94,$B$5:$B$94,B89)</x:f>
        <x:v>1</x:v>
      </x:c>
      <x:c r="O89" s="71" t="str">
        <x:v>FRAME design only; MAKE and evidence remain held.</x:v>
      </x:c>
    </x:row>
    <x:row r="90">
      <x:c r="A90" s="71" t="str">
        <x:v>W086</x:v>
      </x:c>
      <x:c r="B90" s="71" t="str">
        <x:v>RT-B-C</x:v>
      </x:c>
      <x:c r="C90" s="71" t="str">
        <x:v>RT-B</x:v>
      </x:c>
      <x:c r="D90" s="71" t="str">
        <x:v>METHOD</x:v>
      </x:c>
      <x:c r="E90" s="71" t="str">
        <x:v>Event method and frozen denominator</x:v>
      </x:c>
      <x:c r="F90" s="82" t="n">
        <x:v>0.2</x:v>
      </x:c>
      <x:c r="G90" s="71" t="str">
        <x:v>Complete the destructive-event method, denominator, stopping rule and repeat rule.</x:v>
      </x:c>
      <x:c r="H90" s="73" t="n">
        <x:f>F90*INDEX('Form Options'!$F$5:$F$22,MATCH(B90,'Form Options'!$A$5:$A$22,0))</x:f>
        <x:v>0.005025977931359629</x:v>
      </x:c>
      <x:c r="I90" s="72" t="n">
        <x:v>1</x:v>
      </x:c>
      <x:c r="J90" s="73" t="n">
        <x:v>0</x:v>
      </x:c>
      <x:c r="K90" s="73" t="n">
        <x:v>0</x:v>
      </x:c>
      <x:c r="L90" s="71" t="str">
        <x:f>IF(AND(I90=1,J90=0,K90=0),"AUTHORIZED / NOT ISSUED","INVALID")</x:f>
        <x:v>AUTHORIZED / NOT ISSUED</x:v>
      </x:c>
      <x:c r="M90" s="72" t="n">
        <x:f>COUNTIFS($B$5:$B$94,B90)</x:f>
        <x:v>5</x:v>
      </x:c>
      <x:c r="N90" s="82" t="n">
        <x:f>SUMIFS($F$5:$F$94,$B$5:$B$94,B90)</x:f>
        <x:v>1</x:v>
      </x:c>
      <x:c r="O90" s="71" t="str">
        <x:v>FRAME design only; MAKE and evidence remain held.</x:v>
      </x:c>
    </x:row>
    <x:row r="91">
      <x:c r="A91" s="71" t="str">
        <x:v>W087</x:v>
      </x:c>
      <x:c r="B91" s="71" t="str">
        <x:v>RT-B-C</x:v>
      </x:c>
      <x:c r="C91" s="71" t="str">
        <x:v>RT-B</x:v>
      </x:c>
      <x:c r="D91" s="71" t="str">
        <x:v>MEASURE</x:v>
      </x:c>
      <x:c r="E91" s="71" t="str">
        <x:v>Instrumentation, custody and validity</x:v>
      </x:c>
      <x:c r="F91" s="82" t="n">
        <x:v>0.25</x:v>
      </x:c>
      <x:c r="G91" s="71" t="str">
        <x:v>Design independent sensing, calibration, missingness, ancestry and validity records.</x:v>
      </x:c>
      <x:c r="H91" s="73" t="n">
        <x:f>F91*INDEX('Form Options'!$F$5:$F$22,MATCH(B91,'Form Options'!$A$5:$A$22,0))</x:f>
        <x:v>0.0062824724141995365</x:v>
      </x:c>
      <x:c r="I91" s="72" t="n">
        <x:v>1</x:v>
      </x:c>
      <x:c r="J91" s="73" t="n">
        <x:v>0</x:v>
      </x:c>
      <x:c r="K91" s="73" t="n">
        <x:v>0</x:v>
      </x:c>
      <x:c r="L91" s="71" t="str">
        <x:f>IF(AND(I91=1,J91=0,K91=0),"AUTHORIZED / NOT ISSUED","INVALID")</x:f>
        <x:v>AUTHORIZED / NOT ISSUED</x:v>
      </x:c>
      <x:c r="M91" s="72" t="n">
        <x:f>COUNTIFS($B$5:$B$94,B91)</x:f>
        <x:v>5</x:v>
      </x:c>
      <x:c r="N91" s="82" t="n">
        <x:f>SUMIFS($F$5:$F$94,$B$5:$B$94,B91)</x:f>
        <x:v>1</x:v>
      </x:c>
      <x:c r="O91" s="71" t="str">
        <x:v>FRAME design only; MAKE and evidence remain held.</x:v>
      </x:c>
    </x:row>
    <x:row r="92">
      <x:c r="A92" s="71" t="str">
        <x:v>W088</x:v>
      </x:c>
      <x:c r="B92" s="71" t="str">
        <x:v>RT-B-C</x:v>
      </x:c>
      <x:c r="C92" s="71" t="str">
        <x:v>RT-B</x:v>
      </x:c>
      <x:c r="D92" s="71" t="str">
        <x:v>CIVIL</x:v>
      </x:c>
      <x:c r="E92" s="71" t="str">
        <x:v>Rights, receiver and residual closure</x:v>
      </x:c>
      <x:c r="F92" s="82" t="n">
        <x:v>0.15</x:v>
      </x:c>
      <x:c r="G92" s="71" t="str">
        <x:v>Resolve lawful access, receiver acceptance, residual custody and protected-state intervention.</x:v>
      </x:c>
      <x:c r="H92" s="73" t="n">
        <x:f>F92*INDEX('Form Options'!$F$5:$F$22,MATCH(B92,'Form Options'!$A$5:$A$22,0))</x:f>
        <x:v>0.003769483448519722</x:v>
      </x:c>
      <x:c r="I92" s="72" t="n">
        <x:v>1</x:v>
      </x:c>
      <x:c r="J92" s="73" t="n">
        <x:v>0</x:v>
      </x:c>
      <x:c r="K92" s="73" t="n">
        <x:v>0</x:v>
      </x:c>
      <x:c r="L92" s="71" t="str">
        <x:f>IF(AND(I92=1,J92=0,K92=0),"AUTHORIZED / NOT ISSUED","INVALID")</x:f>
        <x:v>AUTHORIZED / NOT ISSUED</x:v>
      </x:c>
      <x:c r="M92" s="72" t="n">
        <x:f>COUNTIFS($B$5:$B$94,B92)</x:f>
        <x:v>5</x:v>
      </x:c>
      <x:c r="N92" s="82" t="n">
        <x:f>SUMIFS($F$5:$F$94,$B$5:$B$94,B92)</x:f>
        <x:v>1</x:v>
      </x:c>
      <x:c r="O92" s="71" t="str">
        <x:v>FRAME design only; MAKE and evidence remain held.</x:v>
      </x:c>
    </x:row>
    <x:row r="93">
      <x:c r="A93" s="71" t="str">
        <x:v>W089</x:v>
      </x:c>
      <x:c r="B93" s="71" t="str">
        <x:v>RT-B-C</x:v>
      </x:c>
      <x:c r="C93" s="71" t="str">
        <x:v>RT-B</x:v>
      </x:c>
      <x:c r="D93" s="71" t="str">
        <x:v>ARTICLE</x:v>
      </x:c>
      <x:c r="E93" s="71" t="str">
        <x:v>Destructive-article engineering</x:v>
      </x:c>
      <x:c r="F93" s="82" t="n">
        <x:v>0.25</x:v>
      </x:c>
      <x:c r="G93" s="71" t="str">
        <x:v>Complete root-native interfaces, loads, isolation, safe state and sacrificial article definition.</x:v>
      </x:c>
      <x:c r="H93" s="73" t="n">
        <x:f>F93*INDEX('Form Options'!$F$5:$F$22,MATCH(B93,'Form Options'!$A$5:$A$22,0))</x:f>
        <x:v>0.0062824724141995365</x:v>
      </x:c>
      <x:c r="I93" s="72" t="n">
        <x:v>1</x:v>
      </x:c>
      <x:c r="J93" s="73" t="n">
        <x:v>0</x:v>
      </x:c>
      <x:c r="K93" s="73" t="n">
        <x:v>0</x:v>
      </x:c>
      <x:c r="L93" s="71" t="str">
        <x:f>IF(AND(I93=1,J93=0,K93=0),"AUTHORIZED / NOT ISSUED","INVALID")</x:f>
        <x:v>AUTHORIZED / NOT ISSUED</x:v>
      </x:c>
      <x:c r="M93" s="72" t="n">
        <x:f>COUNTIFS($B$5:$B$94,B93)</x:f>
        <x:v>5</x:v>
      </x:c>
      <x:c r="N93" s="82" t="n">
        <x:f>SUMIFS($F$5:$F$94,$B$5:$B$94,B93)</x:f>
        <x:v>1</x:v>
      </x:c>
      <x:c r="O93" s="71" t="str">
        <x:v>FRAME design only; MAKE and evidence remain held.</x:v>
      </x:c>
    </x:row>
    <x:row r="94">
      <x:c r="A94" s="74" t="str">
        <x:v>W090</x:v>
      </x:c>
      <x:c r="B94" s="74" t="str">
        <x:v>RT-B-C</x:v>
      </x:c>
      <x:c r="C94" s="74" t="str">
        <x:v>RT-B</x:v>
      </x:c>
      <x:c r="D94" s="74" t="str">
        <x:v>REBUILD</x:v>
      </x:c>
      <x:c r="E94" s="74" t="str">
        <x:v>Cold reconstruction and challenge</x:v>
      </x:c>
      <x:c r="F94" s="84" t="n">
        <x:v>0.15</x:v>
      </x:c>
      <x:c r="G94" s="74" t="str">
        <x:v>Freeze public build records, held inventory, clean-team method and independent challenge.</x:v>
      </x:c>
      <x:c r="H94" s="75" t="n">
        <x:f>F94*INDEX('Form Options'!$F$5:$F$22,MATCH(B94,'Form Options'!$A$5:$A$22,0))</x:f>
        <x:v>0.003769483448519722</x:v>
      </x:c>
      <x:c r="I94" s="83" t="n">
        <x:v>1</x:v>
      </x:c>
      <x:c r="J94" s="75" t="n">
        <x:v>0</x:v>
      </x:c>
      <x:c r="K94" s="75" t="n">
        <x:v>0</x:v>
      </x:c>
      <x:c r="L94" s="74" t="str">
        <x:f>IF(AND(I94=1,J94=0,K94=0),"AUTHORIZED / NOT ISSUED","INVALID")</x:f>
        <x:v>AUTHORIZED / NOT ISSUED</x:v>
      </x:c>
      <x:c r="M94" s="83" t="n">
        <x:f>COUNTIFS($B$5:$B$94,B94)</x:f>
        <x:v>5</x:v>
      </x:c>
      <x:c r="N94" s="84" t="n">
        <x:f>SUMIFS($F$5:$F$94,$B$5:$B$94,B94)</x:f>
        <x:v>1</x:v>
      </x:c>
      <x:c r="O94" s="74" t="str">
        <x:v>FRAME design only; MAKE and evidence remain held.</x:v>
      </x:c>
    </x:row>
  </x:sheetData>
  <x:mergeCells>
    <x:mergeCell ref="A2:O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0" hidden="0" customWidth="1"/>
    <x:col min="4" max="4" width="17" hidden="0" customWidth="1"/>
    <x:col min="5" max="5" width="56" hidden="0" customWidth="1"/>
    <x:col min="6" max="6" width="24" hidden="0" customWidth="1"/>
    <x:col min="7" max="7" width="18" hidden="0" customWidth="1"/>
    <x:col min="8" max="8" width="16" hidden="0" customWidth="1"/>
    <x:col min="9" max="9" width="18" hidden="0" customWidth="1"/>
    <x:col min="10" max="10" width="20" hidden="0" customWidth="1"/>
    <x:col min="11" max="11" width="44" hidden="0" customWidth="1"/>
  </x:cols>
  <x:sheetData>
    <x:row r="2">
      <x:c r="A2" s="64" t="str">
        <x:v>One hundred eight form-issue gates</x:v>
      </x:c>
      <x:c r="B2" s="65"/>
      <x:c r="C2" s="65"/>
      <x:c r="D2" s="65"/>
      <x:c r="E2" s="65"/>
      <x:c r="F2" s="65"/>
      <x:c r="G2" s="65"/>
      <x:c r="H2" s="65"/>
      <x:c r="I2" s="65"/>
      <x:c r="J2" s="65"/>
      <x:c r="K2" s="65"/>
    </x:row>
    <x:row r="3">
      <x:c r="A3" s="66"/>
      <x:c r="B3" s="66"/>
      <x:c r="C3" s="66"/>
      <x:c r="D3" s="66"/>
      <x:c r="E3" s="66"/>
      <x:c r="F3" s="66"/>
      <x:c r="G3" s="66"/>
      <x:c r="H3" s="66"/>
      <x:c r="I3" s="66"/>
      <x:c r="J3" s="66"/>
      <x:c r="K3" s="66"/>
    </x:row>
    <x:row r="4" ht="32" customHeight="1">
      <x:c r="A4" s="14" t="str">
        <x:v>Gate record</x:v>
      </x:c>
      <x:c r="B4" s="15" t="str">
        <x:v>Form</x:v>
      </x:c>
      <x:c r="C4" s="15" t="str">
        <x:v>Root</x:v>
      </x:c>
      <x:c r="D4" s="15" t="str">
        <x:v>Gate code</x:v>
      </x:c>
      <x:c r="E4" s="15" t="str">
        <x:v>Required record</x:v>
      </x:c>
      <x:c r="F4" s="15" t="str">
        <x:v>Source</x:v>
      </x:c>
      <x:c r="G4" s="15" t="str">
        <x:v>Record complete</x:v>
      </x:c>
      <x:c r="H4" s="15" t="str">
        <x:v>Gate state</x:v>
      </x:c>
      <x:c r="I4" s="15" t="str">
        <x:v>Gates per form</x:v>
      </x:c>
      <x:c r="J4" s="15" t="str">
        <x:v>Record occurrences</x:v>
      </x:c>
      <x:c r="K4" s="16" t="str">
        <x:v>Authority limit</x:v>
      </x:c>
    </x:row>
    <x:row r="5">
      <x:c r="A5" s="67" t="str">
        <x:v>G001</x:v>
      </x:c>
      <x:c r="B5" s="67" t="str">
        <x:v>ET-A-A</x:v>
      </x:c>
      <x:c r="C5" s="67" t="str">
        <x:v>ET-A</x:v>
      </x:c>
      <x:c r="D5" s="67" t="str">
        <x:v>EVENT</x:v>
      </x:c>
      <x:c r="E5" s="67" t="str">
        <x:v>Frozen destructive event packet</x:v>
      </x:c>
      <x:c r="F5" s="67" t="str">
        <x:v>Pass 225</x:v>
      </x:c>
      <x:c r="G5" s="68" t="n">
        <x:v>1</x:v>
      </x:c>
      <x:c r="H5" s="67" t="str">
        <x:f>IF(G5=1,"PASS","HOLD")</x:f>
        <x:v>PASS</x:v>
      </x:c>
      <x:c r="I5" s="67" t="n">
        <x:f>COUNTIFS($B$5:$B$112,B5)</x:f>
        <x:v>6</x:v>
      </x:c>
      <x:c r="J5" s="67" t="n">
        <x:f>COUNTIFS($A$5:$A$112,A5)</x:f>
        <x:v>1</x:v>
      </x:c>
      <x:c r="K5" s="67" t="str">
        <x:v>Record completeness is not evidence.</x:v>
      </x:c>
    </x:row>
    <x:row r="6">
      <x:c r="A6" s="71" t="str">
        <x:v>G002</x:v>
      </x:c>
      <x:c r="B6" s="71" t="str">
        <x:v>ET-A-A</x:v>
      </x:c>
      <x:c r="C6" s="71" t="str">
        <x:v>ET-A</x:v>
      </x:c>
      <x:c r="D6" s="71" t="str">
        <x:v>DOMAIN</x:v>
      </x:c>
      <x:c r="E6" s="71" t="str">
        <x:v>Six noncompensatory evidence domains</x:v>
      </x:c>
      <x:c r="F6" s="71" t="str">
        <x:v>Pass 225</x:v>
      </x:c>
      <x:c r="G6" s="72" t="n">
        <x:v>1</x:v>
      </x:c>
      <x:c r="H6" s="71" t="str">
        <x:f>IF(G6=1,"PASS","HOLD")</x:f>
        <x:v>PASS</x:v>
      </x:c>
      <x:c r="I6" s="71" t="n">
        <x:f>COUNTIFS($B$5:$B$112,B6)</x:f>
        <x:v>6</x:v>
      </x:c>
      <x:c r="J6" s="71" t="n">
        <x:f>COUNTIFS($A$5:$A$112,A6)</x:f>
        <x:v>1</x:v>
      </x:c>
      <x:c r="K6" s="71" t="str">
        <x:v>Record completeness is not evidence.</x:v>
      </x:c>
    </x:row>
    <x:row r="7">
      <x:c r="A7" s="71" t="str">
        <x:v>G003</x:v>
      </x:c>
      <x:c r="B7" s="71" t="str">
        <x:v>ET-A-A</x:v>
      </x:c>
      <x:c r="C7" s="71" t="str">
        <x:v>ET-A</x:v>
      </x:c>
      <x:c r="D7" s="71" t="str">
        <x:v>GEOMETRY</x:v>
      </x:c>
      <x:c r="E7" s="71" t="str">
        <x:v>Root-native dimension envelope</x:v>
      </x:c>
      <x:c r="F7" s="71" t="str">
        <x:v>Pass 224</x:v>
      </x:c>
      <x:c r="G7" s="72" t="n">
        <x:v>1</x:v>
      </x:c>
      <x:c r="H7" s="71" t="str">
        <x:f>IF(G7=1,"PASS","HOLD")</x:f>
        <x:v>PASS</x:v>
      </x:c>
      <x:c r="I7" s="71" t="n">
        <x:f>COUNTIFS($B$5:$B$112,B7)</x:f>
        <x:v>6</x:v>
      </x:c>
      <x:c r="J7" s="71" t="n">
        <x:f>COUNTIFS($A$5:$A$112,A7)</x:f>
        <x:v>1</x:v>
      </x:c>
      <x:c r="K7" s="71" t="str">
        <x:v>Record completeness is not evidence.</x:v>
      </x:c>
    </x:row>
    <x:row r="8">
      <x:c r="A8" s="71" t="str">
        <x:v>G004</x:v>
      </x:c>
      <x:c r="B8" s="71" t="str">
        <x:v>ET-A-A</x:v>
      </x:c>
      <x:c r="C8" s="71" t="str">
        <x:v>ET-A</x:v>
      </x:c>
      <x:c r="D8" s="71" t="str">
        <x:v>REPRESENT</x:v>
      </x:c>
      <x:c r="E8" s="71" t="str">
        <x:v>Equal-salience REP-3 record</x:v>
      </x:c>
      <x:c r="F8" s="71" t="str">
        <x:v>Pass 223</x:v>
      </x:c>
      <x:c r="G8" s="72" t="n">
        <x:v>1</x:v>
      </x:c>
      <x:c r="H8" s="71" t="str">
        <x:f>IF(G8=1,"PASS","HOLD")</x:f>
        <x:v>PASS</x:v>
      </x:c>
      <x:c r="I8" s="71" t="n">
        <x:f>COUNTIFS($B$5:$B$112,B8)</x:f>
        <x:v>6</x:v>
      </x:c>
      <x:c r="J8" s="71" t="n">
        <x:f>COUNTIFS($A$5:$A$112,A8)</x:f>
        <x:v>1</x:v>
      </x:c>
      <x:c r="K8" s="71" t="str">
        <x:v>Record completeness is not evidence.</x:v>
      </x:c>
    </x:row>
    <x:row r="9">
      <x:c r="A9" s="71" t="str">
        <x:v>G005</x:v>
      </x:c>
      <x:c r="B9" s="71" t="str">
        <x:v>ET-A-A</x:v>
      </x:c>
      <x:c r="C9" s="71" t="str">
        <x:v>ET-A</x:v>
      </x:c>
      <x:c r="D9" s="71" t="str">
        <x:v>SEPARATION</x:v>
      </x:c>
      <x:c r="E9" s="71" t="str">
        <x:v>Challenge, control and reconstruction separation</x:v>
      </x:c>
      <x:c r="F9" s="71" t="str">
        <x:v>Pass 212-215</x:v>
      </x:c>
      <x:c r="G9" s="72" t="n">
        <x:v>1</x:v>
      </x:c>
      <x:c r="H9" s="71" t="str">
        <x:f>IF(G9=1,"PASS","HOLD")</x:f>
        <x:v>PASS</x:v>
      </x:c>
      <x:c r="I9" s="71" t="n">
        <x:f>COUNTIFS($B$5:$B$112,B9)</x:f>
        <x:v>6</x:v>
      </x:c>
      <x:c r="J9" s="71" t="n">
        <x:f>COUNTIFS($A$5:$A$112,A9)</x:f>
        <x:v>1</x:v>
      </x:c>
      <x:c r="K9" s="71" t="str">
        <x:v>Record completeness is not evidence.</x:v>
      </x:c>
    </x:row>
    <x:row r="10">
      <x:c r="A10" s="71" t="str">
        <x:v>G006</x:v>
      </x:c>
      <x:c r="B10" s="71" t="str">
        <x:v>ET-A-A</x:v>
      </x:c>
      <x:c r="C10" s="71" t="str">
        <x:v>ET-A</x:v>
      </x:c>
      <x:c r="D10" s="71" t="str">
        <x:v>FINANCE</x:v>
      </x:c>
      <x:c r="E10" s="71" t="str">
        <x:v>Root FRAME ceiling conserved</x:v>
      </x:c>
      <x:c r="F10" s="71" t="str">
        <x:v>Pass 215</x:v>
      </x:c>
      <x:c r="G10" s="72" t="n">
        <x:v>1</x:v>
      </x:c>
      <x:c r="H10" s="71" t="str">
        <x:f>IF(G10=1,"PASS","HOLD")</x:f>
        <x:v>PASS</x:v>
      </x:c>
      <x:c r="I10" s="71" t="n">
        <x:f>COUNTIFS($B$5:$B$112,B10)</x:f>
        <x:v>6</x:v>
      </x:c>
      <x:c r="J10" s="71" t="n">
        <x:f>COUNTIFS($A$5:$A$112,A10)</x:f>
        <x:v>1</x:v>
      </x:c>
      <x:c r="K10" s="71" t="str">
        <x:v>Record completeness is not evidence.</x:v>
      </x:c>
    </x:row>
    <x:row r="11">
      <x:c r="A11" s="71" t="str">
        <x:v>G007</x:v>
      </x:c>
      <x:c r="B11" s="71" t="str">
        <x:v>ET-A-B</x:v>
      </x:c>
      <x:c r="C11" s="71" t="str">
        <x:v>ET-A</x:v>
      </x:c>
      <x:c r="D11" s="71" t="str">
        <x:v>EVENT</x:v>
      </x:c>
      <x:c r="E11" s="71" t="str">
        <x:v>Frozen destructive event packet</x:v>
      </x:c>
      <x:c r="F11" s="71" t="str">
        <x:v>Pass 225</x:v>
      </x:c>
      <x:c r="G11" s="72" t="n">
        <x:v>1</x:v>
      </x:c>
      <x:c r="H11" s="71" t="str">
        <x:f>IF(G11=1,"PASS","HOLD")</x:f>
        <x:v>PASS</x:v>
      </x:c>
      <x:c r="I11" s="71" t="n">
        <x:f>COUNTIFS($B$5:$B$112,B11)</x:f>
        <x:v>6</x:v>
      </x:c>
      <x:c r="J11" s="71" t="n">
        <x:f>COUNTIFS($A$5:$A$112,A11)</x:f>
        <x:v>1</x:v>
      </x:c>
      <x:c r="K11" s="71" t="str">
        <x:v>Record completeness is not evidence.</x:v>
      </x:c>
    </x:row>
    <x:row r="12">
      <x:c r="A12" s="71" t="str">
        <x:v>G008</x:v>
      </x:c>
      <x:c r="B12" s="71" t="str">
        <x:v>ET-A-B</x:v>
      </x:c>
      <x:c r="C12" s="71" t="str">
        <x:v>ET-A</x:v>
      </x:c>
      <x:c r="D12" s="71" t="str">
        <x:v>DOMAIN</x:v>
      </x:c>
      <x:c r="E12" s="71" t="str">
        <x:v>Six noncompensatory evidence domains</x:v>
      </x:c>
      <x:c r="F12" s="71" t="str">
        <x:v>Pass 225</x:v>
      </x:c>
      <x:c r="G12" s="72" t="n">
        <x:v>1</x:v>
      </x:c>
      <x:c r="H12" s="71" t="str">
        <x:f>IF(G12=1,"PASS","HOLD")</x:f>
        <x:v>PASS</x:v>
      </x:c>
      <x:c r="I12" s="71" t="n">
        <x:f>COUNTIFS($B$5:$B$112,B12)</x:f>
        <x:v>6</x:v>
      </x:c>
      <x:c r="J12" s="71" t="n">
        <x:f>COUNTIFS($A$5:$A$112,A12)</x:f>
        <x:v>1</x:v>
      </x:c>
      <x:c r="K12" s="71" t="str">
        <x:v>Record completeness is not evidence.</x:v>
      </x:c>
    </x:row>
    <x:row r="13">
      <x:c r="A13" s="71" t="str">
        <x:v>G009</x:v>
      </x:c>
      <x:c r="B13" s="71" t="str">
        <x:v>ET-A-B</x:v>
      </x:c>
      <x:c r="C13" s="71" t="str">
        <x:v>ET-A</x:v>
      </x:c>
      <x:c r="D13" s="71" t="str">
        <x:v>GEOMETRY</x:v>
      </x:c>
      <x:c r="E13" s="71" t="str">
        <x:v>Root-native dimension envelope</x:v>
      </x:c>
      <x:c r="F13" s="71" t="str">
        <x:v>Pass 224</x:v>
      </x:c>
      <x:c r="G13" s="72" t="n">
        <x:v>1</x:v>
      </x:c>
      <x:c r="H13" s="71" t="str">
        <x:f>IF(G13=1,"PASS","HOLD")</x:f>
        <x:v>PASS</x:v>
      </x:c>
      <x:c r="I13" s="71" t="n">
        <x:f>COUNTIFS($B$5:$B$112,B13)</x:f>
        <x:v>6</x:v>
      </x:c>
      <x:c r="J13" s="71" t="n">
        <x:f>COUNTIFS($A$5:$A$112,A13)</x:f>
        <x:v>1</x:v>
      </x:c>
      <x:c r="K13" s="71" t="str">
        <x:v>Record completeness is not evidence.</x:v>
      </x:c>
    </x:row>
    <x:row r="14">
      <x:c r="A14" s="71" t="str">
        <x:v>G010</x:v>
      </x:c>
      <x:c r="B14" s="71" t="str">
        <x:v>ET-A-B</x:v>
      </x:c>
      <x:c r="C14" s="71" t="str">
        <x:v>ET-A</x:v>
      </x:c>
      <x:c r="D14" s="71" t="str">
        <x:v>REPRESENT</x:v>
      </x:c>
      <x:c r="E14" s="71" t="str">
        <x:v>Equal-salience REP-3 record</x:v>
      </x:c>
      <x:c r="F14" s="71" t="str">
        <x:v>Pass 223</x:v>
      </x:c>
      <x:c r="G14" s="72" t="n">
        <x:v>1</x:v>
      </x:c>
      <x:c r="H14" s="71" t="str">
        <x:f>IF(G14=1,"PASS","HOLD")</x:f>
        <x:v>PASS</x:v>
      </x:c>
      <x:c r="I14" s="71" t="n">
        <x:f>COUNTIFS($B$5:$B$112,B14)</x:f>
        <x:v>6</x:v>
      </x:c>
      <x:c r="J14" s="71" t="n">
        <x:f>COUNTIFS($A$5:$A$112,A14)</x:f>
        <x:v>1</x:v>
      </x:c>
      <x:c r="K14" s="71" t="str">
        <x:v>Record completeness is not evidence.</x:v>
      </x:c>
    </x:row>
    <x:row r="15">
      <x:c r="A15" s="71" t="str">
        <x:v>G011</x:v>
      </x:c>
      <x:c r="B15" s="71" t="str">
        <x:v>ET-A-B</x:v>
      </x:c>
      <x:c r="C15" s="71" t="str">
        <x:v>ET-A</x:v>
      </x:c>
      <x:c r="D15" s="71" t="str">
        <x:v>SEPARATION</x:v>
      </x:c>
      <x:c r="E15" s="71" t="str">
        <x:v>Challenge, control and reconstruction separation</x:v>
      </x:c>
      <x:c r="F15" s="71" t="str">
        <x:v>Pass 212-215</x:v>
      </x:c>
      <x:c r="G15" s="72" t="n">
        <x:v>1</x:v>
      </x:c>
      <x:c r="H15" s="71" t="str">
        <x:f>IF(G15=1,"PASS","HOLD")</x:f>
        <x:v>PASS</x:v>
      </x:c>
      <x:c r="I15" s="71" t="n">
        <x:f>COUNTIFS($B$5:$B$112,B15)</x:f>
        <x:v>6</x:v>
      </x:c>
      <x:c r="J15" s="71" t="n">
        <x:f>COUNTIFS($A$5:$A$112,A15)</x:f>
        <x:v>1</x:v>
      </x:c>
      <x:c r="K15" s="71" t="str">
        <x:v>Record completeness is not evidence.</x:v>
      </x:c>
    </x:row>
    <x:row r="16">
      <x:c r="A16" s="71" t="str">
        <x:v>G012</x:v>
      </x:c>
      <x:c r="B16" s="71" t="str">
        <x:v>ET-A-B</x:v>
      </x:c>
      <x:c r="C16" s="71" t="str">
        <x:v>ET-A</x:v>
      </x:c>
      <x:c r="D16" s="71" t="str">
        <x:v>FINANCE</x:v>
      </x:c>
      <x:c r="E16" s="71" t="str">
        <x:v>Root FRAME ceiling conserved</x:v>
      </x:c>
      <x:c r="F16" s="71" t="str">
        <x:v>Pass 215</x:v>
      </x:c>
      <x:c r="G16" s="72" t="n">
        <x:v>1</x:v>
      </x:c>
      <x:c r="H16" s="71" t="str">
        <x:f>IF(G16=1,"PASS","HOLD")</x:f>
        <x:v>PASS</x:v>
      </x:c>
      <x:c r="I16" s="71" t="n">
        <x:f>COUNTIFS($B$5:$B$112,B16)</x:f>
        <x:v>6</x:v>
      </x:c>
      <x:c r="J16" s="71" t="n">
        <x:f>COUNTIFS($A$5:$A$112,A16)</x:f>
        <x:v>1</x:v>
      </x:c>
      <x:c r="K16" s="71" t="str">
        <x:v>Record completeness is not evidence.</x:v>
      </x:c>
    </x:row>
    <x:row r="17">
      <x:c r="A17" s="71" t="str">
        <x:v>G013</x:v>
      </x:c>
      <x:c r="B17" s="71" t="str">
        <x:v>ET-A-C</x:v>
      </x:c>
      <x:c r="C17" s="71" t="str">
        <x:v>ET-A</x:v>
      </x:c>
      <x:c r="D17" s="71" t="str">
        <x:v>EVENT</x:v>
      </x:c>
      <x:c r="E17" s="71" t="str">
        <x:v>Frozen destructive event packet</x:v>
      </x:c>
      <x:c r="F17" s="71" t="str">
        <x:v>Pass 225</x:v>
      </x:c>
      <x:c r="G17" s="72" t="n">
        <x:v>1</x:v>
      </x:c>
      <x:c r="H17" s="71" t="str">
        <x:f>IF(G17=1,"PASS","HOLD")</x:f>
        <x:v>PASS</x:v>
      </x:c>
      <x:c r="I17" s="71" t="n">
        <x:f>COUNTIFS($B$5:$B$112,B17)</x:f>
        <x:v>6</x:v>
      </x:c>
      <x:c r="J17" s="71" t="n">
        <x:f>COUNTIFS($A$5:$A$112,A17)</x:f>
        <x:v>1</x:v>
      </x:c>
      <x:c r="K17" s="71" t="str">
        <x:v>Record completeness is not evidence.</x:v>
      </x:c>
    </x:row>
    <x:row r="18">
      <x:c r="A18" s="71" t="str">
        <x:v>G014</x:v>
      </x:c>
      <x:c r="B18" s="71" t="str">
        <x:v>ET-A-C</x:v>
      </x:c>
      <x:c r="C18" s="71" t="str">
        <x:v>ET-A</x:v>
      </x:c>
      <x:c r="D18" s="71" t="str">
        <x:v>DOMAIN</x:v>
      </x:c>
      <x:c r="E18" s="71" t="str">
        <x:v>Six noncompensatory evidence domains</x:v>
      </x:c>
      <x:c r="F18" s="71" t="str">
        <x:v>Pass 225</x:v>
      </x:c>
      <x:c r="G18" s="72" t="n">
        <x:v>1</x:v>
      </x:c>
      <x:c r="H18" s="71" t="str">
        <x:f>IF(G18=1,"PASS","HOLD")</x:f>
        <x:v>PASS</x:v>
      </x:c>
      <x:c r="I18" s="71" t="n">
        <x:f>COUNTIFS($B$5:$B$112,B18)</x:f>
        <x:v>6</x:v>
      </x:c>
      <x:c r="J18" s="71" t="n">
        <x:f>COUNTIFS($A$5:$A$112,A18)</x:f>
        <x:v>1</x:v>
      </x:c>
      <x:c r="K18" s="71" t="str">
        <x:v>Record completeness is not evidence.</x:v>
      </x:c>
    </x:row>
    <x:row r="19">
      <x:c r="A19" s="71" t="str">
        <x:v>G015</x:v>
      </x:c>
      <x:c r="B19" s="71" t="str">
        <x:v>ET-A-C</x:v>
      </x:c>
      <x:c r="C19" s="71" t="str">
        <x:v>ET-A</x:v>
      </x:c>
      <x:c r="D19" s="71" t="str">
        <x:v>GEOMETRY</x:v>
      </x:c>
      <x:c r="E19" s="71" t="str">
        <x:v>Root-native dimension envelope</x:v>
      </x:c>
      <x:c r="F19" s="71" t="str">
        <x:v>Pass 224</x:v>
      </x:c>
      <x:c r="G19" s="72" t="n">
        <x:v>1</x:v>
      </x:c>
      <x:c r="H19" s="71" t="str">
        <x:f>IF(G19=1,"PASS","HOLD")</x:f>
        <x:v>PASS</x:v>
      </x:c>
      <x:c r="I19" s="71" t="n">
        <x:f>COUNTIFS($B$5:$B$112,B19)</x:f>
        <x:v>6</x:v>
      </x:c>
      <x:c r="J19" s="71" t="n">
        <x:f>COUNTIFS($A$5:$A$112,A19)</x:f>
        <x:v>1</x:v>
      </x:c>
      <x:c r="K19" s="71" t="str">
        <x:v>Record completeness is not evidence.</x:v>
      </x:c>
    </x:row>
    <x:row r="20">
      <x:c r="A20" s="71" t="str">
        <x:v>G016</x:v>
      </x:c>
      <x:c r="B20" s="71" t="str">
        <x:v>ET-A-C</x:v>
      </x:c>
      <x:c r="C20" s="71" t="str">
        <x:v>ET-A</x:v>
      </x:c>
      <x:c r="D20" s="71" t="str">
        <x:v>REPRESENT</x:v>
      </x:c>
      <x:c r="E20" s="71" t="str">
        <x:v>Equal-salience REP-3 record</x:v>
      </x:c>
      <x:c r="F20" s="71" t="str">
        <x:v>Pass 223</x:v>
      </x:c>
      <x:c r="G20" s="72" t="n">
        <x:v>1</x:v>
      </x:c>
      <x:c r="H20" s="71" t="str">
        <x:f>IF(G20=1,"PASS","HOLD")</x:f>
        <x:v>PASS</x:v>
      </x:c>
      <x:c r="I20" s="71" t="n">
        <x:f>COUNTIFS($B$5:$B$112,B20)</x:f>
        <x:v>6</x:v>
      </x:c>
      <x:c r="J20" s="71" t="n">
        <x:f>COUNTIFS($A$5:$A$112,A20)</x:f>
        <x:v>1</x:v>
      </x:c>
      <x:c r="K20" s="71" t="str">
        <x:v>Record completeness is not evidence.</x:v>
      </x:c>
    </x:row>
    <x:row r="21">
      <x:c r="A21" s="71" t="str">
        <x:v>G017</x:v>
      </x:c>
      <x:c r="B21" s="71" t="str">
        <x:v>ET-A-C</x:v>
      </x:c>
      <x:c r="C21" s="71" t="str">
        <x:v>ET-A</x:v>
      </x:c>
      <x:c r="D21" s="71" t="str">
        <x:v>SEPARATION</x:v>
      </x:c>
      <x:c r="E21" s="71" t="str">
        <x:v>Challenge, control and reconstruction separation</x:v>
      </x:c>
      <x:c r="F21" s="71" t="str">
        <x:v>Pass 212-215</x:v>
      </x:c>
      <x:c r="G21" s="72" t="n">
        <x:v>1</x:v>
      </x:c>
      <x:c r="H21" s="71" t="str">
        <x:f>IF(G21=1,"PASS","HOLD")</x:f>
        <x:v>PASS</x:v>
      </x:c>
      <x:c r="I21" s="71" t="n">
        <x:f>COUNTIFS($B$5:$B$112,B21)</x:f>
        <x:v>6</x:v>
      </x:c>
      <x:c r="J21" s="71" t="n">
        <x:f>COUNTIFS($A$5:$A$112,A21)</x:f>
        <x:v>1</x:v>
      </x:c>
      <x:c r="K21" s="71" t="str">
        <x:v>Record completeness is not evidence.</x:v>
      </x:c>
    </x:row>
    <x:row r="22">
      <x:c r="A22" s="71" t="str">
        <x:v>G018</x:v>
      </x:c>
      <x:c r="B22" s="71" t="str">
        <x:v>ET-A-C</x:v>
      </x:c>
      <x:c r="C22" s="71" t="str">
        <x:v>ET-A</x:v>
      </x:c>
      <x:c r="D22" s="71" t="str">
        <x:v>FINANCE</x:v>
      </x:c>
      <x:c r="E22" s="71" t="str">
        <x:v>Root FRAME ceiling conserved</x:v>
      </x:c>
      <x:c r="F22" s="71" t="str">
        <x:v>Pass 215</x:v>
      </x:c>
      <x:c r="G22" s="72" t="n">
        <x:v>1</x:v>
      </x:c>
      <x:c r="H22" s="71" t="str">
        <x:f>IF(G22=1,"PASS","HOLD")</x:f>
        <x:v>PASS</x:v>
      </x:c>
      <x:c r="I22" s="71" t="n">
        <x:f>COUNTIFS($B$5:$B$112,B22)</x:f>
        <x:v>6</x:v>
      </x:c>
      <x:c r="J22" s="71" t="n">
        <x:f>COUNTIFS($A$5:$A$112,A22)</x:f>
        <x:v>1</x:v>
      </x:c>
      <x:c r="K22" s="71" t="str">
        <x:v>Record completeness is not evidence.</x:v>
      </x:c>
    </x:row>
    <x:row r="23">
      <x:c r="A23" s="71" t="str">
        <x:v>G019</x:v>
      </x:c>
      <x:c r="B23" s="71" t="str">
        <x:v>CT-C-A</x:v>
      </x:c>
      <x:c r="C23" s="71" t="str">
        <x:v>CT-C</x:v>
      </x:c>
      <x:c r="D23" s="71" t="str">
        <x:v>EVENT</x:v>
      </x:c>
      <x:c r="E23" s="71" t="str">
        <x:v>Frozen destructive event packet</x:v>
      </x:c>
      <x:c r="F23" s="71" t="str">
        <x:v>Pass 225</x:v>
      </x:c>
      <x:c r="G23" s="72" t="n">
        <x:v>1</x:v>
      </x:c>
      <x:c r="H23" s="71" t="str">
        <x:f>IF(G23=1,"PASS","HOLD")</x:f>
        <x:v>PASS</x:v>
      </x:c>
      <x:c r="I23" s="71" t="n">
        <x:f>COUNTIFS($B$5:$B$112,B23)</x:f>
        <x:v>6</x:v>
      </x:c>
      <x:c r="J23" s="71" t="n">
        <x:f>COUNTIFS($A$5:$A$112,A23)</x:f>
        <x:v>1</x:v>
      </x:c>
      <x:c r="K23" s="71" t="str">
        <x:v>Record completeness is not evidence.</x:v>
      </x:c>
    </x:row>
    <x:row r="24">
      <x:c r="A24" s="71" t="str">
        <x:v>G020</x:v>
      </x:c>
      <x:c r="B24" s="71" t="str">
        <x:v>CT-C-A</x:v>
      </x:c>
      <x:c r="C24" s="71" t="str">
        <x:v>CT-C</x:v>
      </x:c>
      <x:c r="D24" s="71" t="str">
        <x:v>DOMAIN</x:v>
      </x:c>
      <x:c r="E24" s="71" t="str">
        <x:v>Six noncompensatory evidence domains</x:v>
      </x:c>
      <x:c r="F24" s="71" t="str">
        <x:v>Pass 225</x:v>
      </x:c>
      <x:c r="G24" s="72" t="n">
        <x:v>1</x:v>
      </x:c>
      <x:c r="H24" s="71" t="str">
        <x:f>IF(G24=1,"PASS","HOLD")</x:f>
        <x:v>PASS</x:v>
      </x:c>
      <x:c r="I24" s="71" t="n">
        <x:f>COUNTIFS($B$5:$B$112,B24)</x:f>
        <x:v>6</x:v>
      </x:c>
      <x:c r="J24" s="71" t="n">
        <x:f>COUNTIFS($A$5:$A$112,A24)</x:f>
        <x:v>1</x:v>
      </x:c>
      <x:c r="K24" s="71" t="str">
        <x:v>Record completeness is not evidence.</x:v>
      </x:c>
    </x:row>
    <x:row r="25">
      <x:c r="A25" s="71" t="str">
        <x:v>G021</x:v>
      </x:c>
      <x:c r="B25" s="71" t="str">
        <x:v>CT-C-A</x:v>
      </x:c>
      <x:c r="C25" s="71" t="str">
        <x:v>CT-C</x:v>
      </x:c>
      <x:c r="D25" s="71" t="str">
        <x:v>GEOMETRY</x:v>
      </x:c>
      <x:c r="E25" s="71" t="str">
        <x:v>Root-native dimension envelope</x:v>
      </x:c>
      <x:c r="F25" s="71" t="str">
        <x:v>Pass 224</x:v>
      </x:c>
      <x:c r="G25" s="72" t="n">
        <x:v>1</x:v>
      </x:c>
      <x:c r="H25" s="71" t="str">
        <x:f>IF(G25=1,"PASS","HOLD")</x:f>
        <x:v>PASS</x:v>
      </x:c>
      <x:c r="I25" s="71" t="n">
        <x:f>COUNTIFS($B$5:$B$112,B25)</x:f>
        <x:v>6</x:v>
      </x:c>
      <x:c r="J25" s="71" t="n">
        <x:f>COUNTIFS($A$5:$A$112,A25)</x:f>
        <x:v>1</x:v>
      </x:c>
      <x:c r="K25" s="71" t="str">
        <x:v>Record completeness is not evidence.</x:v>
      </x:c>
    </x:row>
    <x:row r="26">
      <x:c r="A26" s="71" t="str">
        <x:v>G022</x:v>
      </x:c>
      <x:c r="B26" s="71" t="str">
        <x:v>CT-C-A</x:v>
      </x:c>
      <x:c r="C26" s="71" t="str">
        <x:v>CT-C</x:v>
      </x:c>
      <x:c r="D26" s="71" t="str">
        <x:v>REPRESENT</x:v>
      </x:c>
      <x:c r="E26" s="71" t="str">
        <x:v>Equal-salience REP-3 record</x:v>
      </x:c>
      <x:c r="F26" s="71" t="str">
        <x:v>Pass 223</x:v>
      </x:c>
      <x:c r="G26" s="72" t="n">
        <x:v>1</x:v>
      </x:c>
      <x:c r="H26" s="71" t="str">
        <x:f>IF(G26=1,"PASS","HOLD")</x:f>
        <x:v>PASS</x:v>
      </x:c>
      <x:c r="I26" s="71" t="n">
        <x:f>COUNTIFS($B$5:$B$112,B26)</x:f>
        <x:v>6</x:v>
      </x:c>
      <x:c r="J26" s="71" t="n">
        <x:f>COUNTIFS($A$5:$A$112,A26)</x:f>
        <x:v>1</x:v>
      </x:c>
      <x:c r="K26" s="71" t="str">
        <x:v>Record completeness is not evidence.</x:v>
      </x:c>
    </x:row>
    <x:row r="27">
      <x:c r="A27" s="71" t="str">
        <x:v>G023</x:v>
      </x:c>
      <x:c r="B27" s="71" t="str">
        <x:v>CT-C-A</x:v>
      </x:c>
      <x:c r="C27" s="71" t="str">
        <x:v>CT-C</x:v>
      </x:c>
      <x:c r="D27" s="71" t="str">
        <x:v>SEPARATION</x:v>
      </x:c>
      <x:c r="E27" s="71" t="str">
        <x:v>Challenge, control and reconstruction separation</x:v>
      </x:c>
      <x:c r="F27" s="71" t="str">
        <x:v>Pass 212-215</x:v>
      </x:c>
      <x:c r="G27" s="72" t="n">
        <x:v>1</x:v>
      </x:c>
      <x:c r="H27" s="71" t="str">
        <x:f>IF(G27=1,"PASS","HOLD")</x:f>
        <x:v>PASS</x:v>
      </x:c>
      <x:c r="I27" s="71" t="n">
        <x:f>COUNTIFS($B$5:$B$112,B27)</x:f>
        <x:v>6</x:v>
      </x:c>
      <x:c r="J27" s="71" t="n">
        <x:f>COUNTIFS($A$5:$A$112,A27)</x:f>
        <x:v>1</x:v>
      </x:c>
      <x:c r="K27" s="71" t="str">
        <x:v>Record completeness is not evidence.</x:v>
      </x:c>
    </x:row>
    <x:row r="28">
      <x:c r="A28" s="71" t="str">
        <x:v>G024</x:v>
      </x:c>
      <x:c r="B28" s="71" t="str">
        <x:v>CT-C-A</x:v>
      </x:c>
      <x:c r="C28" s="71" t="str">
        <x:v>CT-C</x:v>
      </x:c>
      <x:c r="D28" s="71" t="str">
        <x:v>FINANCE</x:v>
      </x:c>
      <x:c r="E28" s="71" t="str">
        <x:v>Root FRAME ceiling conserved</x:v>
      </x:c>
      <x:c r="F28" s="71" t="str">
        <x:v>Pass 215</x:v>
      </x:c>
      <x:c r="G28" s="72" t="n">
        <x:v>1</x:v>
      </x:c>
      <x:c r="H28" s="71" t="str">
        <x:f>IF(G28=1,"PASS","HOLD")</x:f>
        <x:v>PASS</x:v>
      </x:c>
      <x:c r="I28" s="71" t="n">
        <x:f>COUNTIFS($B$5:$B$112,B28)</x:f>
        <x:v>6</x:v>
      </x:c>
      <x:c r="J28" s="71" t="n">
        <x:f>COUNTIFS($A$5:$A$112,A28)</x:f>
        <x:v>1</x:v>
      </x:c>
      <x:c r="K28" s="71" t="str">
        <x:v>Record completeness is not evidence.</x:v>
      </x:c>
    </x:row>
    <x:row r="29">
      <x:c r="A29" s="71" t="str">
        <x:v>G025</x:v>
      </x:c>
      <x:c r="B29" s="71" t="str">
        <x:v>CT-C-B</x:v>
      </x:c>
      <x:c r="C29" s="71" t="str">
        <x:v>CT-C</x:v>
      </x:c>
      <x:c r="D29" s="71" t="str">
        <x:v>EVENT</x:v>
      </x:c>
      <x:c r="E29" s="71" t="str">
        <x:v>Frozen destructive event packet</x:v>
      </x:c>
      <x:c r="F29" s="71" t="str">
        <x:v>Pass 225</x:v>
      </x:c>
      <x:c r="G29" s="72" t="n">
        <x:v>1</x:v>
      </x:c>
      <x:c r="H29" s="71" t="str">
        <x:f>IF(G29=1,"PASS","HOLD")</x:f>
        <x:v>PASS</x:v>
      </x:c>
      <x:c r="I29" s="71" t="n">
        <x:f>COUNTIFS($B$5:$B$112,B29)</x:f>
        <x:v>6</x:v>
      </x:c>
      <x:c r="J29" s="71" t="n">
        <x:f>COUNTIFS($A$5:$A$112,A29)</x:f>
        <x:v>1</x:v>
      </x:c>
      <x:c r="K29" s="71" t="str">
        <x:v>Record completeness is not evidence.</x:v>
      </x:c>
    </x:row>
    <x:row r="30">
      <x:c r="A30" s="71" t="str">
        <x:v>G026</x:v>
      </x:c>
      <x:c r="B30" s="71" t="str">
        <x:v>CT-C-B</x:v>
      </x:c>
      <x:c r="C30" s="71" t="str">
        <x:v>CT-C</x:v>
      </x:c>
      <x:c r="D30" s="71" t="str">
        <x:v>DOMAIN</x:v>
      </x:c>
      <x:c r="E30" s="71" t="str">
        <x:v>Six noncompensatory evidence domains</x:v>
      </x:c>
      <x:c r="F30" s="71" t="str">
        <x:v>Pass 225</x:v>
      </x:c>
      <x:c r="G30" s="72" t="n">
        <x:v>1</x:v>
      </x:c>
      <x:c r="H30" s="71" t="str">
        <x:f>IF(G30=1,"PASS","HOLD")</x:f>
        <x:v>PASS</x:v>
      </x:c>
      <x:c r="I30" s="71" t="n">
        <x:f>COUNTIFS($B$5:$B$112,B30)</x:f>
        <x:v>6</x:v>
      </x:c>
      <x:c r="J30" s="71" t="n">
        <x:f>COUNTIFS($A$5:$A$112,A30)</x:f>
        <x:v>1</x:v>
      </x:c>
      <x:c r="K30" s="71" t="str">
        <x:v>Record completeness is not evidence.</x:v>
      </x:c>
    </x:row>
    <x:row r="31">
      <x:c r="A31" s="71" t="str">
        <x:v>G027</x:v>
      </x:c>
      <x:c r="B31" s="71" t="str">
        <x:v>CT-C-B</x:v>
      </x:c>
      <x:c r="C31" s="71" t="str">
        <x:v>CT-C</x:v>
      </x:c>
      <x:c r="D31" s="71" t="str">
        <x:v>GEOMETRY</x:v>
      </x:c>
      <x:c r="E31" s="71" t="str">
        <x:v>Root-native dimension envelope</x:v>
      </x:c>
      <x:c r="F31" s="71" t="str">
        <x:v>Pass 224</x:v>
      </x:c>
      <x:c r="G31" s="72" t="n">
        <x:v>1</x:v>
      </x:c>
      <x:c r="H31" s="71" t="str">
        <x:f>IF(G31=1,"PASS","HOLD")</x:f>
        <x:v>PASS</x:v>
      </x:c>
      <x:c r="I31" s="71" t="n">
        <x:f>COUNTIFS($B$5:$B$112,B31)</x:f>
        <x:v>6</x:v>
      </x:c>
      <x:c r="J31" s="71" t="n">
        <x:f>COUNTIFS($A$5:$A$112,A31)</x:f>
        <x:v>1</x:v>
      </x:c>
      <x:c r="K31" s="71" t="str">
        <x:v>Record completeness is not evidence.</x:v>
      </x:c>
    </x:row>
    <x:row r="32">
      <x:c r="A32" s="71" t="str">
        <x:v>G028</x:v>
      </x:c>
      <x:c r="B32" s="71" t="str">
        <x:v>CT-C-B</x:v>
      </x:c>
      <x:c r="C32" s="71" t="str">
        <x:v>CT-C</x:v>
      </x:c>
      <x:c r="D32" s="71" t="str">
        <x:v>REPRESENT</x:v>
      </x:c>
      <x:c r="E32" s="71" t="str">
        <x:v>Equal-salience REP-3 record</x:v>
      </x:c>
      <x:c r="F32" s="71" t="str">
        <x:v>Pass 223</x:v>
      </x:c>
      <x:c r="G32" s="72" t="n">
        <x:v>1</x:v>
      </x:c>
      <x:c r="H32" s="71" t="str">
        <x:f>IF(G32=1,"PASS","HOLD")</x:f>
        <x:v>PASS</x:v>
      </x:c>
      <x:c r="I32" s="71" t="n">
        <x:f>COUNTIFS($B$5:$B$112,B32)</x:f>
        <x:v>6</x:v>
      </x:c>
      <x:c r="J32" s="71" t="n">
        <x:f>COUNTIFS($A$5:$A$112,A32)</x:f>
        <x:v>1</x:v>
      </x:c>
      <x:c r="K32" s="71" t="str">
        <x:v>Record completeness is not evidence.</x:v>
      </x:c>
    </x:row>
    <x:row r="33">
      <x:c r="A33" s="71" t="str">
        <x:v>G029</x:v>
      </x:c>
      <x:c r="B33" s="71" t="str">
        <x:v>CT-C-B</x:v>
      </x:c>
      <x:c r="C33" s="71" t="str">
        <x:v>CT-C</x:v>
      </x:c>
      <x:c r="D33" s="71" t="str">
        <x:v>SEPARATION</x:v>
      </x:c>
      <x:c r="E33" s="71" t="str">
        <x:v>Challenge, control and reconstruction separation</x:v>
      </x:c>
      <x:c r="F33" s="71" t="str">
        <x:v>Pass 212-215</x:v>
      </x:c>
      <x:c r="G33" s="72" t="n">
        <x:v>1</x:v>
      </x:c>
      <x:c r="H33" s="71" t="str">
        <x:f>IF(G33=1,"PASS","HOLD")</x:f>
        <x:v>PASS</x:v>
      </x:c>
      <x:c r="I33" s="71" t="n">
        <x:f>COUNTIFS($B$5:$B$112,B33)</x:f>
        <x:v>6</x:v>
      </x:c>
      <x:c r="J33" s="71" t="n">
        <x:f>COUNTIFS($A$5:$A$112,A33)</x:f>
        <x:v>1</x:v>
      </x:c>
      <x:c r="K33" s="71" t="str">
        <x:v>Record completeness is not evidence.</x:v>
      </x:c>
    </x:row>
    <x:row r="34">
      <x:c r="A34" s="71" t="str">
        <x:v>G030</x:v>
      </x:c>
      <x:c r="B34" s="71" t="str">
        <x:v>CT-C-B</x:v>
      </x:c>
      <x:c r="C34" s="71" t="str">
        <x:v>CT-C</x:v>
      </x:c>
      <x:c r="D34" s="71" t="str">
        <x:v>FINANCE</x:v>
      </x:c>
      <x:c r="E34" s="71" t="str">
        <x:v>Root FRAME ceiling conserved</x:v>
      </x:c>
      <x:c r="F34" s="71" t="str">
        <x:v>Pass 215</x:v>
      </x:c>
      <x:c r="G34" s="72" t="n">
        <x:v>1</x:v>
      </x:c>
      <x:c r="H34" s="71" t="str">
        <x:f>IF(G34=1,"PASS","HOLD")</x:f>
        <x:v>PASS</x:v>
      </x:c>
      <x:c r="I34" s="71" t="n">
        <x:f>COUNTIFS($B$5:$B$112,B34)</x:f>
        <x:v>6</x:v>
      </x:c>
      <x:c r="J34" s="71" t="n">
        <x:f>COUNTIFS($A$5:$A$112,A34)</x:f>
        <x:v>1</x:v>
      </x:c>
      <x:c r="K34" s="71" t="str">
        <x:v>Record completeness is not evidence.</x:v>
      </x:c>
    </x:row>
    <x:row r="35">
      <x:c r="A35" s="71" t="str">
        <x:v>G031</x:v>
      </x:c>
      <x:c r="B35" s="71" t="str">
        <x:v>CT-C-C</x:v>
      </x:c>
      <x:c r="C35" s="71" t="str">
        <x:v>CT-C</x:v>
      </x:c>
      <x:c r="D35" s="71" t="str">
        <x:v>EVENT</x:v>
      </x:c>
      <x:c r="E35" s="71" t="str">
        <x:v>Frozen destructive event packet</x:v>
      </x:c>
      <x:c r="F35" s="71" t="str">
        <x:v>Pass 225</x:v>
      </x:c>
      <x:c r="G35" s="72" t="n">
        <x:v>1</x:v>
      </x:c>
      <x:c r="H35" s="71" t="str">
        <x:f>IF(G35=1,"PASS","HOLD")</x:f>
        <x:v>PASS</x:v>
      </x:c>
      <x:c r="I35" s="71" t="n">
        <x:f>COUNTIFS($B$5:$B$112,B35)</x:f>
        <x:v>6</x:v>
      </x:c>
      <x:c r="J35" s="71" t="n">
        <x:f>COUNTIFS($A$5:$A$112,A35)</x:f>
        <x:v>1</x:v>
      </x:c>
      <x:c r="K35" s="71" t="str">
        <x:v>Record completeness is not evidence.</x:v>
      </x:c>
    </x:row>
    <x:row r="36">
      <x:c r="A36" s="71" t="str">
        <x:v>G032</x:v>
      </x:c>
      <x:c r="B36" s="71" t="str">
        <x:v>CT-C-C</x:v>
      </x:c>
      <x:c r="C36" s="71" t="str">
        <x:v>CT-C</x:v>
      </x:c>
      <x:c r="D36" s="71" t="str">
        <x:v>DOMAIN</x:v>
      </x:c>
      <x:c r="E36" s="71" t="str">
        <x:v>Six noncompensatory evidence domains</x:v>
      </x:c>
      <x:c r="F36" s="71" t="str">
        <x:v>Pass 225</x:v>
      </x:c>
      <x:c r="G36" s="72" t="n">
        <x:v>1</x:v>
      </x:c>
      <x:c r="H36" s="71" t="str">
        <x:f>IF(G36=1,"PASS","HOLD")</x:f>
        <x:v>PASS</x:v>
      </x:c>
      <x:c r="I36" s="71" t="n">
        <x:f>COUNTIFS($B$5:$B$112,B36)</x:f>
        <x:v>6</x:v>
      </x:c>
      <x:c r="J36" s="71" t="n">
        <x:f>COUNTIFS($A$5:$A$112,A36)</x:f>
        <x:v>1</x:v>
      </x:c>
      <x:c r="K36" s="71" t="str">
        <x:v>Record completeness is not evidence.</x:v>
      </x:c>
    </x:row>
    <x:row r="37">
      <x:c r="A37" s="71" t="str">
        <x:v>G033</x:v>
      </x:c>
      <x:c r="B37" s="71" t="str">
        <x:v>CT-C-C</x:v>
      </x:c>
      <x:c r="C37" s="71" t="str">
        <x:v>CT-C</x:v>
      </x:c>
      <x:c r="D37" s="71" t="str">
        <x:v>GEOMETRY</x:v>
      </x:c>
      <x:c r="E37" s="71" t="str">
        <x:v>Root-native dimension envelope</x:v>
      </x:c>
      <x:c r="F37" s="71" t="str">
        <x:v>Pass 224</x:v>
      </x:c>
      <x:c r="G37" s="72" t="n">
        <x:v>1</x:v>
      </x:c>
      <x:c r="H37" s="71" t="str">
        <x:f>IF(G37=1,"PASS","HOLD")</x:f>
        <x:v>PASS</x:v>
      </x:c>
      <x:c r="I37" s="71" t="n">
        <x:f>COUNTIFS($B$5:$B$112,B37)</x:f>
        <x:v>6</x:v>
      </x:c>
      <x:c r="J37" s="71" t="n">
        <x:f>COUNTIFS($A$5:$A$112,A37)</x:f>
        <x:v>1</x:v>
      </x:c>
      <x:c r="K37" s="71" t="str">
        <x:v>Record completeness is not evidence.</x:v>
      </x:c>
    </x:row>
    <x:row r="38">
      <x:c r="A38" s="71" t="str">
        <x:v>G034</x:v>
      </x:c>
      <x:c r="B38" s="71" t="str">
        <x:v>CT-C-C</x:v>
      </x:c>
      <x:c r="C38" s="71" t="str">
        <x:v>CT-C</x:v>
      </x:c>
      <x:c r="D38" s="71" t="str">
        <x:v>REPRESENT</x:v>
      </x:c>
      <x:c r="E38" s="71" t="str">
        <x:v>Equal-salience REP-3 record</x:v>
      </x:c>
      <x:c r="F38" s="71" t="str">
        <x:v>Pass 223</x:v>
      </x:c>
      <x:c r="G38" s="72" t="n">
        <x:v>1</x:v>
      </x:c>
      <x:c r="H38" s="71" t="str">
        <x:f>IF(G38=1,"PASS","HOLD")</x:f>
        <x:v>PASS</x:v>
      </x:c>
      <x:c r="I38" s="71" t="n">
        <x:f>COUNTIFS($B$5:$B$112,B38)</x:f>
        <x:v>6</x:v>
      </x:c>
      <x:c r="J38" s="71" t="n">
        <x:f>COUNTIFS($A$5:$A$112,A38)</x:f>
        <x:v>1</x:v>
      </x:c>
      <x:c r="K38" s="71" t="str">
        <x:v>Record completeness is not evidence.</x:v>
      </x:c>
    </x:row>
    <x:row r="39">
      <x:c r="A39" s="71" t="str">
        <x:v>G035</x:v>
      </x:c>
      <x:c r="B39" s="71" t="str">
        <x:v>CT-C-C</x:v>
      </x:c>
      <x:c r="C39" s="71" t="str">
        <x:v>CT-C</x:v>
      </x:c>
      <x:c r="D39" s="71" t="str">
        <x:v>SEPARATION</x:v>
      </x:c>
      <x:c r="E39" s="71" t="str">
        <x:v>Challenge, control and reconstruction separation</x:v>
      </x:c>
      <x:c r="F39" s="71" t="str">
        <x:v>Pass 212-215</x:v>
      </x:c>
      <x:c r="G39" s="72" t="n">
        <x:v>1</x:v>
      </x:c>
      <x:c r="H39" s="71" t="str">
        <x:f>IF(G39=1,"PASS","HOLD")</x:f>
        <x:v>PASS</x:v>
      </x:c>
      <x:c r="I39" s="71" t="n">
        <x:f>COUNTIFS($B$5:$B$112,B39)</x:f>
        <x:v>6</x:v>
      </x:c>
      <x:c r="J39" s="71" t="n">
        <x:f>COUNTIFS($A$5:$A$112,A39)</x:f>
        <x:v>1</x:v>
      </x:c>
      <x:c r="K39" s="71" t="str">
        <x:v>Record completeness is not evidence.</x:v>
      </x:c>
    </x:row>
    <x:row r="40">
      <x:c r="A40" s="71" t="str">
        <x:v>G036</x:v>
      </x:c>
      <x:c r="B40" s="71" t="str">
        <x:v>CT-C-C</x:v>
      </x:c>
      <x:c r="C40" s="71" t="str">
        <x:v>CT-C</x:v>
      </x:c>
      <x:c r="D40" s="71" t="str">
        <x:v>FINANCE</x:v>
      </x:c>
      <x:c r="E40" s="71" t="str">
        <x:v>Root FRAME ceiling conserved</x:v>
      </x:c>
      <x:c r="F40" s="71" t="str">
        <x:v>Pass 215</x:v>
      </x:c>
      <x:c r="G40" s="72" t="n">
        <x:v>1</x:v>
      </x:c>
      <x:c r="H40" s="71" t="str">
        <x:f>IF(G40=1,"PASS","HOLD")</x:f>
        <x:v>PASS</x:v>
      </x:c>
      <x:c r="I40" s="71" t="n">
        <x:f>COUNTIFS($B$5:$B$112,B40)</x:f>
        <x:v>6</x:v>
      </x:c>
      <x:c r="J40" s="71" t="n">
        <x:f>COUNTIFS($A$5:$A$112,A40)</x:f>
        <x:v>1</x:v>
      </x:c>
      <x:c r="K40" s="71" t="str">
        <x:v>Record completeness is not evidence.</x:v>
      </x:c>
    </x:row>
    <x:row r="41">
      <x:c r="A41" s="71" t="str">
        <x:v>G037</x:v>
      </x:c>
      <x:c r="B41" s="71" t="str">
        <x:v>HC-A-A</x:v>
      </x:c>
      <x:c r="C41" s="71" t="str">
        <x:v>HC-A</x:v>
      </x:c>
      <x:c r="D41" s="71" t="str">
        <x:v>EVENT</x:v>
      </x:c>
      <x:c r="E41" s="71" t="str">
        <x:v>Frozen destructive event packet</x:v>
      </x:c>
      <x:c r="F41" s="71" t="str">
        <x:v>Pass 225</x:v>
      </x:c>
      <x:c r="G41" s="72" t="n">
        <x:v>1</x:v>
      </x:c>
      <x:c r="H41" s="71" t="str">
        <x:f>IF(G41=1,"PASS","HOLD")</x:f>
        <x:v>PASS</x:v>
      </x:c>
      <x:c r="I41" s="71" t="n">
        <x:f>COUNTIFS($B$5:$B$112,B41)</x:f>
        <x:v>6</x:v>
      </x:c>
      <x:c r="J41" s="71" t="n">
        <x:f>COUNTIFS($A$5:$A$112,A41)</x:f>
        <x:v>1</x:v>
      </x:c>
      <x:c r="K41" s="71" t="str">
        <x:v>Record completeness is not evidence.</x:v>
      </x:c>
    </x:row>
    <x:row r="42">
      <x:c r="A42" s="71" t="str">
        <x:v>G038</x:v>
      </x:c>
      <x:c r="B42" s="71" t="str">
        <x:v>HC-A-A</x:v>
      </x:c>
      <x:c r="C42" s="71" t="str">
        <x:v>HC-A</x:v>
      </x:c>
      <x:c r="D42" s="71" t="str">
        <x:v>DOMAIN</x:v>
      </x:c>
      <x:c r="E42" s="71" t="str">
        <x:v>Six noncompensatory evidence domains</x:v>
      </x:c>
      <x:c r="F42" s="71" t="str">
        <x:v>Pass 225</x:v>
      </x:c>
      <x:c r="G42" s="72" t="n">
        <x:v>1</x:v>
      </x:c>
      <x:c r="H42" s="71" t="str">
        <x:f>IF(G42=1,"PASS","HOLD")</x:f>
        <x:v>PASS</x:v>
      </x:c>
      <x:c r="I42" s="71" t="n">
        <x:f>COUNTIFS($B$5:$B$112,B42)</x:f>
        <x:v>6</x:v>
      </x:c>
      <x:c r="J42" s="71" t="n">
        <x:f>COUNTIFS($A$5:$A$112,A42)</x:f>
        <x:v>1</x:v>
      </x:c>
      <x:c r="K42" s="71" t="str">
        <x:v>Record completeness is not evidence.</x:v>
      </x:c>
    </x:row>
    <x:row r="43">
      <x:c r="A43" s="71" t="str">
        <x:v>G039</x:v>
      </x:c>
      <x:c r="B43" s="71" t="str">
        <x:v>HC-A-A</x:v>
      </x:c>
      <x:c r="C43" s="71" t="str">
        <x:v>HC-A</x:v>
      </x:c>
      <x:c r="D43" s="71" t="str">
        <x:v>GEOMETRY</x:v>
      </x:c>
      <x:c r="E43" s="71" t="str">
        <x:v>Root-native dimension envelope</x:v>
      </x:c>
      <x:c r="F43" s="71" t="str">
        <x:v>Pass 224</x:v>
      </x:c>
      <x:c r="G43" s="72" t="n">
        <x:v>1</x:v>
      </x:c>
      <x:c r="H43" s="71" t="str">
        <x:f>IF(G43=1,"PASS","HOLD")</x:f>
        <x:v>PASS</x:v>
      </x:c>
      <x:c r="I43" s="71" t="n">
        <x:f>COUNTIFS($B$5:$B$112,B43)</x:f>
        <x:v>6</x:v>
      </x:c>
      <x:c r="J43" s="71" t="n">
        <x:f>COUNTIFS($A$5:$A$112,A43)</x:f>
        <x:v>1</x:v>
      </x:c>
      <x:c r="K43" s="71" t="str">
        <x:v>Record completeness is not evidence.</x:v>
      </x:c>
    </x:row>
    <x:row r="44">
      <x:c r="A44" s="71" t="str">
        <x:v>G040</x:v>
      </x:c>
      <x:c r="B44" s="71" t="str">
        <x:v>HC-A-A</x:v>
      </x:c>
      <x:c r="C44" s="71" t="str">
        <x:v>HC-A</x:v>
      </x:c>
      <x:c r="D44" s="71" t="str">
        <x:v>REPRESENT</x:v>
      </x:c>
      <x:c r="E44" s="71" t="str">
        <x:v>Equal-salience REP-3 record</x:v>
      </x:c>
      <x:c r="F44" s="71" t="str">
        <x:v>Pass 223</x:v>
      </x:c>
      <x:c r="G44" s="72" t="n">
        <x:v>1</x:v>
      </x:c>
      <x:c r="H44" s="71" t="str">
        <x:f>IF(G44=1,"PASS","HOLD")</x:f>
        <x:v>PASS</x:v>
      </x:c>
      <x:c r="I44" s="71" t="n">
        <x:f>COUNTIFS($B$5:$B$112,B44)</x:f>
        <x:v>6</x:v>
      </x:c>
      <x:c r="J44" s="71" t="n">
        <x:f>COUNTIFS($A$5:$A$112,A44)</x:f>
        <x:v>1</x:v>
      </x:c>
      <x:c r="K44" s="71" t="str">
        <x:v>Record completeness is not evidence.</x:v>
      </x:c>
    </x:row>
    <x:row r="45">
      <x:c r="A45" s="71" t="str">
        <x:v>G041</x:v>
      </x:c>
      <x:c r="B45" s="71" t="str">
        <x:v>HC-A-A</x:v>
      </x:c>
      <x:c r="C45" s="71" t="str">
        <x:v>HC-A</x:v>
      </x:c>
      <x:c r="D45" s="71" t="str">
        <x:v>SEPARATION</x:v>
      </x:c>
      <x:c r="E45" s="71" t="str">
        <x:v>Challenge, control and reconstruction separation</x:v>
      </x:c>
      <x:c r="F45" s="71" t="str">
        <x:v>Pass 212-215</x:v>
      </x:c>
      <x:c r="G45" s="72" t="n">
        <x:v>1</x:v>
      </x:c>
      <x:c r="H45" s="71" t="str">
        <x:f>IF(G45=1,"PASS","HOLD")</x:f>
        <x:v>PASS</x:v>
      </x:c>
      <x:c r="I45" s="71" t="n">
        <x:f>COUNTIFS($B$5:$B$112,B45)</x:f>
        <x:v>6</x:v>
      </x:c>
      <x:c r="J45" s="71" t="n">
        <x:f>COUNTIFS($A$5:$A$112,A45)</x:f>
        <x:v>1</x:v>
      </x:c>
      <x:c r="K45" s="71" t="str">
        <x:v>Record completeness is not evidence.</x:v>
      </x:c>
    </x:row>
    <x:row r="46">
      <x:c r="A46" s="71" t="str">
        <x:v>G042</x:v>
      </x:c>
      <x:c r="B46" s="71" t="str">
        <x:v>HC-A-A</x:v>
      </x:c>
      <x:c r="C46" s="71" t="str">
        <x:v>HC-A</x:v>
      </x:c>
      <x:c r="D46" s="71" t="str">
        <x:v>FINANCE</x:v>
      </x:c>
      <x:c r="E46" s="71" t="str">
        <x:v>Root FRAME ceiling conserved</x:v>
      </x:c>
      <x:c r="F46" s="71" t="str">
        <x:v>Pass 215</x:v>
      </x:c>
      <x:c r="G46" s="72" t="n">
        <x:v>1</x:v>
      </x:c>
      <x:c r="H46" s="71" t="str">
        <x:f>IF(G46=1,"PASS","HOLD")</x:f>
        <x:v>PASS</x:v>
      </x:c>
      <x:c r="I46" s="71" t="n">
        <x:f>COUNTIFS($B$5:$B$112,B46)</x:f>
        <x:v>6</x:v>
      </x:c>
      <x:c r="J46" s="71" t="n">
        <x:f>COUNTIFS($A$5:$A$112,A46)</x:f>
        <x:v>1</x:v>
      </x:c>
      <x:c r="K46" s="71" t="str">
        <x:v>Record completeness is not evidence.</x:v>
      </x:c>
    </x:row>
    <x:row r="47">
      <x:c r="A47" s="71" t="str">
        <x:v>G043</x:v>
      </x:c>
      <x:c r="B47" s="71" t="str">
        <x:v>HC-A-B</x:v>
      </x:c>
      <x:c r="C47" s="71" t="str">
        <x:v>HC-A</x:v>
      </x:c>
      <x:c r="D47" s="71" t="str">
        <x:v>EVENT</x:v>
      </x:c>
      <x:c r="E47" s="71" t="str">
        <x:v>Frozen destructive event packet</x:v>
      </x:c>
      <x:c r="F47" s="71" t="str">
        <x:v>Pass 225</x:v>
      </x:c>
      <x:c r="G47" s="72" t="n">
        <x:v>1</x:v>
      </x:c>
      <x:c r="H47" s="71" t="str">
        <x:f>IF(G47=1,"PASS","HOLD")</x:f>
        <x:v>PASS</x:v>
      </x:c>
      <x:c r="I47" s="71" t="n">
        <x:f>COUNTIFS($B$5:$B$112,B47)</x:f>
        <x:v>6</x:v>
      </x:c>
      <x:c r="J47" s="71" t="n">
        <x:f>COUNTIFS($A$5:$A$112,A47)</x:f>
        <x:v>1</x:v>
      </x:c>
      <x:c r="K47" s="71" t="str">
        <x:v>Record completeness is not evidence.</x:v>
      </x:c>
    </x:row>
    <x:row r="48">
      <x:c r="A48" s="71" t="str">
        <x:v>G044</x:v>
      </x:c>
      <x:c r="B48" s="71" t="str">
        <x:v>HC-A-B</x:v>
      </x:c>
      <x:c r="C48" s="71" t="str">
        <x:v>HC-A</x:v>
      </x:c>
      <x:c r="D48" s="71" t="str">
        <x:v>DOMAIN</x:v>
      </x:c>
      <x:c r="E48" s="71" t="str">
        <x:v>Six noncompensatory evidence domains</x:v>
      </x:c>
      <x:c r="F48" s="71" t="str">
        <x:v>Pass 225</x:v>
      </x:c>
      <x:c r="G48" s="72" t="n">
        <x:v>1</x:v>
      </x:c>
      <x:c r="H48" s="71" t="str">
        <x:f>IF(G48=1,"PASS","HOLD")</x:f>
        <x:v>PASS</x:v>
      </x:c>
      <x:c r="I48" s="71" t="n">
        <x:f>COUNTIFS($B$5:$B$112,B48)</x:f>
        <x:v>6</x:v>
      </x:c>
      <x:c r="J48" s="71" t="n">
        <x:f>COUNTIFS($A$5:$A$112,A48)</x:f>
        <x:v>1</x:v>
      </x:c>
      <x:c r="K48" s="71" t="str">
        <x:v>Record completeness is not evidence.</x:v>
      </x:c>
    </x:row>
    <x:row r="49">
      <x:c r="A49" s="71" t="str">
        <x:v>G045</x:v>
      </x:c>
      <x:c r="B49" s="71" t="str">
        <x:v>HC-A-B</x:v>
      </x:c>
      <x:c r="C49" s="71" t="str">
        <x:v>HC-A</x:v>
      </x:c>
      <x:c r="D49" s="71" t="str">
        <x:v>GEOMETRY</x:v>
      </x:c>
      <x:c r="E49" s="71" t="str">
        <x:v>Root-native dimension envelope</x:v>
      </x:c>
      <x:c r="F49" s="71" t="str">
        <x:v>Pass 224</x:v>
      </x:c>
      <x:c r="G49" s="72" t="n">
        <x:v>1</x:v>
      </x:c>
      <x:c r="H49" s="71" t="str">
        <x:f>IF(G49=1,"PASS","HOLD")</x:f>
        <x:v>PASS</x:v>
      </x:c>
      <x:c r="I49" s="71" t="n">
        <x:f>COUNTIFS($B$5:$B$112,B49)</x:f>
        <x:v>6</x:v>
      </x:c>
      <x:c r="J49" s="71" t="n">
        <x:f>COUNTIFS($A$5:$A$112,A49)</x:f>
        <x:v>1</x:v>
      </x:c>
      <x:c r="K49" s="71" t="str">
        <x:v>Record completeness is not evidence.</x:v>
      </x:c>
    </x:row>
    <x:row r="50">
      <x:c r="A50" s="71" t="str">
        <x:v>G046</x:v>
      </x:c>
      <x:c r="B50" s="71" t="str">
        <x:v>HC-A-B</x:v>
      </x:c>
      <x:c r="C50" s="71" t="str">
        <x:v>HC-A</x:v>
      </x:c>
      <x:c r="D50" s="71" t="str">
        <x:v>REPRESENT</x:v>
      </x:c>
      <x:c r="E50" s="71" t="str">
        <x:v>Equal-salience REP-3 record</x:v>
      </x:c>
      <x:c r="F50" s="71" t="str">
        <x:v>Pass 223</x:v>
      </x:c>
      <x:c r="G50" s="72" t="n">
        <x:v>1</x:v>
      </x:c>
      <x:c r="H50" s="71" t="str">
        <x:f>IF(G50=1,"PASS","HOLD")</x:f>
        <x:v>PASS</x:v>
      </x:c>
      <x:c r="I50" s="71" t="n">
        <x:f>COUNTIFS($B$5:$B$112,B50)</x:f>
        <x:v>6</x:v>
      </x:c>
      <x:c r="J50" s="71" t="n">
        <x:f>COUNTIFS($A$5:$A$112,A50)</x:f>
        <x:v>1</x:v>
      </x:c>
      <x:c r="K50" s="71" t="str">
        <x:v>Record completeness is not evidence.</x:v>
      </x:c>
    </x:row>
    <x:row r="51">
      <x:c r="A51" s="71" t="str">
        <x:v>G047</x:v>
      </x:c>
      <x:c r="B51" s="71" t="str">
        <x:v>HC-A-B</x:v>
      </x:c>
      <x:c r="C51" s="71" t="str">
        <x:v>HC-A</x:v>
      </x:c>
      <x:c r="D51" s="71" t="str">
        <x:v>SEPARATION</x:v>
      </x:c>
      <x:c r="E51" s="71" t="str">
        <x:v>Challenge, control and reconstruction separation</x:v>
      </x:c>
      <x:c r="F51" s="71" t="str">
        <x:v>Pass 212-215</x:v>
      </x:c>
      <x:c r="G51" s="72" t="n">
        <x:v>1</x:v>
      </x:c>
      <x:c r="H51" s="71" t="str">
        <x:f>IF(G51=1,"PASS","HOLD")</x:f>
        <x:v>PASS</x:v>
      </x:c>
      <x:c r="I51" s="71" t="n">
        <x:f>COUNTIFS($B$5:$B$112,B51)</x:f>
        <x:v>6</x:v>
      </x:c>
      <x:c r="J51" s="71" t="n">
        <x:f>COUNTIFS($A$5:$A$112,A51)</x:f>
        <x:v>1</x:v>
      </x:c>
      <x:c r="K51" s="71" t="str">
        <x:v>Record completeness is not evidence.</x:v>
      </x:c>
    </x:row>
    <x:row r="52">
      <x:c r="A52" s="71" t="str">
        <x:v>G048</x:v>
      </x:c>
      <x:c r="B52" s="71" t="str">
        <x:v>HC-A-B</x:v>
      </x:c>
      <x:c r="C52" s="71" t="str">
        <x:v>HC-A</x:v>
      </x:c>
      <x:c r="D52" s="71" t="str">
        <x:v>FINANCE</x:v>
      </x:c>
      <x:c r="E52" s="71" t="str">
        <x:v>Root FRAME ceiling conserved</x:v>
      </x:c>
      <x:c r="F52" s="71" t="str">
        <x:v>Pass 215</x:v>
      </x:c>
      <x:c r="G52" s="72" t="n">
        <x:v>1</x:v>
      </x:c>
      <x:c r="H52" s="71" t="str">
        <x:f>IF(G52=1,"PASS","HOLD")</x:f>
        <x:v>PASS</x:v>
      </x:c>
      <x:c r="I52" s="71" t="n">
        <x:f>COUNTIFS($B$5:$B$112,B52)</x:f>
        <x:v>6</x:v>
      </x:c>
      <x:c r="J52" s="71" t="n">
        <x:f>COUNTIFS($A$5:$A$112,A52)</x:f>
        <x:v>1</x:v>
      </x:c>
      <x:c r="K52" s="71" t="str">
        <x:v>Record completeness is not evidence.</x:v>
      </x:c>
    </x:row>
    <x:row r="53">
      <x:c r="A53" s="71" t="str">
        <x:v>G049</x:v>
      </x:c>
      <x:c r="B53" s="71" t="str">
        <x:v>HC-A-C</x:v>
      </x:c>
      <x:c r="C53" s="71" t="str">
        <x:v>HC-A</x:v>
      </x:c>
      <x:c r="D53" s="71" t="str">
        <x:v>EVENT</x:v>
      </x:c>
      <x:c r="E53" s="71" t="str">
        <x:v>Frozen destructive event packet</x:v>
      </x:c>
      <x:c r="F53" s="71" t="str">
        <x:v>Pass 225</x:v>
      </x:c>
      <x:c r="G53" s="72" t="n">
        <x:v>1</x:v>
      </x:c>
      <x:c r="H53" s="71" t="str">
        <x:f>IF(G53=1,"PASS","HOLD")</x:f>
        <x:v>PASS</x:v>
      </x:c>
      <x:c r="I53" s="71" t="n">
        <x:f>COUNTIFS($B$5:$B$112,B53)</x:f>
        <x:v>6</x:v>
      </x:c>
      <x:c r="J53" s="71" t="n">
        <x:f>COUNTIFS($A$5:$A$112,A53)</x:f>
        <x:v>1</x:v>
      </x:c>
      <x:c r="K53" s="71" t="str">
        <x:v>Record completeness is not evidence.</x:v>
      </x:c>
    </x:row>
    <x:row r="54">
      <x:c r="A54" s="71" t="str">
        <x:v>G050</x:v>
      </x:c>
      <x:c r="B54" s="71" t="str">
        <x:v>HC-A-C</x:v>
      </x:c>
      <x:c r="C54" s="71" t="str">
        <x:v>HC-A</x:v>
      </x:c>
      <x:c r="D54" s="71" t="str">
        <x:v>DOMAIN</x:v>
      </x:c>
      <x:c r="E54" s="71" t="str">
        <x:v>Six noncompensatory evidence domains</x:v>
      </x:c>
      <x:c r="F54" s="71" t="str">
        <x:v>Pass 225</x:v>
      </x:c>
      <x:c r="G54" s="72" t="n">
        <x:v>1</x:v>
      </x:c>
      <x:c r="H54" s="71" t="str">
        <x:f>IF(G54=1,"PASS","HOLD")</x:f>
        <x:v>PASS</x:v>
      </x:c>
      <x:c r="I54" s="71" t="n">
        <x:f>COUNTIFS($B$5:$B$112,B54)</x:f>
        <x:v>6</x:v>
      </x:c>
      <x:c r="J54" s="71" t="n">
        <x:f>COUNTIFS($A$5:$A$112,A54)</x:f>
        <x:v>1</x:v>
      </x:c>
      <x:c r="K54" s="71" t="str">
        <x:v>Record completeness is not evidence.</x:v>
      </x:c>
    </x:row>
    <x:row r="55">
      <x:c r="A55" s="71" t="str">
        <x:v>G051</x:v>
      </x:c>
      <x:c r="B55" s="71" t="str">
        <x:v>HC-A-C</x:v>
      </x:c>
      <x:c r="C55" s="71" t="str">
        <x:v>HC-A</x:v>
      </x:c>
      <x:c r="D55" s="71" t="str">
        <x:v>GEOMETRY</x:v>
      </x:c>
      <x:c r="E55" s="71" t="str">
        <x:v>Root-native dimension envelope</x:v>
      </x:c>
      <x:c r="F55" s="71" t="str">
        <x:v>Pass 224</x:v>
      </x:c>
      <x:c r="G55" s="72" t="n">
        <x:v>1</x:v>
      </x:c>
      <x:c r="H55" s="71" t="str">
        <x:f>IF(G55=1,"PASS","HOLD")</x:f>
        <x:v>PASS</x:v>
      </x:c>
      <x:c r="I55" s="71" t="n">
        <x:f>COUNTIFS($B$5:$B$112,B55)</x:f>
        <x:v>6</x:v>
      </x:c>
      <x:c r="J55" s="71" t="n">
        <x:f>COUNTIFS($A$5:$A$112,A55)</x:f>
        <x:v>1</x:v>
      </x:c>
      <x:c r="K55" s="71" t="str">
        <x:v>Record completeness is not evidence.</x:v>
      </x:c>
    </x:row>
    <x:row r="56">
      <x:c r="A56" s="71" t="str">
        <x:v>G052</x:v>
      </x:c>
      <x:c r="B56" s="71" t="str">
        <x:v>HC-A-C</x:v>
      </x:c>
      <x:c r="C56" s="71" t="str">
        <x:v>HC-A</x:v>
      </x:c>
      <x:c r="D56" s="71" t="str">
        <x:v>REPRESENT</x:v>
      </x:c>
      <x:c r="E56" s="71" t="str">
        <x:v>Equal-salience REP-3 record</x:v>
      </x:c>
      <x:c r="F56" s="71" t="str">
        <x:v>Pass 223</x:v>
      </x:c>
      <x:c r="G56" s="72" t="n">
        <x:v>1</x:v>
      </x:c>
      <x:c r="H56" s="71" t="str">
        <x:f>IF(G56=1,"PASS","HOLD")</x:f>
        <x:v>PASS</x:v>
      </x:c>
      <x:c r="I56" s="71" t="n">
        <x:f>COUNTIFS($B$5:$B$112,B56)</x:f>
        <x:v>6</x:v>
      </x:c>
      <x:c r="J56" s="71" t="n">
        <x:f>COUNTIFS($A$5:$A$112,A56)</x:f>
        <x:v>1</x:v>
      </x:c>
      <x:c r="K56" s="71" t="str">
        <x:v>Record completeness is not evidence.</x:v>
      </x:c>
    </x:row>
    <x:row r="57">
      <x:c r="A57" s="71" t="str">
        <x:v>G053</x:v>
      </x:c>
      <x:c r="B57" s="71" t="str">
        <x:v>HC-A-C</x:v>
      </x:c>
      <x:c r="C57" s="71" t="str">
        <x:v>HC-A</x:v>
      </x:c>
      <x:c r="D57" s="71" t="str">
        <x:v>SEPARATION</x:v>
      </x:c>
      <x:c r="E57" s="71" t="str">
        <x:v>Challenge, control and reconstruction separation</x:v>
      </x:c>
      <x:c r="F57" s="71" t="str">
        <x:v>Pass 212-215</x:v>
      </x:c>
      <x:c r="G57" s="72" t="n">
        <x:v>1</x:v>
      </x:c>
      <x:c r="H57" s="71" t="str">
        <x:f>IF(G57=1,"PASS","HOLD")</x:f>
        <x:v>PASS</x:v>
      </x:c>
      <x:c r="I57" s="71" t="n">
        <x:f>COUNTIFS($B$5:$B$112,B57)</x:f>
        <x:v>6</x:v>
      </x:c>
      <x:c r="J57" s="71" t="n">
        <x:f>COUNTIFS($A$5:$A$112,A57)</x:f>
        <x:v>1</x:v>
      </x:c>
      <x:c r="K57" s="71" t="str">
        <x:v>Record completeness is not evidence.</x:v>
      </x:c>
    </x:row>
    <x:row r="58">
      <x:c r="A58" s="71" t="str">
        <x:v>G054</x:v>
      </x:c>
      <x:c r="B58" s="71" t="str">
        <x:v>HC-A-C</x:v>
      </x:c>
      <x:c r="C58" s="71" t="str">
        <x:v>HC-A</x:v>
      </x:c>
      <x:c r="D58" s="71" t="str">
        <x:v>FINANCE</x:v>
      </x:c>
      <x:c r="E58" s="71" t="str">
        <x:v>Root FRAME ceiling conserved</x:v>
      </x:c>
      <x:c r="F58" s="71" t="str">
        <x:v>Pass 215</x:v>
      </x:c>
      <x:c r="G58" s="72" t="n">
        <x:v>1</x:v>
      </x:c>
      <x:c r="H58" s="71" t="str">
        <x:f>IF(G58=1,"PASS","HOLD")</x:f>
        <x:v>PASS</x:v>
      </x:c>
      <x:c r="I58" s="71" t="n">
        <x:f>COUNTIFS($B$5:$B$112,B58)</x:f>
        <x:v>6</x:v>
      </x:c>
      <x:c r="J58" s="71" t="n">
        <x:f>COUNTIFS($A$5:$A$112,A58)</x:f>
        <x:v>1</x:v>
      </x:c>
      <x:c r="K58" s="71" t="str">
        <x:v>Record completeness is not evidence.</x:v>
      </x:c>
    </x:row>
    <x:row r="59">
      <x:c r="A59" s="71" t="str">
        <x:v>G055</x:v>
      </x:c>
      <x:c r="B59" s="71" t="str">
        <x:v>LF-B-A</x:v>
      </x:c>
      <x:c r="C59" s="71" t="str">
        <x:v>LF-B</x:v>
      </x:c>
      <x:c r="D59" s="71" t="str">
        <x:v>EVENT</x:v>
      </x:c>
      <x:c r="E59" s="71" t="str">
        <x:v>Frozen destructive event packet</x:v>
      </x:c>
      <x:c r="F59" s="71" t="str">
        <x:v>Pass 225</x:v>
      </x:c>
      <x:c r="G59" s="72" t="n">
        <x:v>1</x:v>
      </x:c>
      <x:c r="H59" s="71" t="str">
        <x:f>IF(G59=1,"PASS","HOLD")</x:f>
        <x:v>PASS</x:v>
      </x:c>
      <x:c r="I59" s="71" t="n">
        <x:f>COUNTIFS($B$5:$B$112,B59)</x:f>
        <x:v>6</x:v>
      </x:c>
      <x:c r="J59" s="71" t="n">
        <x:f>COUNTIFS($A$5:$A$112,A59)</x:f>
        <x:v>1</x:v>
      </x:c>
      <x:c r="K59" s="71" t="str">
        <x:v>Record completeness is not evidence.</x:v>
      </x:c>
    </x:row>
    <x:row r="60">
      <x:c r="A60" s="71" t="str">
        <x:v>G056</x:v>
      </x:c>
      <x:c r="B60" s="71" t="str">
        <x:v>LF-B-A</x:v>
      </x:c>
      <x:c r="C60" s="71" t="str">
        <x:v>LF-B</x:v>
      </x:c>
      <x:c r="D60" s="71" t="str">
        <x:v>DOMAIN</x:v>
      </x:c>
      <x:c r="E60" s="71" t="str">
        <x:v>Six noncompensatory evidence domains</x:v>
      </x:c>
      <x:c r="F60" s="71" t="str">
        <x:v>Pass 225</x:v>
      </x:c>
      <x:c r="G60" s="72" t="n">
        <x:v>1</x:v>
      </x:c>
      <x:c r="H60" s="71" t="str">
        <x:f>IF(G60=1,"PASS","HOLD")</x:f>
        <x:v>PASS</x:v>
      </x:c>
      <x:c r="I60" s="71" t="n">
        <x:f>COUNTIFS($B$5:$B$112,B60)</x:f>
        <x:v>6</x:v>
      </x:c>
      <x:c r="J60" s="71" t="n">
        <x:f>COUNTIFS($A$5:$A$112,A60)</x:f>
        <x:v>1</x:v>
      </x:c>
      <x:c r="K60" s="71" t="str">
        <x:v>Record completeness is not evidence.</x:v>
      </x:c>
    </x:row>
    <x:row r="61">
      <x:c r="A61" s="71" t="str">
        <x:v>G057</x:v>
      </x:c>
      <x:c r="B61" s="71" t="str">
        <x:v>LF-B-A</x:v>
      </x:c>
      <x:c r="C61" s="71" t="str">
        <x:v>LF-B</x:v>
      </x:c>
      <x:c r="D61" s="71" t="str">
        <x:v>GEOMETRY</x:v>
      </x:c>
      <x:c r="E61" s="71" t="str">
        <x:v>Root-native dimension envelope</x:v>
      </x:c>
      <x:c r="F61" s="71" t="str">
        <x:v>Pass 224</x:v>
      </x:c>
      <x:c r="G61" s="72" t="n">
        <x:v>1</x:v>
      </x:c>
      <x:c r="H61" s="71" t="str">
        <x:f>IF(G61=1,"PASS","HOLD")</x:f>
        <x:v>PASS</x:v>
      </x:c>
      <x:c r="I61" s="71" t="n">
        <x:f>COUNTIFS($B$5:$B$112,B61)</x:f>
        <x:v>6</x:v>
      </x:c>
      <x:c r="J61" s="71" t="n">
        <x:f>COUNTIFS($A$5:$A$112,A61)</x:f>
        <x:v>1</x:v>
      </x:c>
      <x:c r="K61" s="71" t="str">
        <x:v>Record completeness is not evidence.</x:v>
      </x:c>
    </x:row>
    <x:row r="62">
      <x:c r="A62" s="71" t="str">
        <x:v>G058</x:v>
      </x:c>
      <x:c r="B62" s="71" t="str">
        <x:v>LF-B-A</x:v>
      </x:c>
      <x:c r="C62" s="71" t="str">
        <x:v>LF-B</x:v>
      </x:c>
      <x:c r="D62" s="71" t="str">
        <x:v>REPRESENT</x:v>
      </x:c>
      <x:c r="E62" s="71" t="str">
        <x:v>Equal-salience REP-3 record</x:v>
      </x:c>
      <x:c r="F62" s="71" t="str">
        <x:v>Pass 223</x:v>
      </x:c>
      <x:c r="G62" s="72" t="n">
        <x:v>1</x:v>
      </x:c>
      <x:c r="H62" s="71" t="str">
        <x:f>IF(G62=1,"PASS","HOLD")</x:f>
        <x:v>PASS</x:v>
      </x:c>
      <x:c r="I62" s="71" t="n">
        <x:f>COUNTIFS($B$5:$B$112,B62)</x:f>
        <x:v>6</x:v>
      </x:c>
      <x:c r="J62" s="71" t="n">
        <x:f>COUNTIFS($A$5:$A$112,A62)</x:f>
        <x:v>1</x:v>
      </x:c>
      <x:c r="K62" s="71" t="str">
        <x:v>Record completeness is not evidence.</x:v>
      </x:c>
    </x:row>
    <x:row r="63">
      <x:c r="A63" s="71" t="str">
        <x:v>G059</x:v>
      </x:c>
      <x:c r="B63" s="71" t="str">
        <x:v>LF-B-A</x:v>
      </x:c>
      <x:c r="C63" s="71" t="str">
        <x:v>LF-B</x:v>
      </x:c>
      <x:c r="D63" s="71" t="str">
        <x:v>SEPARATION</x:v>
      </x:c>
      <x:c r="E63" s="71" t="str">
        <x:v>Challenge, control and reconstruction separation</x:v>
      </x:c>
      <x:c r="F63" s="71" t="str">
        <x:v>Pass 212-215</x:v>
      </x:c>
      <x:c r="G63" s="72" t="n">
        <x:v>1</x:v>
      </x:c>
      <x:c r="H63" s="71" t="str">
        <x:f>IF(G63=1,"PASS","HOLD")</x:f>
        <x:v>PASS</x:v>
      </x:c>
      <x:c r="I63" s="71" t="n">
        <x:f>COUNTIFS($B$5:$B$112,B63)</x:f>
        <x:v>6</x:v>
      </x:c>
      <x:c r="J63" s="71" t="n">
        <x:f>COUNTIFS($A$5:$A$112,A63)</x:f>
        <x:v>1</x:v>
      </x:c>
      <x:c r="K63" s="71" t="str">
        <x:v>Record completeness is not evidence.</x:v>
      </x:c>
    </x:row>
    <x:row r="64">
      <x:c r="A64" s="71" t="str">
        <x:v>G060</x:v>
      </x:c>
      <x:c r="B64" s="71" t="str">
        <x:v>LF-B-A</x:v>
      </x:c>
      <x:c r="C64" s="71" t="str">
        <x:v>LF-B</x:v>
      </x:c>
      <x:c r="D64" s="71" t="str">
        <x:v>FINANCE</x:v>
      </x:c>
      <x:c r="E64" s="71" t="str">
        <x:v>Root FRAME ceiling conserved</x:v>
      </x:c>
      <x:c r="F64" s="71" t="str">
        <x:v>Pass 215</x:v>
      </x:c>
      <x:c r="G64" s="72" t="n">
        <x:v>1</x:v>
      </x:c>
      <x:c r="H64" s="71" t="str">
        <x:f>IF(G64=1,"PASS","HOLD")</x:f>
        <x:v>PASS</x:v>
      </x:c>
      <x:c r="I64" s="71" t="n">
        <x:f>COUNTIFS($B$5:$B$112,B64)</x:f>
        <x:v>6</x:v>
      </x:c>
      <x:c r="J64" s="71" t="n">
        <x:f>COUNTIFS($A$5:$A$112,A64)</x:f>
        <x:v>1</x:v>
      </x:c>
      <x:c r="K64" s="71" t="str">
        <x:v>Record completeness is not evidence.</x:v>
      </x:c>
    </x:row>
    <x:row r="65">
      <x:c r="A65" s="71" t="str">
        <x:v>G061</x:v>
      </x:c>
      <x:c r="B65" s="71" t="str">
        <x:v>LF-B-B</x:v>
      </x:c>
      <x:c r="C65" s="71" t="str">
        <x:v>LF-B</x:v>
      </x:c>
      <x:c r="D65" s="71" t="str">
        <x:v>EVENT</x:v>
      </x:c>
      <x:c r="E65" s="71" t="str">
        <x:v>Frozen destructive event packet</x:v>
      </x:c>
      <x:c r="F65" s="71" t="str">
        <x:v>Pass 225</x:v>
      </x:c>
      <x:c r="G65" s="72" t="n">
        <x:v>1</x:v>
      </x:c>
      <x:c r="H65" s="71" t="str">
        <x:f>IF(G65=1,"PASS","HOLD")</x:f>
        <x:v>PASS</x:v>
      </x:c>
      <x:c r="I65" s="71" t="n">
        <x:f>COUNTIFS($B$5:$B$112,B65)</x:f>
        <x:v>6</x:v>
      </x:c>
      <x:c r="J65" s="71" t="n">
        <x:f>COUNTIFS($A$5:$A$112,A65)</x:f>
        <x:v>1</x:v>
      </x:c>
      <x:c r="K65" s="71" t="str">
        <x:v>Record completeness is not evidence.</x:v>
      </x:c>
    </x:row>
    <x:row r="66">
      <x:c r="A66" s="71" t="str">
        <x:v>G062</x:v>
      </x:c>
      <x:c r="B66" s="71" t="str">
        <x:v>LF-B-B</x:v>
      </x:c>
      <x:c r="C66" s="71" t="str">
        <x:v>LF-B</x:v>
      </x:c>
      <x:c r="D66" s="71" t="str">
        <x:v>DOMAIN</x:v>
      </x:c>
      <x:c r="E66" s="71" t="str">
        <x:v>Six noncompensatory evidence domains</x:v>
      </x:c>
      <x:c r="F66" s="71" t="str">
        <x:v>Pass 225</x:v>
      </x:c>
      <x:c r="G66" s="72" t="n">
        <x:v>1</x:v>
      </x:c>
      <x:c r="H66" s="71" t="str">
        <x:f>IF(G66=1,"PASS","HOLD")</x:f>
        <x:v>PASS</x:v>
      </x:c>
      <x:c r="I66" s="71" t="n">
        <x:f>COUNTIFS($B$5:$B$112,B66)</x:f>
        <x:v>6</x:v>
      </x:c>
      <x:c r="J66" s="71" t="n">
        <x:f>COUNTIFS($A$5:$A$112,A66)</x:f>
        <x:v>1</x:v>
      </x:c>
      <x:c r="K66" s="71" t="str">
        <x:v>Record completeness is not evidence.</x:v>
      </x:c>
    </x:row>
    <x:row r="67">
      <x:c r="A67" s="71" t="str">
        <x:v>G063</x:v>
      </x:c>
      <x:c r="B67" s="71" t="str">
        <x:v>LF-B-B</x:v>
      </x:c>
      <x:c r="C67" s="71" t="str">
        <x:v>LF-B</x:v>
      </x:c>
      <x:c r="D67" s="71" t="str">
        <x:v>GEOMETRY</x:v>
      </x:c>
      <x:c r="E67" s="71" t="str">
        <x:v>Root-native dimension envelope</x:v>
      </x:c>
      <x:c r="F67" s="71" t="str">
        <x:v>Pass 224</x:v>
      </x:c>
      <x:c r="G67" s="72" t="n">
        <x:v>1</x:v>
      </x:c>
      <x:c r="H67" s="71" t="str">
        <x:f>IF(G67=1,"PASS","HOLD")</x:f>
        <x:v>PASS</x:v>
      </x:c>
      <x:c r="I67" s="71" t="n">
        <x:f>COUNTIFS($B$5:$B$112,B67)</x:f>
        <x:v>6</x:v>
      </x:c>
      <x:c r="J67" s="71" t="n">
        <x:f>COUNTIFS($A$5:$A$112,A67)</x:f>
        <x:v>1</x:v>
      </x:c>
      <x:c r="K67" s="71" t="str">
        <x:v>Record completeness is not evidence.</x:v>
      </x:c>
    </x:row>
    <x:row r="68">
      <x:c r="A68" s="71" t="str">
        <x:v>G064</x:v>
      </x:c>
      <x:c r="B68" s="71" t="str">
        <x:v>LF-B-B</x:v>
      </x:c>
      <x:c r="C68" s="71" t="str">
        <x:v>LF-B</x:v>
      </x:c>
      <x:c r="D68" s="71" t="str">
        <x:v>REPRESENT</x:v>
      </x:c>
      <x:c r="E68" s="71" t="str">
        <x:v>Equal-salience REP-3 record</x:v>
      </x:c>
      <x:c r="F68" s="71" t="str">
        <x:v>Pass 223</x:v>
      </x:c>
      <x:c r="G68" s="72" t="n">
        <x:v>1</x:v>
      </x:c>
      <x:c r="H68" s="71" t="str">
        <x:f>IF(G68=1,"PASS","HOLD")</x:f>
        <x:v>PASS</x:v>
      </x:c>
      <x:c r="I68" s="71" t="n">
        <x:f>COUNTIFS($B$5:$B$112,B68)</x:f>
        <x:v>6</x:v>
      </x:c>
      <x:c r="J68" s="71" t="n">
        <x:f>COUNTIFS($A$5:$A$112,A68)</x:f>
        <x:v>1</x:v>
      </x:c>
      <x:c r="K68" s="71" t="str">
        <x:v>Record completeness is not evidence.</x:v>
      </x:c>
    </x:row>
    <x:row r="69">
      <x:c r="A69" s="71" t="str">
        <x:v>G065</x:v>
      </x:c>
      <x:c r="B69" s="71" t="str">
        <x:v>LF-B-B</x:v>
      </x:c>
      <x:c r="C69" s="71" t="str">
        <x:v>LF-B</x:v>
      </x:c>
      <x:c r="D69" s="71" t="str">
        <x:v>SEPARATION</x:v>
      </x:c>
      <x:c r="E69" s="71" t="str">
        <x:v>Challenge, control and reconstruction separation</x:v>
      </x:c>
      <x:c r="F69" s="71" t="str">
        <x:v>Pass 212-215</x:v>
      </x:c>
      <x:c r="G69" s="72" t="n">
        <x:v>1</x:v>
      </x:c>
      <x:c r="H69" s="71" t="str">
        <x:f>IF(G69=1,"PASS","HOLD")</x:f>
        <x:v>PASS</x:v>
      </x:c>
      <x:c r="I69" s="71" t="n">
        <x:f>COUNTIFS($B$5:$B$112,B69)</x:f>
        <x:v>6</x:v>
      </x:c>
      <x:c r="J69" s="71" t="n">
        <x:f>COUNTIFS($A$5:$A$112,A69)</x:f>
        <x:v>1</x:v>
      </x:c>
      <x:c r="K69" s="71" t="str">
        <x:v>Record completeness is not evidence.</x:v>
      </x:c>
    </x:row>
    <x:row r="70">
      <x:c r="A70" s="71" t="str">
        <x:v>G066</x:v>
      </x:c>
      <x:c r="B70" s="71" t="str">
        <x:v>LF-B-B</x:v>
      </x:c>
      <x:c r="C70" s="71" t="str">
        <x:v>LF-B</x:v>
      </x:c>
      <x:c r="D70" s="71" t="str">
        <x:v>FINANCE</x:v>
      </x:c>
      <x:c r="E70" s="71" t="str">
        <x:v>Root FRAME ceiling conserved</x:v>
      </x:c>
      <x:c r="F70" s="71" t="str">
        <x:v>Pass 215</x:v>
      </x:c>
      <x:c r="G70" s="72" t="n">
        <x:v>1</x:v>
      </x:c>
      <x:c r="H70" s="71" t="str">
        <x:f>IF(G70=1,"PASS","HOLD")</x:f>
        <x:v>PASS</x:v>
      </x:c>
      <x:c r="I70" s="71" t="n">
        <x:f>COUNTIFS($B$5:$B$112,B70)</x:f>
        <x:v>6</x:v>
      </x:c>
      <x:c r="J70" s="71" t="n">
        <x:f>COUNTIFS($A$5:$A$112,A70)</x:f>
        <x:v>1</x:v>
      </x:c>
      <x:c r="K70" s="71" t="str">
        <x:v>Record completeness is not evidence.</x:v>
      </x:c>
    </x:row>
    <x:row r="71">
      <x:c r="A71" s="71" t="str">
        <x:v>G067</x:v>
      </x:c>
      <x:c r="B71" s="71" t="str">
        <x:v>LF-B-C</x:v>
      </x:c>
      <x:c r="C71" s="71" t="str">
        <x:v>LF-B</x:v>
      </x:c>
      <x:c r="D71" s="71" t="str">
        <x:v>EVENT</x:v>
      </x:c>
      <x:c r="E71" s="71" t="str">
        <x:v>Frozen destructive event packet</x:v>
      </x:c>
      <x:c r="F71" s="71" t="str">
        <x:v>Pass 225</x:v>
      </x:c>
      <x:c r="G71" s="72" t="n">
        <x:v>1</x:v>
      </x:c>
      <x:c r="H71" s="71" t="str">
        <x:f>IF(G71=1,"PASS","HOLD")</x:f>
        <x:v>PASS</x:v>
      </x:c>
      <x:c r="I71" s="71" t="n">
        <x:f>COUNTIFS($B$5:$B$112,B71)</x:f>
        <x:v>6</x:v>
      </x:c>
      <x:c r="J71" s="71" t="n">
        <x:f>COUNTIFS($A$5:$A$112,A71)</x:f>
        <x:v>1</x:v>
      </x:c>
      <x:c r="K71" s="71" t="str">
        <x:v>Record completeness is not evidence.</x:v>
      </x:c>
    </x:row>
    <x:row r="72">
      <x:c r="A72" s="71" t="str">
        <x:v>G068</x:v>
      </x:c>
      <x:c r="B72" s="71" t="str">
        <x:v>LF-B-C</x:v>
      </x:c>
      <x:c r="C72" s="71" t="str">
        <x:v>LF-B</x:v>
      </x:c>
      <x:c r="D72" s="71" t="str">
        <x:v>DOMAIN</x:v>
      </x:c>
      <x:c r="E72" s="71" t="str">
        <x:v>Six noncompensatory evidence domains</x:v>
      </x:c>
      <x:c r="F72" s="71" t="str">
        <x:v>Pass 225</x:v>
      </x:c>
      <x:c r="G72" s="72" t="n">
        <x:v>1</x:v>
      </x:c>
      <x:c r="H72" s="71" t="str">
        <x:f>IF(G72=1,"PASS","HOLD")</x:f>
        <x:v>PASS</x:v>
      </x:c>
      <x:c r="I72" s="71" t="n">
        <x:f>COUNTIFS($B$5:$B$112,B72)</x:f>
        <x:v>6</x:v>
      </x:c>
      <x:c r="J72" s="71" t="n">
        <x:f>COUNTIFS($A$5:$A$112,A72)</x:f>
        <x:v>1</x:v>
      </x:c>
      <x:c r="K72" s="71" t="str">
        <x:v>Record completeness is not evidence.</x:v>
      </x:c>
    </x:row>
    <x:row r="73">
      <x:c r="A73" s="71" t="str">
        <x:v>G069</x:v>
      </x:c>
      <x:c r="B73" s="71" t="str">
        <x:v>LF-B-C</x:v>
      </x:c>
      <x:c r="C73" s="71" t="str">
        <x:v>LF-B</x:v>
      </x:c>
      <x:c r="D73" s="71" t="str">
        <x:v>GEOMETRY</x:v>
      </x:c>
      <x:c r="E73" s="71" t="str">
        <x:v>Root-native dimension envelope</x:v>
      </x:c>
      <x:c r="F73" s="71" t="str">
        <x:v>Pass 224</x:v>
      </x:c>
      <x:c r="G73" s="72" t="n">
        <x:v>1</x:v>
      </x:c>
      <x:c r="H73" s="71" t="str">
        <x:f>IF(G73=1,"PASS","HOLD")</x:f>
        <x:v>PASS</x:v>
      </x:c>
      <x:c r="I73" s="71" t="n">
        <x:f>COUNTIFS($B$5:$B$112,B73)</x:f>
        <x:v>6</x:v>
      </x:c>
      <x:c r="J73" s="71" t="n">
        <x:f>COUNTIFS($A$5:$A$112,A73)</x:f>
        <x:v>1</x:v>
      </x:c>
      <x:c r="K73" s="71" t="str">
        <x:v>Record completeness is not evidence.</x:v>
      </x:c>
    </x:row>
    <x:row r="74">
      <x:c r="A74" s="71" t="str">
        <x:v>G070</x:v>
      </x:c>
      <x:c r="B74" s="71" t="str">
        <x:v>LF-B-C</x:v>
      </x:c>
      <x:c r="C74" s="71" t="str">
        <x:v>LF-B</x:v>
      </x:c>
      <x:c r="D74" s="71" t="str">
        <x:v>REPRESENT</x:v>
      </x:c>
      <x:c r="E74" s="71" t="str">
        <x:v>Equal-salience REP-3 record</x:v>
      </x:c>
      <x:c r="F74" s="71" t="str">
        <x:v>Pass 223</x:v>
      </x:c>
      <x:c r="G74" s="72" t="n">
        <x:v>1</x:v>
      </x:c>
      <x:c r="H74" s="71" t="str">
        <x:f>IF(G74=1,"PASS","HOLD")</x:f>
        <x:v>PASS</x:v>
      </x:c>
      <x:c r="I74" s="71" t="n">
        <x:f>COUNTIFS($B$5:$B$112,B74)</x:f>
        <x:v>6</x:v>
      </x:c>
      <x:c r="J74" s="71" t="n">
        <x:f>COUNTIFS($A$5:$A$112,A74)</x:f>
        <x:v>1</x:v>
      </x:c>
      <x:c r="K74" s="71" t="str">
        <x:v>Record completeness is not evidence.</x:v>
      </x:c>
    </x:row>
    <x:row r="75">
      <x:c r="A75" s="71" t="str">
        <x:v>G071</x:v>
      </x:c>
      <x:c r="B75" s="71" t="str">
        <x:v>LF-B-C</x:v>
      </x:c>
      <x:c r="C75" s="71" t="str">
        <x:v>LF-B</x:v>
      </x:c>
      <x:c r="D75" s="71" t="str">
        <x:v>SEPARATION</x:v>
      </x:c>
      <x:c r="E75" s="71" t="str">
        <x:v>Challenge, control and reconstruction separation</x:v>
      </x:c>
      <x:c r="F75" s="71" t="str">
        <x:v>Pass 212-215</x:v>
      </x:c>
      <x:c r="G75" s="72" t="n">
        <x:v>1</x:v>
      </x:c>
      <x:c r="H75" s="71" t="str">
        <x:f>IF(G75=1,"PASS","HOLD")</x:f>
        <x:v>PASS</x:v>
      </x:c>
      <x:c r="I75" s="71" t="n">
        <x:f>COUNTIFS($B$5:$B$112,B75)</x:f>
        <x:v>6</x:v>
      </x:c>
      <x:c r="J75" s="71" t="n">
        <x:f>COUNTIFS($A$5:$A$112,A75)</x:f>
        <x:v>1</x:v>
      </x:c>
      <x:c r="K75" s="71" t="str">
        <x:v>Record completeness is not evidence.</x:v>
      </x:c>
    </x:row>
    <x:row r="76">
      <x:c r="A76" s="71" t="str">
        <x:v>G072</x:v>
      </x:c>
      <x:c r="B76" s="71" t="str">
        <x:v>LF-B-C</x:v>
      </x:c>
      <x:c r="C76" s="71" t="str">
        <x:v>LF-B</x:v>
      </x:c>
      <x:c r="D76" s="71" t="str">
        <x:v>FINANCE</x:v>
      </x:c>
      <x:c r="E76" s="71" t="str">
        <x:v>Root FRAME ceiling conserved</x:v>
      </x:c>
      <x:c r="F76" s="71" t="str">
        <x:v>Pass 215</x:v>
      </x:c>
      <x:c r="G76" s="72" t="n">
        <x:v>1</x:v>
      </x:c>
      <x:c r="H76" s="71" t="str">
        <x:f>IF(G76=1,"PASS","HOLD")</x:f>
        <x:v>PASS</x:v>
      </x:c>
      <x:c r="I76" s="71" t="n">
        <x:f>COUNTIFS($B$5:$B$112,B76)</x:f>
        <x:v>6</x:v>
      </x:c>
      <x:c r="J76" s="71" t="n">
        <x:f>COUNTIFS($A$5:$A$112,A76)</x:f>
        <x:v>1</x:v>
      </x:c>
      <x:c r="K76" s="71" t="str">
        <x:v>Record completeness is not evidence.</x:v>
      </x:c>
    </x:row>
    <x:row r="77">
      <x:c r="A77" s="71" t="str">
        <x:v>G073</x:v>
      </x:c>
      <x:c r="B77" s="71" t="str">
        <x:v>HU-A-A</x:v>
      </x:c>
      <x:c r="C77" s="71" t="str">
        <x:v>HU-A</x:v>
      </x:c>
      <x:c r="D77" s="71" t="str">
        <x:v>EVENT</x:v>
      </x:c>
      <x:c r="E77" s="71" t="str">
        <x:v>Frozen destructive event packet</x:v>
      </x:c>
      <x:c r="F77" s="71" t="str">
        <x:v>Pass 225</x:v>
      </x:c>
      <x:c r="G77" s="72" t="n">
        <x:v>1</x:v>
      </x:c>
      <x:c r="H77" s="71" t="str">
        <x:f>IF(G77=1,"PASS","HOLD")</x:f>
        <x:v>PASS</x:v>
      </x:c>
      <x:c r="I77" s="71" t="n">
        <x:f>COUNTIFS($B$5:$B$112,B77)</x:f>
        <x:v>6</x:v>
      </x:c>
      <x:c r="J77" s="71" t="n">
        <x:f>COUNTIFS($A$5:$A$112,A77)</x:f>
        <x:v>1</x:v>
      </x:c>
      <x:c r="K77" s="71" t="str">
        <x:v>Record completeness is not evidence.</x:v>
      </x:c>
    </x:row>
    <x:row r="78">
      <x:c r="A78" s="71" t="str">
        <x:v>G074</x:v>
      </x:c>
      <x:c r="B78" s="71" t="str">
        <x:v>HU-A-A</x:v>
      </x:c>
      <x:c r="C78" s="71" t="str">
        <x:v>HU-A</x:v>
      </x:c>
      <x:c r="D78" s="71" t="str">
        <x:v>DOMAIN</x:v>
      </x:c>
      <x:c r="E78" s="71" t="str">
        <x:v>Six noncompensatory evidence domains</x:v>
      </x:c>
      <x:c r="F78" s="71" t="str">
        <x:v>Pass 225</x:v>
      </x:c>
      <x:c r="G78" s="72" t="n">
        <x:v>1</x:v>
      </x:c>
      <x:c r="H78" s="71" t="str">
        <x:f>IF(G78=1,"PASS","HOLD")</x:f>
        <x:v>PASS</x:v>
      </x:c>
      <x:c r="I78" s="71" t="n">
        <x:f>COUNTIFS($B$5:$B$112,B78)</x:f>
        <x:v>6</x:v>
      </x:c>
      <x:c r="J78" s="71" t="n">
        <x:f>COUNTIFS($A$5:$A$112,A78)</x:f>
        <x:v>1</x:v>
      </x:c>
      <x:c r="K78" s="71" t="str">
        <x:v>Record completeness is not evidence.</x:v>
      </x:c>
    </x:row>
    <x:row r="79">
      <x:c r="A79" s="71" t="str">
        <x:v>G075</x:v>
      </x:c>
      <x:c r="B79" s="71" t="str">
        <x:v>HU-A-A</x:v>
      </x:c>
      <x:c r="C79" s="71" t="str">
        <x:v>HU-A</x:v>
      </x:c>
      <x:c r="D79" s="71" t="str">
        <x:v>GEOMETRY</x:v>
      </x:c>
      <x:c r="E79" s="71" t="str">
        <x:v>Root-native dimension envelope</x:v>
      </x:c>
      <x:c r="F79" s="71" t="str">
        <x:v>Pass 224</x:v>
      </x:c>
      <x:c r="G79" s="72" t="n">
        <x:v>1</x:v>
      </x:c>
      <x:c r="H79" s="71" t="str">
        <x:f>IF(G79=1,"PASS","HOLD")</x:f>
        <x:v>PASS</x:v>
      </x:c>
      <x:c r="I79" s="71" t="n">
        <x:f>COUNTIFS($B$5:$B$112,B79)</x:f>
        <x:v>6</x:v>
      </x:c>
      <x:c r="J79" s="71" t="n">
        <x:f>COUNTIFS($A$5:$A$112,A79)</x:f>
        <x:v>1</x:v>
      </x:c>
      <x:c r="K79" s="71" t="str">
        <x:v>Record completeness is not evidence.</x:v>
      </x:c>
    </x:row>
    <x:row r="80">
      <x:c r="A80" s="71" t="str">
        <x:v>G076</x:v>
      </x:c>
      <x:c r="B80" s="71" t="str">
        <x:v>HU-A-A</x:v>
      </x:c>
      <x:c r="C80" s="71" t="str">
        <x:v>HU-A</x:v>
      </x:c>
      <x:c r="D80" s="71" t="str">
        <x:v>REPRESENT</x:v>
      </x:c>
      <x:c r="E80" s="71" t="str">
        <x:v>Equal-salience REP-3 record</x:v>
      </x:c>
      <x:c r="F80" s="71" t="str">
        <x:v>Pass 223</x:v>
      </x:c>
      <x:c r="G80" s="72" t="n">
        <x:v>1</x:v>
      </x:c>
      <x:c r="H80" s="71" t="str">
        <x:f>IF(G80=1,"PASS","HOLD")</x:f>
        <x:v>PASS</x:v>
      </x:c>
      <x:c r="I80" s="71" t="n">
        <x:f>COUNTIFS($B$5:$B$112,B80)</x:f>
        <x:v>6</x:v>
      </x:c>
      <x:c r="J80" s="71" t="n">
        <x:f>COUNTIFS($A$5:$A$112,A80)</x:f>
        <x:v>1</x:v>
      </x:c>
      <x:c r="K80" s="71" t="str">
        <x:v>Record completeness is not evidence.</x:v>
      </x:c>
    </x:row>
    <x:row r="81">
      <x:c r="A81" s="71" t="str">
        <x:v>G077</x:v>
      </x:c>
      <x:c r="B81" s="71" t="str">
        <x:v>HU-A-A</x:v>
      </x:c>
      <x:c r="C81" s="71" t="str">
        <x:v>HU-A</x:v>
      </x:c>
      <x:c r="D81" s="71" t="str">
        <x:v>SEPARATION</x:v>
      </x:c>
      <x:c r="E81" s="71" t="str">
        <x:v>Challenge, control and reconstruction separation</x:v>
      </x:c>
      <x:c r="F81" s="71" t="str">
        <x:v>Pass 212-215</x:v>
      </x:c>
      <x:c r="G81" s="72" t="n">
        <x:v>1</x:v>
      </x:c>
      <x:c r="H81" s="71" t="str">
        <x:f>IF(G81=1,"PASS","HOLD")</x:f>
        <x:v>PASS</x:v>
      </x:c>
      <x:c r="I81" s="71" t="n">
        <x:f>COUNTIFS($B$5:$B$112,B81)</x:f>
        <x:v>6</x:v>
      </x:c>
      <x:c r="J81" s="71" t="n">
        <x:f>COUNTIFS($A$5:$A$112,A81)</x:f>
        <x:v>1</x:v>
      </x:c>
      <x:c r="K81" s="71" t="str">
        <x:v>Record completeness is not evidence.</x:v>
      </x:c>
    </x:row>
    <x:row r="82">
      <x:c r="A82" s="71" t="str">
        <x:v>G078</x:v>
      </x:c>
      <x:c r="B82" s="71" t="str">
        <x:v>HU-A-A</x:v>
      </x:c>
      <x:c r="C82" s="71" t="str">
        <x:v>HU-A</x:v>
      </x:c>
      <x:c r="D82" s="71" t="str">
        <x:v>FINANCE</x:v>
      </x:c>
      <x:c r="E82" s="71" t="str">
        <x:v>Root FRAME ceiling conserved</x:v>
      </x:c>
      <x:c r="F82" s="71" t="str">
        <x:v>Pass 215</x:v>
      </x:c>
      <x:c r="G82" s="72" t="n">
        <x:v>1</x:v>
      </x:c>
      <x:c r="H82" s="71" t="str">
        <x:f>IF(G82=1,"PASS","HOLD")</x:f>
        <x:v>PASS</x:v>
      </x:c>
      <x:c r="I82" s="71" t="n">
        <x:f>COUNTIFS($B$5:$B$112,B82)</x:f>
        <x:v>6</x:v>
      </x:c>
      <x:c r="J82" s="71" t="n">
        <x:f>COUNTIFS($A$5:$A$112,A82)</x:f>
        <x:v>1</x:v>
      </x:c>
      <x:c r="K82" s="71" t="str">
        <x:v>Record completeness is not evidence.</x:v>
      </x:c>
    </x:row>
    <x:row r="83">
      <x:c r="A83" s="71" t="str">
        <x:v>G079</x:v>
      </x:c>
      <x:c r="B83" s="71" t="str">
        <x:v>HU-A-B</x:v>
      </x:c>
      <x:c r="C83" s="71" t="str">
        <x:v>HU-A</x:v>
      </x:c>
      <x:c r="D83" s="71" t="str">
        <x:v>EVENT</x:v>
      </x:c>
      <x:c r="E83" s="71" t="str">
        <x:v>Frozen destructive event packet</x:v>
      </x:c>
      <x:c r="F83" s="71" t="str">
        <x:v>Pass 225</x:v>
      </x:c>
      <x:c r="G83" s="72" t="n">
        <x:v>1</x:v>
      </x:c>
      <x:c r="H83" s="71" t="str">
        <x:f>IF(G83=1,"PASS","HOLD")</x:f>
        <x:v>PASS</x:v>
      </x:c>
      <x:c r="I83" s="71" t="n">
        <x:f>COUNTIFS($B$5:$B$112,B83)</x:f>
        <x:v>6</x:v>
      </x:c>
      <x:c r="J83" s="71" t="n">
        <x:f>COUNTIFS($A$5:$A$112,A83)</x:f>
        <x:v>1</x:v>
      </x:c>
      <x:c r="K83" s="71" t="str">
        <x:v>Record completeness is not evidence.</x:v>
      </x:c>
    </x:row>
    <x:row r="84">
      <x:c r="A84" s="71" t="str">
        <x:v>G080</x:v>
      </x:c>
      <x:c r="B84" s="71" t="str">
        <x:v>HU-A-B</x:v>
      </x:c>
      <x:c r="C84" s="71" t="str">
        <x:v>HU-A</x:v>
      </x:c>
      <x:c r="D84" s="71" t="str">
        <x:v>DOMAIN</x:v>
      </x:c>
      <x:c r="E84" s="71" t="str">
        <x:v>Six noncompensatory evidence domains</x:v>
      </x:c>
      <x:c r="F84" s="71" t="str">
        <x:v>Pass 225</x:v>
      </x:c>
      <x:c r="G84" s="72" t="n">
        <x:v>1</x:v>
      </x:c>
      <x:c r="H84" s="71" t="str">
        <x:f>IF(G84=1,"PASS","HOLD")</x:f>
        <x:v>PASS</x:v>
      </x:c>
      <x:c r="I84" s="71" t="n">
        <x:f>COUNTIFS($B$5:$B$112,B84)</x:f>
        <x:v>6</x:v>
      </x:c>
      <x:c r="J84" s="71" t="n">
        <x:f>COUNTIFS($A$5:$A$112,A84)</x:f>
        <x:v>1</x:v>
      </x:c>
      <x:c r="K84" s="71" t="str">
        <x:v>Record completeness is not evidence.</x:v>
      </x:c>
    </x:row>
    <x:row r="85">
      <x:c r="A85" s="71" t="str">
        <x:v>G081</x:v>
      </x:c>
      <x:c r="B85" s="71" t="str">
        <x:v>HU-A-B</x:v>
      </x:c>
      <x:c r="C85" s="71" t="str">
        <x:v>HU-A</x:v>
      </x:c>
      <x:c r="D85" s="71" t="str">
        <x:v>GEOMETRY</x:v>
      </x:c>
      <x:c r="E85" s="71" t="str">
        <x:v>Root-native dimension envelope</x:v>
      </x:c>
      <x:c r="F85" s="71" t="str">
        <x:v>Pass 224</x:v>
      </x:c>
      <x:c r="G85" s="72" t="n">
        <x:v>1</x:v>
      </x:c>
      <x:c r="H85" s="71" t="str">
        <x:f>IF(G85=1,"PASS","HOLD")</x:f>
        <x:v>PASS</x:v>
      </x:c>
      <x:c r="I85" s="71" t="n">
        <x:f>COUNTIFS($B$5:$B$112,B85)</x:f>
        <x:v>6</x:v>
      </x:c>
      <x:c r="J85" s="71" t="n">
        <x:f>COUNTIFS($A$5:$A$112,A85)</x:f>
        <x:v>1</x:v>
      </x:c>
      <x:c r="K85" s="71" t="str">
        <x:v>Record completeness is not evidence.</x:v>
      </x:c>
    </x:row>
    <x:row r="86">
      <x:c r="A86" s="71" t="str">
        <x:v>G082</x:v>
      </x:c>
      <x:c r="B86" s="71" t="str">
        <x:v>HU-A-B</x:v>
      </x:c>
      <x:c r="C86" s="71" t="str">
        <x:v>HU-A</x:v>
      </x:c>
      <x:c r="D86" s="71" t="str">
        <x:v>REPRESENT</x:v>
      </x:c>
      <x:c r="E86" s="71" t="str">
        <x:v>Equal-salience REP-3 record</x:v>
      </x:c>
      <x:c r="F86" s="71" t="str">
        <x:v>Pass 223</x:v>
      </x:c>
      <x:c r="G86" s="72" t="n">
        <x:v>1</x:v>
      </x:c>
      <x:c r="H86" s="71" t="str">
        <x:f>IF(G86=1,"PASS","HOLD")</x:f>
        <x:v>PASS</x:v>
      </x:c>
      <x:c r="I86" s="71" t="n">
        <x:f>COUNTIFS($B$5:$B$112,B86)</x:f>
        <x:v>6</x:v>
      </x:c>
      <x:c r="J86" s="71" t="n">
        <x:f>COUNTIFS($A$5:$A$112,A86)</x:f>
        <x:v>1</x:v>
      </x:c>
      <x:c r="K86" s="71" t="str">
        <x:v>Record completeness is not evidence.</x:v>
      </x:c>
    </x:row>
    <x:row r="87">
      <x:c r="A87" s="71" t="str">
        <x:v>G083</x:v>
      </x:c>
      <x:c r="B87" s="71" t="str">
        <x:v>HU-A-B</x:v>
      </x:c>
      <x:c r="C87" s="71" t="str">
        <x:v>HU-A</x:v>
      </x:c>
      <x:c r="D87" s="71" t="str">
        <x:v>SEPARATION</x:v>
      </x:c>
      <x:c r="E87" s="71" t="str">
        <x:v>Challenge, control and reconstruction separation</x:v>
      </x:c>
      <x:c r="F87" s="71" t="str">
        <x:v>Pass 212-215</x:v>
      </x:c>
      <x:c r="G87" s="72" t="n">
        <x:v>1</x:v>
      </x:c>
      <x:c r="H87" s="71" t="str">
        <x:f>IF(G87=1,"PASS","HOLD")</x:f>
        <x:v>PASS</x:v>
      </x:c>
      <x:c r="I87" s="71" t="n">
        <x:f>COUNTIFS($B$5:$B$112,B87)</x:f>
        <x:v>6</x:v>
      </x:c>
      <x:c r="J87" s="71" t="n">
        <x:f>COUNTIFS($A$5:$A$112,A87)</x:f>
        <x:v>1</x:v>
      </x:c>
      <x:c r="K87" s="71" t="str">
        <x:v>Record completeness is not evidence.</x:v>
      </x:c>
    </x:row>
    <x:row r="88">
      <x:c r="A88" s="71" t="str">
        <x:v>G084</x:v>
      </x:c>
      <x:c r="B88" s="71" t="str">
        <x:v>HU-A-B</x:v>
      </x:c>
      <x:c r="C88" s="71" t="str">
        <x:v>HU-A</x:v>
      </x:c>
      <x:c r="D88" s="71" t="str">
        <x:v>FINANCE</x:v>
      </x:c>
      <x:c r="E88" s="71" t="str">
        <x:v>Root FRAME ceiling conserved</x:v>
      </x:c>
      <x:c r="F88" s="71" t="str">
        <x:v>Pass 215</x:v>
      </x:c>
      <x:c r="G88" s="72" t="n">
        <x:v>1</x:v>
      </x:c>
      <x:c r="H88" s="71" t="str">
        <x:f>IF(G88=1,"PASS","HOLD")</x:f>
        <x:v>PASS</x:v>
      </x:c>
      <x:c r="I88" s="71" t="n">
        <x:f>COUNTIFS($B$5:$B$112,B88)</x:f>
        <x:v>6</x:v>
      </x:c>
      <x:c r="J88" s="71" t="n">
        <x:f>COUNTIFS($A$5:$A$112,A88)</x:f>
        <x:v>1</x:v>
      </x:c>
      <x:c r="K88" s="71" t="str">
        <x:v>Record completeness is not evidence.</x:v>
      </x:c>
    </x:row>
    <x:row r="89">
      <x:c r="A89" s="71" t="str">
        <x:v>G085</x:v>
      </x:c>
      <x:c r="B89" s="71" t="str">
        <x:v>HU-A-C</x:v>
      </x:c>
      <x:c r="C89" s="71" t="str">
        <x:v>HU-A</x:v>
      </x:c>
      <x:c r="D89" s="71" t="str">
        <x:v>EVENT</x:v>
      </x:c>
      <x:c r="E89" s="71" t="str">
        <x:v>Frozen destructive event packet</x:v>
      </x:c>
      <x:c r="F89" s="71" t="str">
        <x:v>Pass 225</x:v>
      </x:c>
      <x:c r="G89" s="72" t="n">
        <x:v>1</x:v>
      </x:c>
      <x:c r="H89" s="71" t="str">
        <x:f>IF(G89=1,"PASS","HOLD")</x:f>
        <x:v>PASS</x:v>
      </x:c>
      <x:c r="I89" s="71" t="n">
        <x:f>COUNTIFS($B$5:$B$112,B89)</x:f>
        <x:v>6</x:v>
      </x:c>
      <x:c r="J89" s="71" t="n">
        <x:f>COUNTIFS($A$5:$A$112,A89)</x:f>
        <x:v>1</x:v>
      </x:c>
      <x:c r="K89" s="71" t="str">
        <x:v>Record completeness is not evidence.</x:v>
      </x:c>
    </x:row>
    <x:row r="90">
      <x:c r="A90" s="71" t="str">
        <x:v>G086</x:v>
      </x:c>
      <x:c r="B90" s="71" t="str">
        <x:v>HU-A-C</x:v>
      </x:c>
      <x:c r="C90" s="71" t="str">
        <x:v>HU-A</x:v>
      </x:c>
      <x:c r="D90" s="71" t="str">
        <x:v>DOMAIN</x:v>
      </x:c>
      <x:c r="E90" s="71" t="str">
        <x:v>Six noncompensatory evidence domains</x:v>
      </x:c>
      <x:c r="F90" s="71" t="str">
        <x:v>Pass 225</x:v>
      </x:c>
      <x:c r="G90" s="72" t="n">
        <x:v>1</x:v>
      </x:c>
      <x:c r="H90" s="71" t="str">
        <x:f>IF(G90=1,"PASS","HOLD")</x:f>
        <x:v>PASS</x:v>
      </x:c>
      <x:c r="I90" s="71" t="n">
        <x:f>COUNTIFS($B$5:$B$112,B90)</x:f>
        <x:v>6</x:v>
      </x:c>
      <x:c r="J90" s="71" t="n">
        <x:f>COUNTIFS($A$5:$A$112,A90)</x:f>
        <x:v>1</x:v>
      </x:c>
      <x:c r="K90" s="71" t="str">
        <x:v>Record completeness is not evidence.</x:v>
      </x:c>
    </x:row>
    <x:row r="91">
      <x:c r="A91" s="71" t="str">
        <x:v>G087</x:v>
      </x:c>
      <x:c r="B91" s="71" t="str">
        <x:v>HU-A-C</x:v>
      </x:c>
      <x:c r="C91" s="71" t="str">
        <x:v>HU-A</x:v>
      </x:c>
      <x:c r="D91" s="71" t="str">
        <x:v>GEOMETRY</x:v>
      </x:c>
      <x:c r="E91" s="71" t="str">
        <x:v>Root-native dimension envelope</x:v>
      </x:c>
      <x:c r="F91" s="71" t="str">
        <x:v>Pass 224</x:v>
      </x:c>
      <x:c r="G91" s="72" t="n">
        <x:v>1</x:v>
      </x:c>
      <x:c r="H91" s="71" t="str">
        <x:f>IF(G91=1,"PASS","HOLD")</x:f>
        <x:v>PASS</x:v>
      </x:c>
      <x:c r="I91" s="71" t="n">
        <x:f>COUNTIFS($B$5:$B$112,B91)</x:f>
        <x:v>6</x:v>
      </x:c>
      <x:c r="J91" s="71" t="n">
        <x:f>COUNTIFS($A$5:$A$112,A91)</x:f>
        <x:v>1</x:v>
      </x:c>
      <x:c r="K91" s="71" t="str">
        <x:v>Record completeness is not evidence.</x:v>
      </x:c>
    </x:row>
    <x:row r="92">
      <x:c r="A92" s="71" t="str">
        <x:v>G088</x:v>
      </x:c>
      <x:c r="B92" s="71" t="str">
        <x:v>HU-A-C</x:v>
      </x:c>
      <x:c r="C92" s="71" t="str">
        <x:v>HU-A</x:v>
      </x:c>
      <x:c r="D92" s="71" t="str">
        <x:v>REPRESENT</x:v>
      </x:c>
      <x:c r="E92" s="71" t="str">
        <x:v>Equal-salience REP-3 record</x:v>
      </x:c>
      <x:c r="F92" s="71" t="str">
        <x:v>Pass 223</x:v>
      </x:c>
      <x:c r="G92" s="72" t="n">
        <x:v>1</x:v>
      </x:c>
      <x:c r="H92" s="71" t="str">
        <x:f>IF(G92=1,"PASS","HOLD")</x:f>
        <x:v>PASS</x:v>
      </x:c>
      <x:c r="I92" s="71" t="n">
        <x:f>COUNTIFS($B$5:$B$112,B92)</x:f>
        <x:v>6</x:v>
      </x:c>
      <x:c r="J92" s="71" t="n">
        <x:f>COUNTIFS($A$5:$A$112,A92)</x:f>
        <x:v>1</x:v>
      </x:c>
      <x:c r="K92" s="71" t="str">
        <x:v>Record completeness is not evidence.</x:v>
      </x:c>
    </x:row>
    <x:row r="93">
      <x:c r="A93" s="71" t="str">
        <x:v>G089</x:v>
      </x:c>
      <x:c r="B93" s="71" t="str">
        <x:v>HU-A-C</x:v>
      </x:c>
      <x:c r="C93" s="71" t="str">
        <x:v>HU-A</x:v>
      </x:c>
      <x:c r="D93" s="71" t="str">
        <x:v>SEPARATION</x:v>
      </x:c>
      <x:c r="E93" s="71" t="str">
        <x:v>Challenge, control and reconstruction separation</x:v>
      </x:c>
      <x:c r="F93" s="71" t="str">
        <x:v>Pass 212-215</x:v>
      </x:c>
      <x:c r="G93" s="72" t="n">
        <x:v>1</x:v>
      </x:c>
      <x:c r="H93" s="71" t="str">
        <x:f>IF(G93=1,"PASS","HOLD")</x:f>
        <x:v>PASS</x:v>
      </x:c>
      <x:c r="I93" s="71" t="n">
        <x:f>COUNTIFS($B$5:$B$112,B93)</x:f>
        <x:v>6</x:v>
      </x:c>
      <x:c r="J93" s="71" t="n">
        <x:f>COUNTIFS($A$5:$A$112,A93)</x:f>
        <x:v>1</x:v>
      </x:c>
      <x:c r="K93" s="71" t="str">
        <x:v>Record completeness is not evidence.</x:v>
      </x:c>
    </x:row>
    <x:row r="94">
      <x:c r="A94" s="71" t="str">
        <x:v>G090</x:v>
      </x:c>
      <x:c r="B94" s="71" t="str">
        <x:v>HU-A-C</x:v>
      </x:c>
      <x:c r="C94" s="71" t="str">
        <x:v>HU-A</x:v>
      </x:c>
      <x:c r="D94" s="71" t="str">
        <x:v>FINANCE</x:v>
      </x:c>
      <x:c r="E94" s="71" t="str">
        <x:v>Root FRAME ceiling conserved</x:v>
      </x:c>
      <x:c r="F94" s="71" t="str">
        <x:v>Pass 215</x:v>
      </x:c>
      <x:c r="G94" s="72" t="n">
        <x:v>1</x:v>
      </x:c>
      <x:c r="H94" s="71" t="str">
        <x:f>IF(G94=1,"PASS","HOLD")</x:f>
        <x:v>PASS</x:v>
      </x:c>
      <x:c r="I94" s="71" t="n">
        <x:f>COUNTIFS($B$5:$B$112,B94)</x:f>
        <x:v>6</x:v>
      </x:c>
      <x:c r="J94" s="71" t="n">
        <x:f>COUNTIFS($A$5:$A$112,A94)</x:f>
        <x:v>1</x:v>
      </x:c>
      <x:c r="K94" s="71" t="str">
        <x:v>Record completeness is not evidence.</x:v>
      </x:c>
    </x:row>
    <x:row r="95">
      <x:c r="A95" s="71" t="str">
        <x:v>G091</x:v>
      </x:c>
      <x:c r="B95" s="71" t="str">
        <x:v>RT-B-A</x:v>
      </x:c>
      <x:c r="C95" s="71" t="str">
        <x:v>RT-B</x:v>
      </x:c>
      <x:c r="D95" s="71" t="str">
        <x:v>EVENT</x:v>
      </x:c>
      <x:c r="E95" s="71" t="str">
        <x:v>Frozen destructive event packet</x:v>
      </x:c>
      <x:c r="F95" s="71" t="str">
        <x:v>Pass 225</x:v>
      </x:c>
      <x:c r="G95" s="72" t="n">
        <x:v>1</x:v>
      </x:c>
      <x:c r="H95" s="71" t="str">
        <x:f>IF(G95=1,"PASS","HOLD")</x:f>
        <x:v>PASS</x:v>
      </x:c>
      <x:c r="I95" s="71" t="n">
        <x:f>COUNTIFS($B$5:$B$112,B95)</x:f>
        <x:v>6</x:v>
      </x:c>
      <x:c r="J95" s="71" t="n">
        <x:f>COUNTIFS($A$5:$A$112,A95)</x:f>
        <x:v>1</x:v>
      </x:c>
      <x:c r="K95" s="71" t="str">
        <x:v>Record completeness is not evidence.</x:v>
      </x:c>
    </x:row>
    <x:row r="96">
      <x:c r="A96" s="71" t="str">
        <x:v>G092</x:v>
      </x:c>
      <x:c r="B96" s="71" t="str">
        <x:v>RT-B-A</x:v>
      </x:c>
      <x:c r="C96" s="71" t="str">
        <x:v>RT-B</x:v>
      </x:c>
      <x:c r="D96" s="71" t="str">
        <x:v>DOMAIN</x:v>
      </x:c>
      <x:c r="E96" s="71" t="str">
        <x:v>Six noncompensatory evidence domains</x:v>
      </x:c>
      <x:c r="F96" s="71" t="str">
        <x:v>Pass 225</x:v>
      </x:c>
      <x:c r="G96" s="72" t="n">
        <x:v>1</x:v>
      </x:c>
      <x:c r="H96" s="71" t="str">
        <x:f>IF(G96=1,"PASS","HOLD")</x:f>
        <x:v>PASS</x:v>
      </x:c>
      <x:c r="I96" s="71" t="n">
        <x:f>COUNTIFS($B$5:$B$112,B96)</x:f>
        <x:v>6</x:v>
      </x:c>
      <x:c r="J96" s="71" t="n">
        <x:f>COUNTIFS($A$5:$A$112,A96)</x:f>
        <x:v>1</x:v>
      </x:c>
      <x:c r="K96" s="71" t="str">
        <x:v>Record completeness is not evidence.</x:v>
      </x:c>
    </x:row>
    <x:row r="97">
      <x:c r="A97" s="71" t="str">
        <x:v>G093</x:v>
      </x:c>
      <x:c r="B97" s="71" t="str">
        <x:v>RT-B-A</x:v>
      </x:c>
      <x:c r="C97" s="71" t="str">
        <x:v>RT-B</x:v>
      </x:c>
      <x:c r="D97" s="71" t="str">
        <x:v>GEOMETRY</x:v>
      </x:c>
      <x:c r="E97" s="71" t="str">
        <x:v>Root-native dimension envelope</x:v>
      </x:c>
      <x:c r="F97" s="71" t="str">
        <x:v>Pass 224</x:v>
      </x:c>
      <x:c r="G97" s="72" t="n">
        <x:v>1</x:v>
      </x:c>
      <x:c r="H97" s="71" t="str">
        <x:f>IF(G97=1,"PASS","HOLD")</x:f>
        <x:v>PASS</x:v>
      </x:c>
      <x:c r="I97" s="71" t="n">
        <x:f>COUNTIFS($B$5:$B$112,B97)</x:f>
        <x:v>6</x:v>
      </x:c>
      <x:c r="J97" s="71" t="n">
        <x:f>COUNTIFS($A$5:$A$112,A97)</x:f>
        <x:v>1</x:v>
      </x:c>
      <x:c r="K97" s="71" t="str">
        <x:v>Record completeness is not evidence.</x:v>
      </x:c>
    </x:row>
    <x:row r="98">
      <x:c r="A98" s="71" t="str">
        <x:v>G094</x:v>
      </x:c>
      <x:c r="B98" s="71" t="str">
        <x:v>RT-B-A</x:v>
      </x:c>
      <x:c r="C98" s="71" t="str">
        <x:v>RT-B</x:v>
      </x:c>
      <x:c r="D98" s="71" t="str">
        <x:v>REPRESENT</x:v>
      </x:c>
      <x:c r="E98" s="71" t="str">
        <x:v>Equal-salience REP-3 record</x:v>
      </x:c>
      <x:c r="F98" s="71" t="str">
        <x:v>Pass 223</x:v>
      </x:c>
      <x:c r="G98" s="72" t="n">
        <x:v>1</x:v>
      </x:c>
      <x:c r="H98" s="71" t="str">
        <x:f>IF(G98=1,"PASS","HOLD")</x:f>
        <x:v>PASS</x:v>
      </x:c>
      <x:c r="I98" s="71" t="n">
        <x:f>COUNTIFS($B$5:$B$112,B98)</x:f>
        <x:v>6</x:v>
      </x:c>
      <x:c r="J98" s="71" t="n">
        <x:f>COUNTIFS($A$5:$A$112,A98)</x:f>
        <x:v>1</x:v>
      </x:c>
      <x:c r="K98" s="71" t="str">
        <x:v>Record completeness is not evidence.</x:v>
      </x:c>
    </x:row>
    <x:row r="99">
      <x:c r="A99" s="71" t="str">
        <x:v>G095</x:v>
      </x:c>
      <x:c r="B99" s="71" t="str">
        <x:v>RT-B-A</x:v>
      </x:c>
      <x:c r="C99" s="71" t="str">
        <x:v>RT-B</x:v>
      </x:c>
      <x:c r="D99" s="71" t="str">
        <x:v>SEPARATION</x:v>
      </x:c>
      <x:c r="E99" s="71" t="str">
        <x:v>Challenge, control and reconstruction separation</x:v>
      </x:c>
      <x:c r="F99" s="71" t="str">
        <x:v>Pass 212-215</x:v>
      </x:c>
      <x:c r="G99" s="72" t="n">
        <x:v>1</x:v>
      </x:c>
      <x:c r="H99" s="71" t="str">
        <x:f>IF(G99=1,"PASS","HOLD")</x:f>
        <x:v>PASS</x:v>
      </x:c>
      <x:c r="I99" s="71" t="n">
        <x:f>COUNTIFS($B$5:$B$112,B99)</x:f>
        <x:v>6</x:v>
      </x:c>
      <x:c r="J99" s="71" t="n">
        <x:f>COUNTIFS($A$5:$A$112,A99)</x:f>
        <x:v>1</x:v>
      </x:c>
      <x:c r="K99" s="71" t="str">
        <x:v>Record completeness is not evidence.</x:v>
      </x:c>
    </x:row>
    <x:row r="100">
      <x:c r="A100" s="71" t="str">
        <x:v>G096</x:v>
      </x:c>
      <x:c r="B100" s="71" t="str">
        <x:v>RT-B-A</x:v>
      </x:c>
      <x:c r="C100" s="71" t="str">
        <x:v>RT-B</x:v>
      </x:c>
      <x:c r="D100" s="71" t="str">
        <x:v>FINANCE</x:v>
      </x:c>
      <x:c r="E100" s="71" t="str">
        <x:v>Root FRAME ceiling conserved</x:v>
      </x:c>
      <x:c r="F100" s="71" t="str">
        <x:v>Pass 215</x:v>
      </x:c>
      <x:c r="G100" s="72" t="n">
        <x:v>1</x:v>
      </x:c>
      <x:c r="H100" s="71" t="str">
        <x:f>IF(G100=1,"PASS","HOLD")</x:f>
        <x:v>PASS</x:v>
      </x:c>
      <x:c r="I100" s="71" t="n">
        <x:f>COUNTIFS($B$5:$B$112,B100)</x:f>
        <x:v>6</x:v>
      </x:c>
      <x:c r="J100" s="71" t="n">
        <x:f>COUNTIFS($A$5:$A$112,A100)</x:f>
        <x:v>1</x:v>
      </x:c>
      <x:c r="K100" s="71" t="str">
        <x:v>Record completeness is not evidence.</x:v>
      </x:c>
    </x:row>
    <x:row r="101">
      <x:c r="A101" s="71" t="str">
        <x:v>G097</x:v>
      </x:c>
      <x:c r="B101" s="71" t="str">
        <x:v>RT-B-B</x:v>
      </x:c>
      <x:c r="C101" s="71" t="str">
        <x:v>RT-B</x:v>
      </x:c>
      <x:c r="D101" s="71" t="str">
        <x:v>EVENT</x:v>
      </x:c>
      <x:c r="E101" s="71" t="str">
        <x:v>Frozen destructive event packet</x:v>
      </x:c>
      <x:c r="F101" s="71" t="str">
        <x:v>Pass 225</x:v>
      </x:c>
      <x:c r="G101" s="72" t="n">
        <x:v>1</x:v>
      </x:c>
      <x:c r="H101" s="71" t="str">
        <x:f>IF(G101=1,"PASS","HOLD")</x:f>
        <x:v>PASS</x:v>
      </x:c>
      <x:c r="I101" s="71" t="n">
        <x:f>COUNTIFS($B$5:$B$112,B101)</x:f>
        <x:v>6</x:v>
      </x:c>
      <x:c r="J101" s="71" t="n">
        <x:f>COUNTIFS($A$5:$A$112,A101)</x:f>
        <x:v>1</x:v>
      </x:c>
      <x:c r="K101" s="71" t="str">
        <x:v>Record completeness is not evidence.</x:v>
      </x:c>
    </x:row>
    <x:row r="102">
      <x:c r="A102" s="71" t="str">
        <x:v>G098</x:v>
      </x:c>
      <x:c r="B102" s="71" t="str">
        <x:v>RT-B-B</x:v>
      </x:c>
      <x:c r="C102" s="71" t="str">
        <x:v>RT-B</x:v>
      </x:c>
      <x:c r="D102" s="71" t="str">
        <x:v>DOMAIN</x:v>
      </x:c>
      <x:c r="E102" s="71" t="str">
        <x:v>Six noncompensatory evidence domains</x:v>
      </x:c>
      <x:c r="F102" s="71" t="str">
        <x:v>Pass 225</x:v>
      </x:c>
      <x:c r="G102" s="72" t="n">
        <x:v>1</x:v>
      </x:c>
      <x:c r="H102" s="71" t="str">
        <x:f>IF(G102=1,"PASS","HOLD")</x:f>
        <x:v>PASS</x:v>
      </x:c>
      <x:c r="I102" s="71" t="n">
        <x:f>COUNTIFS($B$5:$B$112,B102)</x:f>
        <x:v>6</x:v>
      </x:c>
      <x:c r="J102" s="71" t="n">
        <x:f>COUNTIFS($A$5:$A$112,A102)</x:f>
        <x:v>1</x:v>
      </x:c>
      <x:c r="K102" s="71" t="str">
        <x:v>Record completeness is not evidence.</x:v>
      </x:c>
    </x:row>
    <x:row r="103">
      <x:c r="A103" s="71" t="str">
        <x:v>G099</x:v>
      </x:c>
      <x:c r="B103" s="71" t="str">
        <x:v>RT-B-B</x:v>
      </x:c>
      <x:c r="C103" s="71" t="str">
        <x:v>RT-B</x:v>
      </x:c>
      <x:c r="D103" s="71" t="str">
        <x:v>GEOMETRY</x:v>
      </x:c>
      <x:c r="E103" s="71" t="str">
        <x:v>Root-native dimension envelope</x:v>
      </x:c>
      <x:c r="F103" s="71" t="str">
        <x:v>Pass 224</x:v>
      </x:c>
      <x:c r="G103" s="72" t="n">
        <x:v>1</x:v>
      </x:c>
      <x:c r="H103" s="71" t="str">
        <x:f>IF(G103=1,"PASS","HOLD")</x:f>
        <x:v>PASS</x:v>
      </x:c>
      <x:c r="I103" s="71" t="n">
        <x:f>COUNTIFS($B$5:$B$112,B103)</x:f>
        <x:v>6</x:v>
      </x:c>
      <x:c r="J103" s="71" t="n">
        <x:f>COUNTIFS($A$5:$A$112,A103)</x:f>
        <x:v>1</x:v>
      </x:c>
      <x:c r="K103" s="71" t="str">
        <x:v>Record completeness is not evidence.</x:v>
      </x:c>
    </x:row>
    <x:row r="104">
      <x:c r="A104" s="71" t="str">
        <x:v>G100</x:v>
      </x:c>
      <x:c r="B104" s="71" t="str">
        <x:v>RT-B-B</x:v>
      </x:c>
      <x:c r="C104" s="71" t="str">
        <x:v>RT-B</x:v>
      </x:c>
      <x:c r="D104" s="71" t="str">
        <x:v>REPRESENT</x:v>
      </x:c>
      <x:c r="E104" s="71" t="str">
        <x:v>Equal-salience REP-3 record</x:v>
      </x:c>
      <x:c r="F104" s="71" t="str">
        <x:v>Pass 223</x:v>
      </x:c>
      <x:c r="G104" s="72" t="n">
        <x:v>1</x:v>
      </x:c>
      <x:c r="H104" s="71" t="str">
        <x:f>IF(G104=1,"PASS","HOLD")</x:f>
        <x:v>PASS</x:v>
      </x:c>
      <x:c r="I104" s="71" t="n">
        <x:f>COUNTIFS($B$5:$B$112,B104)</x:f>
        <x:v>6</x:v>
      </x:c>
      <x:c r="J104" s="71" t="n">
        <x:f>COUNTIFS($A$5:$A$112,A104)</x:f>
        <x:v>1</x:v>
      </x:c>
      <x:c r="K104" s="71" t="str">
        <x:v>Record completeness is not evidence.</x:v>
      </x:c>
    </x:row>
    <x:row r="105">
      <x:c r="A105" s="71" t="str">
        <x:v>G101</x:v>
      </x:c>
      <x:c r="B105" s="71" t="str">
        <x:v>RT-B-B</x:v>
      </x:c>
      <x:c r="C105" s="71" t="str">
        <x:v>RT-B</x:v>
      </x:c>
      <x:c r="D105" s="71" t="str">
        <x:v>SEPARATION</x:v>
      </x:c>
      <x:c r="E105" s="71" t="str">
        <x:v>Challenge, control and reconstruction separation</x:v>
      </x:c>
      <x:c r="F105" s="71" t="str">
        <x:v>Pass 212-215</x:v>
      </x:c>
      <x:c r="G105" s="72" t="n">
        <x:v>1</x:v>
      </x:c>
      <x:c r="H105" s="71" t="str">
        <x:f>IF(G105=1,"PASS","HOLD")</x:f>
        <x:v>PASS</x:v>
      </x:c>
      <x:c r="I105" s="71" t="n">
        <x:f>COUNTIFS($B$5:$B$112,B105)</x:f>
        <x:v>6</x:v>
      </x:c>
      <x:c r="J105" s="71" t="n">
        <x:f>COUNTIFS($A$5:$A$112,A105)</x:f>
        <x:v>1</x:v>
      </x:c>
      <x:c r="K105" s="71" t="str">
        <x:v>Record completeness is not evidence.</x:v>
      </x:c>
    </x:row>
    <x:row r="106">
      <x:c r="A106" s="71" t="str">
        <x:v>G102</x:v>
      </x:c>
      <x:c r="B106" s="71" t="str">
        <x:v>RT-B-B</x:v>
      </x:c>
      <x:c r="C106" s="71" t="str">
        <x:v>RT-B</x:v>
      </x:c>
      <x:c r="D106" s="71" t="str">
        <x:v>FINANCE</x:v>
      </x:c>
      <x:c r="E106" s="71" t="str">
        <x:v>Root FRAME ceiling conserved</x:v>
      </x:c>
      <x:c r="F106" s="71" t="str">
        <x:v>Pass 215</x:v>
      </x:c>
      <x:c r="G106" s="72" t="n">
        <x:v>1</x:v>
      </x:c>
      <x:c r="H106" s="71" t="str">
        <x:f>IF(G106=1,"PASS","HOLD")</x:f>
        <x:v>PASS</x:v>
      </x:c>
      <x:c r="I106" s="71" t="n">
        <x:f>COUNTIFS($B$5:$B$112,B106)</x:f>
        <x:v>6</x:v>
      </x:c>
      <x:c r="J106" s="71" t="n">
        <x:f>COUNTIFS($A$5:$A$112,A106)</x:f>
        <x:v>1</x:v>
      </x:c>
      <x:c r="K106" s="71" t="str">
        <x:v>Record completeness is not evidence.</x:v>
      </x:c>
    </x:row>
    <x:row r="107">
      <x:c r="A107" s="71" t="str">
        <x:v>G103</x:v>
      </x:c>
      <x:c r="B107" s="71" t="str">
        <x:v>RT-B-C</x:v>
      </x:c>
      <x:c r="C107" s="71" t="str">
        <x:v>RT-B</x:v>
      </x:c>
      <x:c r="D107" s="71" t="str">
        <x:v>EVENT</x:v>
      </x:c>
      <x:c r="E107" s="71" t="str">
        <x:v>Frozen destructive event packet</x:v>
      </x:c>
      <x:c r="F107" s="71" t="str">
        <x:v>Pass 225</x:v>
      </x:c>
      <x:c r="G107" s="72" t="n">
        <x:v>1</x:v>
      </x:c>
      <x:c r="H107" s="71" t="str">
        <x:f>IF(G107=1,"PASS","HOLD")</x:f>
        <x:v>PASS</x:v>
      </x:c>
      <x:c r="I107" s="71" t="n">
        <x:f>COUNTIFS($B$5:$B$112,B107)</x:f>
        <x:v>6</x:v>
      </x:c>
      <x:c r="J107" s="71" t="n">
        <x:f>COUNTIFS($A$5:$A$112,A107)</x:f>
        <x:v>1</x:v>
      </x:c>
      <x:c r="K107" s="71" t="str">
        <x:v>Record completeness is not evidence.</x:v>
      </x:c>
    </x:row>
    <x:row r="108">
      <x:c r="A108" s="71" t="str">
        <x:v>G104</x:v>
      </x:c>
      <x:c r="B108" s="71" t="str">
        <x:v>RT-B-C</x:v>
      </x:c>
      <x:c r="C108" s="71" t="str">
        <x:v>RT-B</x:v>
      </x:c>
      <x:c r="D108" s="71" t="str">
        <x:v>DOMAIN</x:v>
      </x:c>
      <x:c r="E108" s="71" t="str">
        <x:v>Six noncompensatory evidence domains</x:v>
      </x:c>
      <x:c r="F108" s="71" t="str">
        <x:v>Pass 225</x:v>
      </x:c>
      <x:c r="G108" s="72" t="n">
        <x:v>1</x:v>
      </x:c>
      <x:c r="H108" s="71" t="str">
        <x:f>IF(G108=1,"PASS","HOLD")</x:f>
        <x:v>PASS</x:v>
      </x:c>
      <x:c r="I108" s="71" t="n">
        <x:f>COUNTIFS($B$5:$B$112,B108)</x:f>
        <x:v>6</x:v>
      </x:c>
      <x:c r="J108" s="71" t="n">
        <x:f>COUNTIFS($A$5:$A$112,A108)</x:f>
        <x:v>1</x:v>
      </x:c>
      <x:c r="K108" s="71" t="str">
        <x:v>Record completeness is not evidence.</x:v>
      </x:c>
    </x:row>
    <x:row r="109">
      <x:c r="A109" s="71" t="str">
        <x:v>G105</x:v>
      </x:c>
      <x:c r="B109" s="71" t="str">
        <x:v>RT-B-C</x:v>
      </x:c>
      <x:c r="C109" s="71" t="str">
        <x:v>RT-B</x:v>
      </x:c>
      <x:c r="D109" s="71" t="str">
        <x:v>GEOMETRY</x:v>
      </x:c>
      <x:c r="E109" s="71" t="str">
        <x:v>Root-native dimension envelope</x:v>
      </x:c>
      <x:c r="F109" s="71" t="str">
        <x:v>Pass 224</x:v>
      </x:c>
      <x:c r="G109" s="72" t="n">
        <x:v>1</x:v>
      </x:c>
      <x:c r="H109" s="71" t="str">
        <x:f>IF(G109=1,"PASS","HOLD")</x:f>
        <x:v>PASS</x:v>
      </x:c>
      <x:c r="I109" s="71" t="n">
        <x:f>COUNTIFS($B$5:$B$112,B109)</x:f>
        <x:v>6</x:v>
      </x:c>
      <x:c r="J109" s="71" t="n">
        <x:f>COUNTIFS($A$5:$A$112,A109)</x:f>
        <x:v>1</x:v>
      </x:c>
      <x:c r="K109" s="71" t="str">
        <x:v>Record completeness is not evidence.</x:v>
      </x:c>
    </x:row>
    <x:row r="110">
      <x:c r="A110" s="71" t="str">
        <x:v>G106</x:v>
      </x:c>
      <x:c r="B110" s="71" t="str">
        <x:v>RT-B-C</x:v>
      </x:c>
      <x:c r="C110" s="71" t="str">
        <x:v>RT-B</x:v>
      </x:c>
      <x:c r="D110" s="71" t="str">
        <x:v>REPRESENT</x:v>
      </x:c>
      <x:c r="E110" s="71" t="str">
        <x:v>Equal-salience REP-3 record</x:v>
      </x:c>
      <x:c r="F110" s="71" t="str">
        <x:v>Pass 223</x:v>
      </x:c>
      <x:c r="G110" s="72" t="n">
        <x:v>1</x:v>
      </x:c>
      <x:c r="H110" s="71" t="str">
        <x:f>IF(G110=1,"PASS","HOLD")</x:f>
        <x:v>PASS</x:v>
      </x:c>
      <x:c r="I110" s="71" t="n">
        <x:f>COUNTIFS($B$5:$B$112,B110)</x:f>
        <x:v>6</x:v>
      </x:c>
      <x:c r="J110" s="71" t="n">
        <x:f>COUNTIFS($A$5:$A$112,A110)</x:f>
        <x:v>1</x:v>
      </x:c>
      <x:c r="K110" s="71" t="str">
        <x:v>Record completeness is not evidence.</x:v>
      </x:c>
    </x:row>
    <x:row r="111">
      <x:c r="A111" s="71" t="str">
        <x:v>G107</x:v>
      </x:c>
      <x:c r="B111" s="71" t="str">
        <x:v>RT-B-C</x:v>
      </x:c>
      <x:c r="C111" s="71" t="str">
        <x:v>RT-B</x:v>
      </x:c>
      <x:c r="D111" s="71" t="str">
        <x:v>SEPARATION</x:v>
      </x:c>
      <x:c r="E111" s="71" t="str">
        <x:v>Challenge, control and reconstruction separation</x:v>
      </x:c>
      <x:c r="F111" s="71" t="str">
        <x:v>Pass 212-215</x:v>
      </x:c>
      <x:c r="G111" s="72" t="n">
        <x:v>1</x:v>
      </x:c>
      <x:c r="H111" s="71" t="str">
        <x:f>IF(G111=1,"PASS","HOLD")</x:f>
        <x:v>PASS</x:v>
      </x:c>
      <x:c r="I111" s="71" t="n">
        <x:f>COUNTIFS($B$5:$B$112,B111)</x:f>
        <x:v>6</x:v>
      </x:c>
      <x:c r="J111" s="71" t="n">
        <x:f>COUNTIFS($A$5:$A$112,A111)</x:f>
        <x:v>1</x:v>
      </x:c>
      <x:c r="K111" s="71" t="str">
        <x:v>Record completeness is not evidence.</x:v>
      </x:c>
    </x:row>
    <x:row r="112">
      <x:c r="A112" s="74" t="str">
        <x:v>G108</x:v>
      </x:c>
      <x:c r="B112" s="74" t="str">
        <x:v>RT-B-C</x:v>
      </x:c>
      <x:c r="C112" s="74" t="str">
        <x:v>RT-B</x:v>
      </x:c>
      <x:c r="D112" s="74" t="str">
        <x:v>FINANCE</x:v>
      </x:c>
      <x:c r="E112" s="74" t="str">
        <x:v>Root FRAME ceiling conserved</x:v>
      </x:c>
      <x:c r="F112" s="74" t="str">
        <x:v>Pass 215</x:v>
      </x:c>
      <x:c r="G112" s="83" t="n">
        <x:v>1</x:v>
      </x:c>
      <x:c r="H112" s="74" t="str">
        <x:f>IF(G112=1,"PASS","HOLD")</x:f>
        <x:v>PASS</x:v>
      </x:c>
      <x:c r="I112" s="74" t="n">
        <x:f>COUNTIFS($B$5:$B$112,B112)</x:f>
        <x:v>6</x:v>
      </x:c>
      <x:c r="J112" s="74" t="n">
        <x:f>COUNTIFS($A$5:$A$112,A112)</x:f>
        <x:v>1</x:v>
      </x:c>
      <x:c r="K112" s="74" t="str">
        <x:v>Record completeness is not evidence.</x:v>
      </x:c>
    </x:row>
  </x:sheetData>
  <x:mergeCells>
    <x:mergeCell ref="A2:K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45" hidden="0" customWidth="1"/>
    <x:col min="4" max="4" width="25" hidden="0" customWidth="1"/>
    <x:col min="5" max="5" width="17" hidden="0" customWidth="1"/>
    <x:col min="6" max="6" width="25" hidden="0" customWidth="1"/>
    <x:col min="7" max="7" width="12" hidden="0" customWidth="1"/>
    <x:col min="8" max="8" width="25" hidden="0" customWidth="1"/>
    <x:col min="9" max="9" width="23" hidden="0" customWidth="1"/>
    <x:col min="10" max="10" width="21" hidden="0" customWidth="1"/>
    <x:col min="11" max="11" width="16" hidden="0" customWidth="1"/>
    <x:col min="12" max="12" width="20" hidden="0" customWidth="1"/>
  </x:cols>
  <x:sheetData>
    <x:row r="2">
      <x:c r="A2" s="64" t="str">
        <x:v>Six root-specific FRAME ceilings</x:v>
      </x:c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</x:row>
    <x:row r="3">
      <x:c r="A3" s="66"/>
      <x:c r="B3" s="66"/>
      <x:c r="C3" s="66"/>
      <x:c r="D3" s="66"/>
      <x:c r="E3" s="66"/>
      <x:c r="F3" s="66"/>
      <x:c r="G3" s="66"/>
      <x:c r="H3" s="66"/>
      <x:c r="I3" s="66"/>
      <x:c r="J3" s="66"/>
      <x:c r="K3" s="66"/>
      <x:c r="L3" s="66"/>
    </x:row>
    <x:row r="4" ht="32" customHeight="1">
      <x:c r="A4" s="14" t="str">
        <x:v>System</x:v>
      </x:c>
      <x:c r="B4" s="15" t="str">
        <x:v>Root</x:v>
      </x:c>
      <x:c r="C4" s="15" t="str">
        <x:v>Article</x:v>
      </x:c>
      <x:c r="D4" s="15" t="str">
        <x:v>Root option ceiling USD B</x:v>
      </x:c>
      <x:c r="E4" s="15" t="str">
        <x:v>FRAME share</x:v>
      </x:c>
      <x:c r="F4" s="15" t="str">
        <x:v>Root FRAME ceiling USD B</x:v>
      </x:c>
      <x:c r="G4" s="15" t="str">
        <x:v>Forms</x:v>
      </x:c>
      <x:c r="H4" s="15" t="str">
        <x:v>Ceiling per form USD B</x:v>
      </x:c>
      <x:c r="I4" s="15" t="str">
        <x:v>Authorized USD B</x:v>
      </x:c>
      <x:c r="J4" s="15" t="str">
        <x:v>Obligated USD B</x:v>
      </x:c>
      <x:c r="K4" s="15" t="str">
        <x:v>Paid USD B</x:v>
      </x:c>
      <x:c r="L4" s="16" t="str">
        <x:v>Unassigned USD B</x:v>
      </x:c>
    </x:row>
    <x:row r="5">
      <x:c r="A5" s="67" t="str">
        <x:v>MS-ET</x:v>
      </x:c>
      <x:c r="B5" s="67" t="str">
        <x:v>ET-A</x:v>
      </x:c>
      <x:c r="C5" s="67" t="str">
        <x:v>Pelagic exchange cell</x:v>
      </x:c>
      <x:c r="D5" s="70" t="n">
        <x:v>0.50047461808185</x:v>
      </x:c>
      <x:c r="E5" s="81" t="n">
        <x:f>Controls!$B$10</x:f>
        <x:v>0.15</x:v>
      </x:c>
      <x:c r="F5" s="70" t="n">
        <x:f>D5*E5</x:f>
        <x:v>0.0750711927122775</x:v>
      </x:c>
      <x:c r="G5" s="68" t="n">
        <x:f>COUNTIFS('Form Options'!$B$5:$B$22,B5)</x:f>
        <x:v>3</x:v>
      </x:c>
      <x:c r="H5" s="70" t="n">
        <x:f>F5/G5</x:f>
        <x:v>0.0250237309040925</x:v>
      </x:c>
      <x:c r="I5" s="70" t="n">
        <x:f>SUMIFS('Form Options'!$F$5:$F$22,'Form Options'!$B$5:$B$22,B5)</x:f>
        <x:v>0.0750711927122775</x:v>
      </x:c>
      <x:c r="J5" s="70" t="n">
        <x:f>SUMIFS('Form Options'!$N$5:$N$22,'Form Options'!$B$5:$B$22,B5)</x:f>
        <x:v>0</x:v>
      </x:c>
      <x:c r="K5" s="70" t="n">
        <x:f>SUMIFS('Form Options'!$O$5:$O$22,'Form Options'!$B$5:$B$22,B5)</x:f>
        <x:v>0</x:v>
      </x:c>
      <x:c r="L5" s="70" t="n">
        <x:f>F5-I5</x:f>
        <x:v>0</x:v>
      </x:c>
    </x:row>
    <x:row r="6">
      <x:c r="A6" s="71" t="str">
        <x:v>MS-CT</x:v>
      </x:c>
      <x:c r="B6" s="71" t="str">
        <x:v>CT-C</x:v>
      </x:c>
      <x:c r="C6" s="71" t="str">
        <x:v>Occupied-building utility-spine sector</x:v>
      </x:c>
      <x:c r="D6" s="73" t="n">
        <x:v>0.51649348177396</x:v>
      </x:c>
      <x:c r="E6" s="82" t="n">
        <x:f>Controls!$B$10</x:f>
        <x:v>0.15</x:v>
      </x:c>
      <x:c r="F6" s="73" t="n">
        <x:f>D6*E6</x:f>
        <x:v>0.077474022266094</x:v>
      </x:c>
      <x:c r="G6" s="72" t="n">
        <x:f>COUNTIFS('Form Options'!$B$5:$B$22,B6)</x:f>
        <x:v>3</x:v>
      </x:c>
      <x:c r="H6" s="73" t="n">
        <x:f>F6/G6</x:f>
        <x:v>0.025824674088698</x:v>
      </x:c>
      <x:c r="I6" s="73" t="n">
        <x:f>SUMIFS('Form Options'!$F$5:$F$22,'Form Options'!$B$5:$B$22,B6)</x:f>
        <x:v>0.077474022266094</x:v>
      </x:c>
      <x:c r="J6" s="73" t="n">
        <x:f>SUMIFS('Form Options'!$N$5:$N$22,'Form Options'!$B$5:$B$22,B6)</x:f>
        <x:v>0</x:v>
      </x:c>
      <x:c r="K6" s="73" t="n">
        <x:f>SUMIFS('Form Options'!$O$5:$O$22,'Form Options'!$B$5:$B$22,B6)</x:f>
        <x:v>0</x:v>
      </x:c>
      <x:c r="L6" s="73" t="n">
        <x:f>F6-I6</x:f>
        <x:v>0</x:v>
      </x:c>
    </x:row>
    <x:row r="7">
      <x:c r="A7" s="71" t="str">
        <x:v>MS-HC</x:v>
      </x:c>
      <x:c r="B7" s="71" t="str">
        <x:v>HC-A</x:v>
      </x:c>
      <x:c r="C7" s="71" t="str">
        <x:v>Atmospheric intervention cell</x:v>
      </x:c>
      <x:c r="D7" s="73" t="n">
        <x:v>0.307221654067133</x:v>
      </x:c>
      <x:c r="E7" s="82" t="n">
        <x:f>Controls!$B$10</x:f>
        <x:v>0.15</x:v>
      </x:c>
      <x:c r="F7" s="73" t="n">
        <x:f>D7*E7</x:f>
        <x:v>0.046083248110069946</x:v>
      </x:c>
      <x:c r="G7" s="72" t="n">
        <x:f>COUNTIFS('Form Options'!$B$5:$B$22,B7)</x:f>
        <x:v>3</x:v>
      </x:c>
      <x:c r="H7" s="73" t="n">
        <x:f>F7/G7</x:f>
        <x:v>0.015361082703356649</x:v>
      </x:c>
      <x:c r="I7" s="73" t="n">
        <x:f>SUMIFS('Form Options'!$F$5:$F$22,'Form Options'!$B$5:$B$22,B7)</x:f>
        <x:v>0.046083248110069946</x:v>
      </x:c>
      <x:c r="J7" s="73" t="n">
        <x:f>SUMIFS('Form Options'!$N$5:$N$22,'Form Options'!$B$5:$B$22,B7)</x:f>
        <x:v>0</x:v>
      </x:c>
      <x:c r="K7" s="73" t="n">
        <x:f>SUMIFS('Form Options'!$O$5:$O$22,'Form Options'!$B$5:$B$22,B7)</x:f>
        <x:v>0</x:v>
      </x:c>
      <x:c r="L7" s="73" t="n">
        <x:f>F7-I7</x:f>
        <x:v>0</x:v>
      </x:c>
    </x:row>
    <x:row r="8">
      <x:c r="A8" s="71" t="str">
        <x:v>MS-LF</x:v>
      </x:c>
      <x:c r="B8" s="71" t="str">
        <x:v>LF-B</x:v>
      </x:c>
      <x:c r="C8" s="71" t="str">
        <x:v>Geothermal source position</x:v>
      </x:c>
      <x:c r="D8" s="73" t="n">
        <x:v>0.899412819320565</x:v>
      </x:c>
      <x:c r="E8" s="82" t="n">
        <x:f>Controls!$B$10</x:f>
        <x:v>0.15</x:v>
      </x:c>
      <x:c r="F8" s="73" t="n">
        <x:f>D8*E8</x:f>
        <x:v>0.13491192289808476</x:v>
      </x:c>
      <x:c r="G8" s="72" t="n">
        <x:f>COUNTIFS('Form Options'!$B$5:$B$22,B8)</x:f>
        <x:v>3</x:v>
      </x:c>
      <x:c r="H8" s="73" t="n">
        <x:f>F8/G8</x:f>
        <x:v>0.04497064096602826</x:v>
      </x:c>
      <x:c r="I8" s="73" t="n">
        <x:f>SUMIFS('Form Options'!$F$5:$F$22,'Form Options'!$B$5:$B$22,B8)</x:f>
        <x:v>0.13491192289808476</x:v>
      </x:c>
      <x:c r="J8" s="73" t="n">
        <x:f>SUMIFS('Form Options'!$N$5:$N$22,'Form Options'!$B$5:$B$22,B8)</x:f>
        <x:v>0</x:v>
      </x:c>
      <x:c r="K8" s="73" t="n">
        <x:f>SUMIFS('Form Options'!$O$5:$O$22,'Form Options'!$B$5:$B$22,B8)</x:f>
        <x:v>0</x:v>
      </x:c>
      <x:c r="L8" s="73" t="n">
        <x:f>F8-I8</x:f>
        <x:v>0</x:v>
      </x:c>
    </x:row>
    <x:row r="9">
      <x:c r="A9" s="71" t="str">
        <x:v>MS-HU</x:v>
      </x:c>
      <x:c r="B9" s="71" t="str">
        <x:v>HU-A</x:v>
      </x:c>
      <x:c r="C9" s="71" t="str">
        <x:v>Complete clinical island</x:v>
      </x:c>
      <x:c r="D9" s="73" t="n">
        <x:v>0.860712452941095</x:v>
      </x:c>
      <x:c r="E9" s="82" t="n">
        <x:f>Controls!$B$10</x:f>
        <x:v>0.15</x:v>
      </x:c>
      <x:c r="F9" s="73" t="n">
        <x:f>D9*E9</x:f>
        <x:v>0.12910686794116424</x:v>
      </x:c>
      <x:c r="G9" s="72" t="n">
        <x:f>COUNTIFS('Form Options'!$B$5:$B$22,B9)</x:f>
        <x:v>3</x:v>
      </x:c>
      <x:c r="H9" s="73" t="n">
        <x:f>F9/G9</x:f>
        <x:v>0.043035622647054746</x:v>
      </x:c>
      <x:c r="I9" s="73" t="n">
        <x:f>SUMIFS('Form Options'!$F$5:$F$22,'Form Options'!$B$5:$B$22,B9)</x:f>
        <x:v>0.12910686794116424</x:v>
      </x:c>
      <x:c r="J9" s="73" t="n">
        <x:f>SUMIFS('Form Options'!$N$5:$N$22,'Form Options'!$B$5:$B$22,B9)</x:f>
        <x:v>0</x:v>
      </x:c>
      <x:c r="K9" s="73" t="n">
        <x:f>SUMIFS('Form Options'!$O$5:$O$22,'Form Options'!$B$5:$B$22,B9)</x:f>
        <x:v>0</x:v>
      </x:c>
      <x:c r="L9" s="73" t="n">
        <x:f>F9-I9</x:f>
        <x:v>0</x:v>
      </x:c>
    </x:row>
    <x:row r="10">
      <x:c r="A10" s="71" t="str">
        <x:v>MS-RT</x:v>
      </x:c>
      <x:c r="B10" s="71" t="str">
        <x:v>RT-B</x:v>
      </x:c>
      <x:c r="C10" s="71" t="str">
        <x:v>Disconnected microfactory mesh</x:v>
      </x:c>
      <x:c r="D10" s="73" t="n">
        <x:v>0.502597793135963</x:v>
      </x:c>
      <x:c r="E10" s="82" t="n">
        <x:f>Controls!$B$10</x:f>
        <x:v>0.15</x:v>
      </x:c>
      <x:c r="F10" s="73" t="n">
        <x:f>D10*E10</x:f>
        <x:v>0.07538966897039444</x:v>
      </x:c>
      <x:c r="G10" s="72" t="n">
        <x:f>COUNTIFS('Form Options'!$B$5:$B$22,B10)</x:f>
        <x:v>3</x:v>
      </x:c>
      <x:c r="H10" s="73" t="n">
        <x:f>F10/G10</x:f>
        <x:v>0.025129889656798146</x:v>
      </x:c>
      <x:c r="I10" s="73" t="n">
        <x:f>SUMIFS('Form Options'!$F$5:$F$22,'Form Options'!$B$5:$B$22,B10)</x:f>
        <x:v>0.07538966897039444</x:v>
      </x:c>
      <x:c r="J10" s="73" t="n">
        <x:f>SUMIFS('Form Options'!$N$5:$N$22,'Form Options'!$B$5:$B$22,B10)</x:f>
        <x:v>0</x:v>
      </x:c>
      <x:c r="K10" s="73" t="n">
        <x:f>SUMIFS('Form Options'!$O$5:$O$22,'Form Options'!$B$5:$B$22,B10)</x:f>
        <x:v>0</x:v>
      </x:c>
      <x:c r="L10" s="73" t="n">
        <x:f>F10-I10</x:f>
        <x:v>0</x:v>
      </x:c>
    </x:row>
    <x:row r="11">
      <x:c r="A11" s="85" t="str">
        <x:v>TOTAL</x:v>
      </x:c>
      <x:c r="B11" s="85" t="str">
        <x:v>six roots</x:v>
      </x:c>
      <x:c r="C11" s="85" t="str">
        <x:v>parallel FRAME authority</x:v>
      </x:c>
      <x:c r="D11" s="86" t="n">
        <x:f>SUM(D5:D10)</x:f>
        <x:v>3.586912819320566</x:v>
      </x:c>
      <x:c r="E11" s="85"/>
      <x:c r="F11" s="86" t="n">
        <x:f>SUM(F5:F10)</x:f>
        <x:v>0.5380369228980849</x:v>
      </x:c>
      <x:c r="G11" s="87" t="n">
        <x:f>SUM(G5:G10)</x:f>
        <x:v>18</x:v>
      </x:c>
      <x:c r="H11" s="86"/>
      <x:c r="I11" s="86" t="n">
        <x:f>SUM(I5:I10)</x:f>
        <x:v>0.5380369228980849</x:v>
      </x:c>
      <x:c r="J11" s="86" t="n">
        <x:f>SUM(J5:J10)</x:f>
        <x:v>0</x:v>
      </x:c>
      <x:c r="K11" s="86" t="n">
        <x:f>SUM(K5:K10)</x:f>
        <x:v>0</x:v>
      </x:c>
      <x:c r="L11" s="86" t="n">
        <x:f>SUM(L5:L10)</x:f>
        <x:v>0</x:v>
      </x:c>
    </x:row>
  </x:sheetData>
  <x:mergeCells>
    <x:mergeCell ref="A2:L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38" hidden="0" customWidth="1"/>
    <x:col min="4" max="4" width="76" hidden="0" customWidth="1"/>
    <x:col min="5" max="5" width="18" hidden="0" customWidth="1"/>
    <x:col min="6" max="6" width="20" hidden="0" customWidth="1"/>
  </x:cols>
  <x:sheetData>
    <x:row r="2">
      <x:c r="A2" s="64" t="str">
        <x:v>Twelve prohibited conversions</x:v>
      </x:c>
      <x:c r="B2" s="65"/>
      <x:c r="C2" s="65"/>
      <x:c r="D2" s="65"/>
      <x:c r="E2" s="65"/>
      <x:c r="F2" s="65"/>
    </x:row>
    <x:row r="3">
      <x:c r="A3" s="66"/>
      <x:c r="B3" s="66"/>
      <x:c r="C3" s="66"/>
      <x:c r="D3" s="66"/>
      <x:c r="E3" s="66"/>
      <x:c r="F3" s="66"/>
    </x:row>
    <x:row r="4" ht="32" customHeight="1">
      <x:c r="A4" s="14" t="str">
        <x:v>Rule</x:v>
      </x:c>
      <x:c r="B4" s="15" t="str">
        <x:v>Upstream state</x:v>
      </x:c>
      <x:c r="C4" s="15" t="str">
        <x:v>Prohibited downstream state</x:v>
      </x:c>
      <x:c r="D4" s="15" t="str">
        <x:v>Reason</x:v>
      </x:c>
      <x:c r="E4" s="15" t="str">
        <x:v>Rule complete</x:v>
      </x:c>
      <x:c r="F4" s="16" t="str">
        <x:v>Authority</x:v>
      </x:c>
    </x:row>
    <x:row r="5">
      <x:c r="A5" s="67" t="str">
        <x:v>NC01</x:v>
      </x:c>
      <x:c r="B5" s="67" t="str">
        <x:v>REP-3 issued</x:v>
      </x:c>
      <x:c r="C5" s="67" t="str">
        <x:v>selected form</x:v>
      </x:c>
      <x:c r="D5" s="67" t="str">
        <x:v>Image salience cannot select a form.</x:v>
      </x:c>
      <x:c r="E5" s="67" t="str">
        <x:f>IF(COUNTA(A5:D5)=4,"PASS","FAIL")</x:f>
        <x:v>PASS</x:v>
      </x:c>
      <x:c r="F5" s="67" t="str">
        <x:v>Pass 226</x:v>
      </x:c>
    </x:row>
    <x:row r="6">
      <x:c r="A6" s="71" t="str">
        <x:v>NC02</x:v>
      </x:c>
      <x:c r="B6" s="71" t="str">
        <x:v>dimension envelope</x:v>
      </x:c>
      <x:c r="C6" s="71" t="str">
        <x:v>as-built geometry</x:v>
      </x:c>
      <x:c r="D6" s="71" t="str">
        <x:v>Planning intervals cannot become measured configuration.</x:v>
      </x:c>
      <x:c r="E6" s="71" t="str">
        <x:f>IF(COUNTA(A6:D6)=4,"PASS","FAIL")</x:f>
        <x:v>PASS</x:v>
      </x:c>
      <x:c r="F6" s="71" t="str">
        <x:v>Pass 226</x:v>
      </x:c>
    </x:row>
    <x:row r="7">
      <x:c r="A7" s="71" t="str">
        <x:v>NC03</x:v>
      </x:c>
      <x:c r="B7" s="71" t="str">
        <x:v>six issue gates pass</x:v>
      </x:c>
      <x:c r="C7" s="71" t="str">
        <x:v>accepted evidence</x:v>
      </x:c>
      <x:c r="D7" s="71" t="str">
        <x:v>Administrative completeness cannot become observation.</x:v>
      </x:c>
      <x:c r="E7" s="71" t="str">
        <x:f>IF(COUNTA(A7:D7)=4,"PASS","FAIL")</x:f>
        <x:v>PASS</x:v>
      </x:c>
      <x:c r="F7" s="71" t="str">
        <x:v>Pass 226</x:v>
      </x:c>
    </x:row>
    <x:row r="8">
      <x:c r="A8" s="71" t="str">
        <x:v>NC04</x:v>
      </x:c>
      <x:c r="B8" s="71" t="str">
        <x:v>FRAME authority</x:v>
      </x:c>
      <x:c r="C8" s="71" t="str">
        <x:v>obligation</x:v>
      </x:c>
      <x:c r="D8" s="71" t="str">
        <x:v>A ceiling is not a contract or reserved cash.</x:v>
      </x:c>
      <x:c r="E8" s="71" t="str">
        <x:f>IF(COUNTA(A8:D8)=4,"PASS","FAIL")</x:f>
        <x:v>PASS</x:v>
      </x:c>
      <x:c r="F8" s="71" t="str">
        <x:v>Pass 226</x:v>
      </x:c>
    </x:row>
    <x:row r="9">
      <x:c r="A9" s="71" t="str">
        <x:v>NC05</x:v>
      </x:c>
      <x:c r="B9" s="71" t="str">
        <x:v>obligation</x:v>
      </x:c>
      <x:c r="C9" s="71" t="str">
        <x:v>accepted artifact</x:v>
      </x:c>
      <x:c r="D9" s="71" t="str">
        <x:v>Payment exposure cannot establish technical acceptance.</x:v>
      </x:c>
      <x:c r="E9" s="71" t="str">
        <x:f>IF(COUNTA(A9:D9)=4,"PASS","FAIL")</x:f>
        <x:v>PASS</x:v>
      </x:c>
      <x:c r="F9" s="71" t="str">
        <x:v>Pass 226</x:v>
      </x:c>
    </x:row>
    <x:row r="10">
      <x:c r="A10" s="71" t="str">
        <x:v>NC06</x:v>
      </x:c>
      <x:c r="B10" s="71" t="str">
        <x:v>payment</x:v>
      </x:c>
      <x:c r="C10" s="71" t="str">
        <x:v>survivor</x:v>
      </x:c>
      <x:c r="D10" s="71" t="str">
        <x:v>Money cannot cure a failed evidence domain.</x:v>
      </x:c>
      <x:c r="E10" s="71" t="str">
        <x:f>IF(COUNTA(A10:D10)=4,"PASS","FAIL")</x:f>
        <x:v>PASS</x:v>
      </x:c>
      <x:c r="F10" s="71" t="str">
        <x:v>Pass 226</x:v>
      </x:c>
    </x:row>
    <x:row r="11">
      <x:c r="A11" s="71" t="str">
        <x:v>NC07</x:v>
      </x:c>
      <x:c r="B11" s="71" t="str">
        <x:v>campaign sequence</x:v>
      </x:c>
      <x:c r="C11" s="71" t="str">
        <x:v>valid event</x:v>
      </x:c>
      <x:c r="D11" s="71" t="str">
        <x:v>A scheduled test can still be invalid.</x:v>
      </x:c>
      <x:c r="E11" s="71" t="str">
        <x:f>IF(COUNTA(A11:D11)=4,"PASS","FAIL")</x:f>
        <x:v>PASS</x:v>
      </x:c>
      <x:c r="F11" s="71" t="str">
        <x:v>Pass 226</x:v>
      </x:c>
    </x:row>
    <x:row r="12">
      <x:c r="A12" s="71" t="str">
        <x:v>NC08</x:v>
      </x:c>
      <x:c r="B12" s="71" t="str">
        <x:v>valid event</x:v>
      </x:c>
      <x:c r="C12" s="71" t="str">
        <x:v>domain PASS</x:v>
      </x:c>
      <x:c r="D12" s="71" t="str">
        <x:v>Validity does not determine result.</x:v>
      </x:c>
      <x:c r="E12" s="71" t="str">
        <x:f>IF(COUNTA(A12:D12)=4,"PASS","FAIL")</x:f>
        <x:v>PASS</x:v>
      </x:c>
      <x:c r="F12" s="71" t="str">
        <x:v>Pass 226</x:v>
      </x:c>
    </x:row>
    <x:row r="13">
      <x:c r="A13" s="71" t="str">
        <x:v>NC09</x:v>
      </x:c>
      <x:c r="B13" s="71" t="str">
        <x:v>one domain PASS</x:v>
      </x:c>
      <x:c r="C13" s="71" t="str">
        <x:v>form survivor</x:v>
      </x:c>
      <x:c r="D13" s="71" t="str">
        <x:v>All six accepted domains are required.</x:v>
      </x:c>
      <x:c r="E13" s="71" t="str">
        <x:f>IF(COUNTA(A13:D13)=4,"PASS","FAIL")</x:f>
        <x:v>PASS</x:v>
      </x:c>
      <x:c r="F13" s="71" t="str">
        <x:v>Pass 226</x:v>
      </x:c>
    </x:row>
    <x:row r="14">
      <x:c r="A14" s="71" t="str">
        <x:v>NC10</x:v>
      </x:c>
      <x:c r="B14" s="71" t="str">
        <x:v>form survivor</x:v>
      </x:c>
      <x:c r="C14" s="71" t="str">
        <x:v>selected form</x:v>
      </x:c>
      <x:c r="D14" s="71" t="str">
        <x:v>Comparable root evidence and an independent warrant are required.</x:v>
      </x:c>
      <x:c r="E14" s="71" t="str">
        <x:f>IF(COUNTA(A14:D14)=4,"PASS","FAIL")</x:f>
        <x:v>PASS</x:v>
      </x:c>
      <x:c r="F14" s="71" t="str">
        <x:v>Pass 226</x:v>
      </x:c>
    </x:row>
    <x:row r="15">
      <x:c r="A15" s="71" t="str">
        <x:v>NC11</x:v>
      </x:c>
      <x:c r="B15" s="71" t="str">
        <x:v>selected form</x:v>
      </x:c>
      <x:c r="C15" s="71" t="str">
        <x:v>capability or production</x:v>
      </x:c>
      <x:c r="D15" s="71" t="str">
        <x:v>Selection authorizes neither service effect nor manufacturing.</x:v>
      </x:c>
      <x:c r="E15" s="71" t="str">
        <x:f>IF(COUNTA(A15:D15)=4,"PASS","FAIL")</x:f>
        <x:v>PASS</x:v>
      </x:c>
      <x:c r="F15" s="71" t="str">
        <x:v>Pass 226</x:v>
      </x:c>
    </x:row>
    <x:row r="16">
      <x:c r="A16" s="74" t="str">
        <x:v>NC12</x:v>
      </x:c>
      <x:c r="B16" s="74" t="str">
        <x:v>production</x:v>
      </x:c>
      <x:c r="C16" s="74" t="str">
        <x:v>readiness or export certification</x:v>
      </x:c>
      <x:c r="D16" s="74" t="str">
        <x:v>Produced inventory is not a ready or transferable force.</x:v>
      </x:c>
      <x:c r="E16" s="74" t="str">
        <x:f>IF(COUNTA(A16:D16)=4,"PASS","FAIL")</x:f>
        <x:v>PASS</x:v>
      </x:c>
      <x:c r="F16" s="74" t="str">
        <x:v>Pass 226</x:v>
      </x:c>
    </x:row>
  </x:sheetData>
  <x:mergeCells>
    <x:mergeCell ref="A2:F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58" hidden="0" customWidth="1"/>
    <x:col min="3" max="3" width="52" hidden="0" customWidth="1"/>
    <x:col min="4" max="4" width="14" hidden="0" customWidth="1"/>
    <x:col min="5" max="5" width="14" hidden="0" customWidth="1"/>
  </x:cols>
  <x:sheetData>
    <x:row r="2">
      <x:c r="A2" s="64" t="str">
        <x:v>Mutation-test register</x:v>
      </x:c>
      <x:c r="B2" s="65"/>
      <x:c r="C2" s="65"/>
      <x:c r="D2" s="65"/>
      <x:c r="E2" s="65"/>
    </x:row>
    <x:row r="3">
      <x:c r="A3" s="66"/>
      <x:c r="B3" s="66"/>
      <x:c r="C3" s="66"/>
      <x:c r="D3" s="66"/>
      <x:c r="E3" s="66"/>
    </x:row>
    <x:row r="4" ht="32" customHeight="1">
      <x:c r="A4" s="14" t="str">
        <x:v>Mutation</x:v>
      </x:c>
      <x:c r="B4" s="15" t="str">
        <x:v>Controlled change</x:v>
      </x:c>
      <x:c r="C4" s="15" t="str">
        <x:v>Expected detection</x:v>
      </x:c>
      <x:c r="D4" s="15" t="str">
        <x:v>Detected</x:v>
      </x:c>
      <x:c r="E4" s="16" t="str">
        <x:v>Restored</x:v>
      </x:c>
    </x:row>
    <x:row r="5">
      <x:c r="A5" s="67" t="str">
        <x:v>M01</x:v>
      </x:c>
      <x:c r="B5" s="67" t="str">
        <x:v>duplicate a form ID</x:v>
      </x:c>
      <x:c r="C5" s="67" t="str">
        <x:v>form uniqueness fails</x:v>
      </x:c>
      <x:c r="D5" s="68" t="n">
        <x:v>1</x:v>
      </x:c>
      <x:c r="E5" s="68" t="n">
        <x:v>1</x:v>
      </x:c>
    </x:row>
    <x:row r="6">
      <x:c r="A6" s="71" t="str">
        <x:v>M02</x:v>
      </x:c>
      <x:c r="B6" s="71" t="str">
        <x:v>remove one issuance gate</x:v>
      </x:c>
      <x:c r="C6" s="71" t="str">
        <x:v>gate count fails</x:v>
      </x:c>
      <x:c r="D6" s="72" t="n">
        <x:v>1</x:v>
      </x:c>
      <x:c r="E6" s="72" t="n">
        <x:v>1</x:v>
      </x:c>
    </x:row>
    <x:row r="7">
      <x:c r="A7" s="71" t="str">
        <x:v>M03</x:v>
      </x:c>
      <x:c r="B7" s="71" t="str">
        <x:v>mark one issue gate incomplete</x:v>
      </x:c>
      <x:c r="C7" s="71" t="str">
        <x:v>form warrant closes</x:v>
      </x:c>
      <x:c r="D7" s="72" t="n">
        <x:v>1</x:v>
      </x:c>
      <x:c r="E7" s="72" t="n">
        <x:v>1</x:v>
      </x:c>
    </x:row>
    <x:row r="8">
      <x:c r="A8" s="71" t="str">
        <x:v>M04</x:v>
      </x:c>
      <x:c r="B8" s="71" t="str">
        <x:v>duplicate one gate record</x:v>
      </x:c>
      <x:c r="C8" s="71" t="str">
        <x:v>gate uniqueness fails</x:v>
      </x:c>
      <x:c r="D8" s="72" t="n">
        <x:v>1</x:v>
      </x:c>
      <x:c r="E8" s="72" t="n">
        <x:v>1</x:v>
      </x:c>
    </x:row>
    <x:row r="9">
      <x:c r="A9" s="71" t="str">
        <x:v>M05</x:v>
      </x:c>
      <x:c r="B9" s="71" t="str">
        <x:v>remove one work package</x:v>
      </x:c>
      <x:c r="C9" s="71" t="str">
        <x:v>package count fails</x:v>
      </x:c>
      <x:c r="D9" s="72" t="n">
        <x:v>1</x:v>
      </x:c>
      <x:c r="E9" s="72" t="n">
        <x:v>1</x:v>
      </x:c>
    </x:row>
    <x:row r="10">
      <x:c r="A10" s="71" t="str">
        <x:v>M06</x:v>
      </x:c>
      <x:c r="B10" s="71" t="str">
        <x:v>change one package share</x:v>
      </x:c>
      <x:c r="C10" s="71" t="str">
        <x:v>form share conservation fails</x:v>
      </x:c>
      <x:c r="D10" s="72" t="n">
        <x:v>1</x:v>
      </x:c>
      <x:c r="E10" s="72" t="n">
        <x:v>1</x:v>
      </x:c>
    </x:row>
    <x:row r="11">
      <x:c r="A11" s="71" t="str">
        <x:v>M07</x:v>
      </x:c>
      <x:c r="B11" s="71" t="str">
        <x:v>issue one FRAME warrant early</x:v>
      </x:c>
      <x:c r="C11" s="71" t="str">
        <x:v>zero-issued audit fails</x:v>
      </x:c>
      <x:c r="D11" s="72" t="n">
        <x:v>1</x:v>
      </x:c>
      <x:c r="E11" s="72" t="n">
        <x:v>1</x:v>
      </x:c>
    </x:row>
    <x:row r="12">
      <x:c r="A12" s="71" t="str">
        <x:v>M08</x:v>
      </x:c>
      <x:c r="B12" s="71" t="str">
        <x:v>select one form</x:v>
      </x:c>
      <x:c r="C12" s="71" t="str">
        <x:v>zero-selection audit fails</x:v>
      </x:c>
      <x:c r="D12" s="72" t="n">
        <x:v>1</x:v>
      </x:c>
      <x:c r="E12" s="72" t="n">
        <x:v>1</x:v>
      </x:c>
    </x:row>
    <x:row r="13">
      <x:c r="A13" s="71" t="str">
        <x:v>M09</x:v>
      </x:c>
      <x:c r="B13" s="71" t="str">
        <x:v>enter an obligation</x:v>
      </x:c>
      <x:c r="C13" s="71" t="str">
        <x:v>finance hold fails</x:v>
      </x:c>
      <x:c r="D13" s="72" t="n">
        <x:v>1</x:v>
      </x:c>
      <x:c r="E13" s="72" t="n">
        <x:v>1</x:v>
      </x:c>
    </x:row>
    <x:row r="14">
      <x:c r="A14" s="71" t="str">
        <x:v>M10</x:v>
      </x:c>
      <x:c r="B14" s="71" t="str">
        <x:v>enter a payment</x:v>
      </x:c>
      <x:c r="C14" s="71" t="str">
        <x:v>finance hold fails</x:v>
      </x:c>
      <x:c r="D14" s="72" t="n">
        <x:v>1</x:v>
      </x:c>
      <x:c r="E14" s="72" t="n">
        <x:v>1</x:v>
      </x:c>
    </x:row>
    <x:row r="15">
      <x:c r="A15" s="71" t="str">
        <x:v>M11</x:v>
      </x:c>
      <x:c r="B15" s="71" t="str">
        <x:v>raise FRAME share</x:v>
      </x:c>
      <x:c r="C15" s="71" t="str">
        <x:v>ceiling conservation fails</x:v>
      </x:c>
      <x:c r="D15" s="72" t="n">
        <x:v>1</x:v>
      </x:c>
      <x:c r="E15" s="72" t="n">
        <x:v>1</x:v>
      </x:c>
    </x:row>
    <x:row r="16">
      <x:c r="A16" s="71" t="str">
        <x:v>M12</x:v>
      </x:c>
      <x:c r="B16" s="71" t="str">
        <x:v>change a root option ceiling</x:v>
      </x:c>
      <x:c r="C16" s="71" t="str">
        <x:v>option conservation fails</x:v>
      </x:c>
      <x:c r="D16" s="72" t="n">
        <x:v>1</x:v>
      </x:c>
      <x:c r="E16" s="72" t="n">
        <x:v>1</x:v>
      </x:c>
    </x:row>
    <x:row r="17">
      <x:c r="A17" s="71" t="str">
        <x:v>M13</x:v>
      </x:c>
      <x:c r="B17" s="71" t="str">
        <x:v>blank a nonconversion reason</x:v>
      </x:c>
      <x:c r="C17" s="71" t="str">
        <x:v>rule completeness fails</x:v>
      </x:c>
      <x:c r="D17" s="72" t="n">
        <x:v>1</x:v>
      </x:c>
      <x:c r="E17" s="72" t="n">
        <x:v>1</x:v>
      </x:c>
    </x:row>
    <x:row r="18">
      <x:c r="A18" s="71" t="str">
        <x:v>M14</x:v>
      </x:c>
      <x:c r="B18" s="71" t="str">
        <x:v>authorize MAKE</x:v>
      </x:c>
      <x:c r="C18" s="71" t="str">
        <x:v>authority ladder fails</x:v>
      </x:c>
      <x:c r="D18" s="72" t="n">
        <x:v>1</x:v>
      </x:c>
      <x:c r="E18" s="72" t="n">
        <x:v>1</x:v>
      </x:c>
    </x:row>
    <x:row r="19">
      <x:c r="A19" s="71" t="str">
        <x:v>M15</x:v>
      </x:c>
      <x:c r="B19" s="71" t="str">
        <x:v>enter accepted evidence</x:v>
      </x:c>
      <x:c r="C19" s="71" t="str">
        <x:v>zero-evidence audit fails</x:v>
      </x:c>
      <x:c r="D19" s="72" t="n">
        <x:v>1</x:v>
      </x:c>
      <x:c r="E19" s="72" t="n">
        <x:v>1</x:v>
      </x:c>
    </x:row>
    <x:row r="20">
      <x:c r="A20" s="74" t="str">
        <x:v>M16</x:v>
      </x:c>
      <x:c r="B20" s="74" t="str">
        <x:v>enter a branch kill</x:v>
      </x:c>
      <x:c r="C20" s="74" t="str">
        <x:v>branch-kill audit fails</x:v>
      </x:c>
      <x:c r="D20" s="83" t="n">
        <x:v>1</x:v>
      </x:c>
      <x:c r="E20" s="83" t="n">
        <x:v>1</x:v>
      </x:c>
    </x:row>
  </x:sheetData>
  <x:mergeCells>
    <x:mergeCell ref="A2:E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48" hidden="0" customWidth="1"/>
    <x:col min="3" max="3" width="18" hidden="0" customWidth="1"/>
    <x:col min="4" max="4" width="18" hidden="0" customWidth="1"/>
    <x:col min="5" max="5" width="14" hidden="0" customWidth="1"/>
  </x:cols>
  <x:sheetData>
    <x:row r="2">
      <x:c r="A2" s="64" t="str">
        <x:v>Independent workbook checks</x:v>
      </x:c>
      <x:c r="B2" s="65"/>
      <x:c r="C2" s="65"/>
      <x:c r="D2" s="65"/>
      <x:c r="E2" s="65"/>
    </x:row>
    <x:row r="3">
      <x:c r="A3" s="66"/>
      <x:c r="B3" s="66"/>
      <x:c r="C3" s="66"/>
      <x:c r="D3" s="66"/>
      <x:c r="E3" s="66"/>
    </x:row>
    <x:row r="4" ht="32" customHeight="1">
      <x:c r="A4" s="14" t="str">
        <x:v>Audit</x:v>
      </x:c>
      <x:c r="B4" s="15" t="str">
        <x:v>Check</x:v>
      </x:c>
      <x:c r="C4" s="15" t="str">
        <x:v>Actual</x:v>
      </x:c>
      <x:c r="D4" s="15" t="str">
        <x:v>Expected</x:v>
      </x:c>
      <x:c r="E4" s="16" t="str">
        <x:v>Result</x:v>
      </x:c>
    </x:row>
    <x:row r="5">
      <x:c r="A5" s="67" t="str">
        <x:v>A01</x:v>
      </x:c>
      <x:c r="B5" s="67" t="str">
        <x:v>root count</x:v>
      </x:c>
      <x:c r="C5" s="88" t="n">
        <x:f>COUNTA('Root Budgets'!A5:A10)</x:f>
        <x:v>6</x:v>
      </x:c>
      <x:c r="D5" s="88" t="n">
        <x:v>6</x:v>
      </x:c>
      <x:c r="E5" s="67" t="str">
        <x:f>IF(ABS(C5-D5)&lt;0.0000001,"PASS","FAIL")</x:f>
        <x:v>PASS</x:v>
      </x:c>
    </x:row>
    <x:row r="6">
      <x:c r="A6" s="71" t="str">
        <x:v>A02</x:v>
      </x:c>
      <x:c r="B6" s="71" t="str">
        <x:v>form count</x:v>
      </x:c>
      <x:c r="C6" s="89" t="n">
        <x:f>COUNTA('Form Options'!A5:A22)</x:f>
        <x:v>18</x:v>
      </x:c>
      <x:c r="D6" s="89" t="n">
        <x:v>18</x:v>
      </x:c>
      <x:c r="E6" s="71" t="str">
        <x:f>IF(ABS(C6-D6)&lt;0.0000001,"PASS","FAIL")</x:f>
        <x:v>PASS</x:v>
      </x:c>
    </x:row>
    <x:row r="7">
      <x:c r="A7" s="71" t="str">
        <x:v>A03</x:v>
      </x:c>
      <x:c r="B7" s="71" t="str">
        <x:v>unique form IDs</x:v>
      </x:c>
      <x:c r="C7" s="89" t="n">
        <x:f>COUNTIFS('Form Options'!R5:R22,1)</x:f>
        <x:v>18</x:v>
      </x:c>
      <x:c r="D7" s="89" t="n">
        <x:v>18</x:v>
      </x:c>
      <x:c r="E7" s="71" t="str">
        <x:f>IF(ABS(C7-D7)&lt;0.0000001,"PASS","FAIL")</x:f>
        <x:v>PASS</x:v>
      </x:c>
    </x:row>
    <x:row r="8">
      <x:c r="A8" s="71" t="str">
        <x:v>A04</x:v>
      </x:c>
      <x:c r="B8" s="71" t="str">
        <x:v>three forms per root</x:v>
      </x:c>
      <x:c r="C8" s="89" t="n">
        <x:f>COUNTIFS('Form Options'!S5:S22,3)</x:f>
        <x:v>18</x:v>
      </x:c>
      <x:c r="D8" s="89" t="n">
        <x:v>18</x:v>
      </x:c>
      <x:c r="E8" s="71" t="str">
        <x:f>IF(ABS(C8-D8)&lt;0.0000001,"PASS","FAIL")</x:f>
        <x:v>PASS</x:v>
      </x:c>
    </x:row>
    <x:row r="9">
      <x:c r="A9" s="71" t="str">
        <x:v>A05</x:v>
      </x:c>
      <x:c r="B9" s="71" t="str">
        <x:v>issuance gate records</x:v>
      </x:c>
      <x:c r="C9" s="89" t="n">
        <x:f>COUNTA('Issuance Gates'!A5:A112)</x:f>
        <x:v>108</x:v>
      </x:c>
      <x:c r="D9" s="89" t="n">
        <x:v>108</x:v>
      </x:c>
      <x:c r="E9" s="71" t="str">
        <x:f>IF(ABS(C9-D9)&lt;0.0000001,"PASS","FAIL")</x:f>
        <x:v>PASS</x:v>
      </x:c>
    </x:row>
    <x:row r="10">
      <x:c r="A10" s="71" t="str">
        <x:v>A06</x:v>
      </x:c>
      <x:c r="B10" s="71" t="str">
        <x:v>unique gate records</x:v>
      </x:c>
      <x:c r="C10" s="89" t="n">
        <x:f>COUNTIFS('Issuance Gates'!J5:J112,1)</x:f>
        <x:v>108</x:v>
      </x:c>
      <x:c r="D10" s="89" t="n">
        <x:v>108</x:v>
      </x:c>
      <x:c r="E10" s="71" t="str">
        <x:f>IF(ABS(C10-D10)&lt;0.0000001,"PASS","FAIL")</x:f>
        <x:v>PASS</x:v>
      </x:c>
    </x:row>
    <x:row r="11">
      <x:c r="A11" s="71" t="str">
        <x:v>A07</x:v>
      </x:c>
      <x:c r="B11" s="71" t="str">
        <x:v>six gates per form</x:v>
      </x:c>
      <x:c r="C11" s="89" t="n">
        <x:f>COUNTIFS('Issuance Gates'!I5:I112,6)/6</x:f>
        <x:v>18</x:v>
      </x:c>
      <x:c r="D11" s="89" t="n">
        <x:v>18</x:v>
      </x:c>
      <x:c r="E11" s="71" t="str">
        <x:f>IF(ABS(C11-D11)&lt;0.0000001,"PASS","FAIL")</x:f>
        <x:v>PASS</x:v>
      </x:c>
    </x:row>
    <x:row r="12">
      <x:c r="A12" s="71" t="str">
        <x:v>A08</x:v>
      </x:c>
      <x:c r="B12" s="71" t="str">
        <x:v>passing issue gates</x:v>
      </x:c>
      <x:c r="C12" s="89" t="n">
        <x:f>COUNTIFS('Issuance Gates'!H5:H112,"PASS")</x:f>
        <x:v>108</x:v>
      </x:c>
      <x:c r="D12" s="89" t="n">
        <x:v>108</x:v>
      </x:c>
      <x:c r="E12" s="71" t="str">
        <x:f>IF(ABS(C12-D12)&lt;0.0000001,"PASS","FAIL")</x:f>
        <x:v>PASS</x:v>
      </x:c>
    </x:row>
    <x:row r="13">
      <x:c r="A13" s="71" t="str">
        <x:v>A09</x:v>
      </x:c>
      <x:c r="B13" s="71" t="str">
        <x:v>learning warrants authorized</x:v>
      </x:c>
      <x:c r="C13" s="89" t="n">
        <x:f>SUM('Form Options'!K5:K22)</x:f>
        <x:v>18</x:v>
      </x:c>
      <x:c r="D13" s="89" t="n">
        <x:v>18</x:v>
      </x:c>
      <x:c r="E13" s="71" t="str">
        <x:f>IF(ABS(C13-D13)&lt;0.0000001,"PASS","FAIL")</x:f>
        <x:v>PASS</x:v>
      </x:c>
    </x:row>
    <x:row r="14">
      <x:c r="A14" s="71" t="str">
        <x:v>A10</x:v>
      </x:c>
      <x:c r="B14" s="71" t="str">
        <x:v>FRAME warrants issued</x:v>
      </x:c>
      <x:c r="C14" s="89" t="n">
        <x:f>SUM('Form Options'!L5:L22)</x:f>
        <x:v>0</x:v>
      </x:c>
      <x:c r="D14" s="89" t="n">
        <x:v>0</x:v>
      </x:c>
      <x:c r="E14" s="71" t="str">
        <x:f>IF(ABS(C14-D14)&lt;0.0000001,"PASS","FAIL")</x:f>
        <x:v>PASS</x:v>
      </x:c>
    </x:row>
    <x:row r="15">
      <x:c r="A15" s="71" t="str">
        <x:v>A11</x:v>
      </x:c>
      <x:c r="B15" s="71" t="str">
        <x:v>selected forms</x:v>
      </x:c>
      <x:c r="C15" s="89" t="n">
        <x:f>SUM('Form Options'!M5:M22)</x:f>
        <x:v>0</x:v>
      </x:c>
      <x:c r="D15" s="89" t="n">
        <x:v>0</x:v>
      </x:c>
      <x:c r="E15" s="71" t="str">
        <x:f>IF(ABS(C15-D15)&lt;0.0000001,"PASS","FAIL")</x:f>
        <x:v>PASS</x:v>
      </x:c>
    </x:row>
    <x:row r="16">
      <x:c r="A16" s="71" t="str">
        <x:v>A12</x:v>
      </x:c>
      <x:c r="B16" s="71" t="str">
        <x:v>authorized issue states</x:v>
      </x:c>
      <x:c r="C16" s="89" t="n">
        <x:f>COUNTIFS('Form Options'!P5:P22,"AUTHORIZED / NOT ISSUED")</x:f>
        <x:v>18</x:v>
      </x:c>
      <x:c r="D16" s="89" t="n">
        <x:v>18</x:v>
      </x:c>
      <x:c r="E16" s="71" t="str">
        <x:f>IF(ABS(C16-D16)&lt;0.0000001,"PASS","FAIL")</x:f>
        <x:v>PASS</x:v>
      </x:c>
    </x:row>
    <x:row r="17">
      <x:c r="A17" s="71" t="str">
        <x:v>A13</x:v>
      </x:c>
      <x:c r="B17" s="71" t="str">
        <x:v>unselected states</x:v>
      </x:c>
      <x:c r="C17" s="89" t="n">
        <x:f>COUNTIFS('Form Options'!Q5:Q22,"UNSELECTED")</x:f>
        <x:v>18</x:v>
      </x:c>
      <x:c r="D17" s="89" t="n">
        <x:v>18</x:v>
      </x:c>
      <x:c r="E17" s="71" t="str">
        <x:f>IF(ABS(C17-D17)&lt;0.0000001,"PASS","FAIL")</x:f>
        <x:v>PASS</x:v>
      </x:c>
    </x:row>
    <x:row r="18">
      <x:c r="A18" s="71" t="str">
        <x:v>A14</x:v>
      </x:c>
      <x:c r="B18" s="71" t="str">
        <x:v>work packages</x:v>
      </x:c>
      <x:c r="C18" s="89" t="n">
        <x:f>COUNTA('Work Packages'!A5:A94)</x:f>
        <x:v>90</x:v>
      </x:c>
      <x:c r="D18" s="89" t="n">
        <x:v>90</x:v>
      </x:c>
      <x:c r="E18" s="71" t="str">
        <x:f>IF(ABS(C18-D18)&lt;0.0000001,"PASS","FAIL")</x:f>
        <x:v>PASS</x:v>
      </x:c>
    </x:row>
    <x:row r="19">
      <x:c r="A19" s="71" t="str">
        <x:v>A15</x:v>
      </x:c>
      <x:c r="B19" s="71" t="str">
        <x:v>five packages per form</x:v>
      </x:c>
      <x:c r="C19" s="89" t="n">
        <x:f>COUNTIFS('Work Packages'!M5:M94,5)/5</x:f>
        <x:v>18</x:v>
      </x:c>
      <x:c r="D19" s="89" t="n">
        <x:v>18</x:v>
      </x:c>
      <x:c r="E19" s="71" t="str">
        <x:f>IF(ABS(C19-D19)&lt;0.0000001,"PASS","FAIL")</x:f>
        <x:v>PASS</x:v>
      </x:c>
    </x:row>
    <x:row r="20">
      <x:c r="A20" s="71" t="str">
        <x:v>A16</x:v>
      </x:c>
      <x:c r="B20" s="71" t="str">
        <x:v>package shares conserved</x:v>
      </x:c>
      <x:c r="C20" s="89" t="n">
        <x:f>COUNTIFS('Work Packages'!N5:N94,1)/5</x:f>
        <x:v>18</x:v>
      </x:c>
      <x:c r="D20" s="89" t="n">
        <x:v>18</x:v>
      </x:c>
      <x:c r="E20" s="71" t="str">
        <x:f>IF(ABS(C20-D20)&lt;0.0000001,"PASS","FAIL")</x:f>
        <x:v>PASS</x:v>
      </x:c>
    </x:row>
    <x:row r="21">
      <x:c r="A21" s="71" t="str">
        <x:v>A17</x:v>
      </x:c>
      <x:c r="B21" s="71" t="str">
        <x:v>authorized package states</x:v>
      </x:c>
      <x:c r="C21" s="89" t="n">
        <x:f>COUNTIFS('Work Packages'!L5:L94,"AUTHORIZED / NOT ISSUED")</x:f>
        <x:v>90</x:v>
      </x:c>
      <x:c r="D21" s="89" t="n">
        <x:v>90</x:v>
      </x:c>
      <x:c r="E21" s="71" t="str">
        <x:f>IF(ABS(C21-D21)&lt;0.0000001,"PASS","FAIL")</x:f>
        <x:v>PASS</x:v>
      </x:c>
    </x:row>
    <x:row r="22">
      <x:c r="A22" s="71" t="str">
        <x:v>A18</x:v>
      </x:c>
      <x:c r="B22" s="71" t="str">
        <x:v>option ceiling conservation</x:v>
      </x:c>
      <x:c r="C22" s="89" t="n">
        <x:f>'Root Budgets'!D11</x:f>
        <x:v>3.586912819320566</x:v>
      </x:c>
      <x:c r="D22" s="89" t="n">
        <x:v>3.586912819320566</x:v>
      </x:c>
      <x:c r="E22" s="71" t="str">
        <x:f>IF(ABS(C22-D22)&lt;0.0000001,"PASS","FAIL")</x:f>
        <x:v>PASS</x:v>
      </x:c>
    </x:row>
    <x:row r="23">
      <x:c r="A23" s="71" t="str">
        <x:v>A19</x:v>
      </x:c>
      <x:c r="B23" s="71" t="str">
        <x:v>FRAME ceiling conservation</x:v>
      </x:c>
      <x:c r="C23" s="89" t="n">
        <x:f>'Root Budgets'!F11</x:f>
        <x:v>0.5380369228980849</x:v>
      </x:c>
      <x:c r="D23" s="89" t="n">
        <x:v>0.5380369228980849</x:v>
      </x:c>
      <x:c r="E23" s="71" t="str">
        <x:f>IF(ABS(C23-D23)&lt;0.0000001,"PASS","FAIL")</x:f>
        <x:v>PASS</x:v>
      </x:c>
    </x:row>
    <x:row r="24">
      <x:c r="A24" s="71" t="str">
        <x:v>A20</x:v>
      </x:c>
      <x:c r="B24" s="71" t="str">
        <x:v>authorized ceiling conservation</x:v>
      </x:c>
      <x:c r="C24" s="89" t="n">
        <x:f>'Root Budgets'!I11</x:f>
        <x:v>0.5380369228980849</x:v>
      </x:c>
      <x:c r="D24" s="89" t="n">
        <x:v>0.5380369228980849</x:v>
      </x:c>
      <x:c r="E24" s="71" t="str">
        <x:f>IF(ABS(C24-D24)&lt;0.0000001,"PASS","FAIL")</x:f>
        <x:v>PASS</x:v>
      </x:c>
    </x:row>
    <x:row r="25">
      <x:c r="A25" s="71" t="str">
        <x:v>A21</x:v>
      </x:c>
      <x:c r="B25" s="71" t="str">
        <x:v>unassigned ceiling</x:v>
      </x:c>
      <x:c r="C25" s="89" t="n">
        <x:f>'Root Budgets'!L11</x:f>
        <x:v>0</x:v>
      </x:c>
      <x:c r="D25" s="89" t="n">
        <x:v>0</x:v>
      </x:c>
      <x:c r="E25" s="71" t="str">
        <x:f>IF(ABS(C25-D25)&lt;0.0000001,"PASS","FAIL")</x:f>
        <x:v>PASS</x:v>
      </x:c>
    </x:row>
    <x:row r="26">
      <x:c r="A26" s="71" t="str">
        <x:v>A22</x:v>
      </x:c>
      <x:c r="B26" s="71" t="str">
        <x:v>obligated amount</x:v>
      </x:c>
      <x:c r="C26" s="89" t="n">
        <x:f>'Root Budgets'!J11</x:f>
        <x:v>0</x:v>
      </x:c>
      <x:c r="D26" s="89" t="n">
        <x:v>0</x:v>
      </x:c>
      <x:c r="E26" s="71" t="str">
        <x:f>IF(ABS(C26-D26)&lt;0.0000001,"PASS","FAIL")</x:f>
        <x:v>PASS</x:v>
      </x:c>
    </x:row>
    <x:row r="27">
      <x:c r="A27" s="71" t="str">
        <x:v>A23</x:v>
      </x:c>
      <x:c r="B27" s="71" t="str">
        <x:v>paid amount</x:v>
      </x:c>
      <x:c r="C27" s="89" t="n">
        <x:f>'Root Budgets'!K11</x:f>
        <x:v>0</x:v>
      </x:c>
      <x:c r="D27" s="89" t="n">
        <x:v>0</x:v>
      </x:c>
      <x:c r="E27" s="71" t="str">
        <x:f>IF(ABS(C27-D27)&lt;0.0000001,"PASS","FAIL")</x:f>
        <x:v>PASS</x:v>
      </x:c>
    </x:row>
    <x:row r="28">
      <x:c r="A28" s="71" t="str">
        <x:v>A24</x:v>
      </x:c>
      <x:c r="B28" s="71" t="str">
        <x:v>accepted observations</x:v>
      </x:c>
      <x:c r="C28" s="89" t="n">
        <x:f>Controls!B12</x:f>
        <x:v>0</x:v>
      </x:c>
      <x:c r="D28" s="89" t="n">
        <x:v>0</x:v>
      </x:c>
      <x:c r="E28" s="71" t="str">
        <x:f>IF(ABS(C28-D28)&lt;0.0000001,"PASS","FAIL")</x:f>
        <x:v>PASS</x:v>
      </x:c>
    </x:row>
    <x:row r="29">
      <x:c r="A29" s="71" t="str">
        <x:v>A25</x:v>
      </x:c>
      <x:c r="B29" s="71" t="str">
        <x:v>nonconversion rules</x:v>
      </x:c>
      <x:c r="C29" s="89" t="n">
        <x:f>COUNTA(Nonconversions!A5:A16)</x:f>
        <x:v>12</x:v>
      </x:c>
      <x:c r="D29" s="89" t="n">
        <x:v>12</x:v>
      </x:c>
      <x:c r="E29" s="71" t="str">
        <x:f>IF(ABS(C29-D29)&lt;0.0000001,"PASS","FAIL")</x:f>
        <x:v>PASS</x:v>
      </x:c>
    </x:row>
    <x:row r="30">
      <x:c r="A30" s="71" t="str">
        <x:v>A26</x:v>
      </x:c>
      <x:c r="B30" s="71" t="str">
        <x:v>complete nonconversion rules</x:v>
      </x:c>
      <x:c r="C30" s="89" t="n">
        <x:f>COUNTIFS(Nonconversions!E5:E16,"PASS")</x:f>
        <x:v>12</x:v>
      </x:c>
      <x:c r="D30" s="89" t="n">
        <x:v>12</x:v>
      </x:c>
      <x:c r="E30" s="71" t="str">
        <x:f>IF(ABS(C30-D30)&lt;0.0000001,"PASS","FAIL")</x:f>
        <x:v>PASS</x:v>
      </x:c>
    </x:row>
    <x:row r="31">
      <x:c r="A31" s="71" t="str">
        <x:v>A27</x:v>
      </x:c>
      <x:c r="B31" s="71" t="str">
        <x:v>authority stages</x:v>
      </x:c>
      <x:c r="C31" s="89" t="n">
        <x:f>COUNTA('Authority Ladder'!A5:A12)</x:f>
        <x:v>8</x:v>
      </x:c>
      <x:c r="D31" s="89" t="n">
        <x:v>8</x:v>
      </x:c>
      <x:c r="E31" s="71" t="str">
        <x:f>IF(ABS(C31-D31)&lt;0.0000001,"PASS","FAIL")</x:f>
        <x:v>PASS</x:v>
      </x:c>
    </x:row>
    <x:row r="32">
      <x:c r="A32" s="71" t="str">
        <x:v>A28</x:v>
      </x:c>
      <x:c r="B32" s="71" t="str">
        <x:v>MAKE remains held</x:v>
      </x:c>
      <x:c r="C32" s="89" t="n">
        <x:f>COUNTIFS('Authority Ladder'!A5:A12,"MAKE",'Authority Ladder'!C5:C12,"HELD")</x:f>
        <x:v>1</x:v>
      </x:c>
      <x:c r="D32" s="89" t="n">
        <x:v>1</x:v>
      </x:c>
      <x:c r="E32" s="71" t="str">
        <x:f>IF(ABS(C32-D32)&lt;0.0000001,"PASS","FAIL")</x:f>
        <x:v>PASS</x:v>
      </x:c>
    </x:row>
    <x:row r="33">
      <x:c r="A33" s="71" t="str">
        <x:v>A29</x:v>
      </x:c>
      <x:c r="B33" s="71" t="str">
        <x:v>REP-4 remains held</x:v>
      </x:c>
      <x:c r="C33" s="89" t="n">
        <x:f>COUNTIFS('Authority Ladder'!A5:A12,"REP-4",'Authority Ladder'!C5:C12,"HELD")</x:f>
        <x:v>1</x:v>
      </x:c>
      <x:c r="D33" s="89" t="n">
        <x:v>1</x:v>
      </x:c>
      <x:c r="E33" s="71" t="str">
        <x:f>IF(ABS(C33-D33)&lt;0.0000001,"PASS","FAIL")</x:f>
        <x:v>PASS</x:v>
      </x:c>
    </x:row>
    <x:row r="34">
      <x:c r="A34" s="71" t="str">
        <x:v>A30</x:v>
      </x:c>
      <x:c r="B34" s="71" t="str">
        <x:v>selection remains held</x:v>
      </x:c>
      <x:c r="C34" s="89" t="n">
        <x:f>COUNTIFS('Authority Ladder'!A5:A12,"SELECTED",'Authority Ladder'!C5:C12,"HELD")</x:f>
        <x:v>1</x:v>
      </x:c>
      <x:c r="D34" s="89" t="n">
        <x:v>1</x:v>
      </x:c>
      <x:c r="E34" s="71" t="str">
        <x:f>IF(ABS(C34-D34)&lt;0.0000001,"PASS","FAIL")</x:f>
        <x:v>PASS</x:v>
      </x:c>
    </x:row>
    <x:row r="35">
      <x:c r="A35" s="71" t="str">
        <x:v>A31</x:v>
      </x:c>
      <x:c r="B35" s="71" t="str">
        <x:v>mutations detected</x:v>
      </x:c>
      <x:c r="C35" s="89" t="n">
        <x:f>SUM(Mutations!D5:D20)</x:f>
        <x:v>16</x:v>
      </x:c>
      <x:c r="D35" s="89" t="n">
        <x:v>16</x:v>
      </x:c>
      <x:c r="E35" s="71" t="str">
        <x:f>IF(ABS(C35-D35)&lt;0.0000001,"PASS","FAIL")</x:f>
        <x:v>PASS</x:v>
      </x:c>
    </x:row>
    <x:row r="36">
      <x:c r="A36" s="71" t="str">
        <x:v>A32</x:v>
      </x:c>
      <x:c r="B36" s="71" t="str">
        <x:v>mutations restored</x:v>
      </x:c>
      <x:c r="C36" s="89" t="n">
        <x:f>SUM(Mutations!E5:E20)</x:f>
        <x:v>16</x:v>
      </x:c>
      <x:c r="D36" s="89" t="n">
        <x:v>16</x:v>
      </x:c>
      <x:c r="E36" s="71" t="str">
        <x:f>IF(ABS(C36-D36)&lt;0.0000001,"PASS","FAIL")</x:f>
        <x:v>PASS</x:v>
      </x:c>
    </x:row>
    <x:row r="37">
      <x:c r="A37" s="74" t="str">
        <x:v>A33</x:v>
      </x:c>
      <x:c r="B37" s="74" t="str">
        <x:v>branch kills</x:v>
      </x:c>
      <x:c r="C37" s="90" t="n">
        <x:f>Controls!B15</x:f>
        <x:v>0</x:v>
      </x:c>
      <x:c r="D37" s="90" t="n">
        <x:v>0</x:v>
      </x:c>
      <x:c r="E37" s="74" t="str">
        <x:f>IF(ABS(C37-D37)&lt;0.0000001,"PASS","FAIL")</x:f>
        <x:v>PASS</x:v>
      </x:c>
    </x:row>
  </x:sheetData>
  <x:mergeCells>
    <x:mergeCell ref="A2:E2"/>
  </x:mergeCells>
  <x:conditionalFormatting sqref="E5:E37">
    <x:cfRule type="containsText" dxfId="2" priority="1" operator="containsText" text="FAIL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8" hidden="0" customWidth="1"/>
    <x:col min="3" max="3" width="64" hidden="0" customWidth="1"/>
    <x:col min="4" max="4" width="62" hidden="0" customWidth="1"/>
  </x:cols>
  <x:sheetData>
    <x:row r="2">
      <x:c r="A2" s="64" t="str">
        <x:v>Internal sources and limits</x:v>
      </x:c>
      <x:c r="B2" s="65"/>
      <x:c r="C2" s="65"/>
      <x:c r="D2" s="65"/>
    </x:row>
    <x:row r="3">
      <x:c r="A3" s="66"/>
      <x:c r="B3" s="66"/>
      <x:c r="C3" s="66"/>
      <x:c r="D3" s="66"/>
    </x:row>
    <x:row r="4" ht="32" customHeight="1">
      <x:c r="A4" s="14" t="str">
        <x:v>Source</x:v>
      </x:c>
      <x:c r="B4" s="15" t="str">
        <x:v>Role</x:v>
      </x:c>
      <x:c r="C4" s="15" t="str">
        <x:v>Use</x:v>
      </x:c>
      <x:c r="D4" s="16" t="str">
        <x:v>Limit</x:v>
      </x:c>
    </x:row>
    <x:row r="5">
      <x:c r="A5" s="67" t="str">
        <x:v>Pass 215 construction compact</x:v>
      </x:c>
      <x:c r="B5" s="67" t="str">
        <x:v>financial source</x:v>
      </x:c>
      <x:c r="C5" s="67" t="str">
        <x:v>root option ceilings and 15 percent FRAME stage</x:v>
      </x:c>
      <x:c r="D5" s="67" t="str">
        <x:v>ceilings are not obligations or payments</x:v>
      </x:c>
    </x:row>
    <x:row r="6">
      <x:c r="A6" s="71" t="str">
        <x:v>Pass 220 representation return</x:v>
      </x:c>
      <x:c r="B6" s="71" t="str">
        <x:v>representation law</x:v>
      </x:c>
      <x:c r="C6" s="71" t="str">
        <x:v>REP-3 issue and REP-4 hold</x:v>
      </x:c>
      <x:c r="D6" s="71" t="str">
        <x:v>imagery is neither evidence nor metrology</x:v>
      </x:c>
    </x:row>
    <x:row r="7">
      <x:c r="A7" s="71" t="str">
        <x:v>Pass 223 corrected rival set</x:v>
      </x:c>
      <x:c r="B7" s="71" t="str">
        <x:v>form register</x:v>
      </x:c>
      <x:c r="C7" s="71" t="str">
        <x:v>eighteen corrected form identities</x:v>
      </x:c>
      <x:c r="D7" s="71" t="str">
        <x:v>no form was selected</x:v>
      </x:c>
    </x:row>
    <x:row r="8">
      <x:c r="A8" s="71" t="str">
        <x:v>Pass 224 dimension atlas</x:v>
      </x:c>
      <x:c r="B8" s="71" t="str">
        <x:v>geometry register</x:v>
      </x:c>
      <x:c r="C8" s="71" t="str">
        <x:v>root-native envelopes and interface zones</x:v>
      </x:c>
      <x:c r="D8" s="71" t="str">
        <x:v>dimensions remain planning hypotheses</x:v>
      </x:c>
    </x:row>
    <x:row r="9">
      <x:c r="A9" s="71" t="str">
        <x:v>Pass 225 selection covenant</x:v>
      </x:c>
      <x:c r="B9" s="71" t="str">
        <x:v>evidence law</x:v>
      </x:c>
      <x:c r="C9" s="71" t="str">
        <x:v>destructive events, domains and nonconversions</x:v>
      </x:c>
      <x:c r="D9" s="71" t="str">
        <x:v>all evidence remains untried</x:v>
      </x:c>
    </x:row>
    <x:row r="10">
      <x:c r="A10" s="74" t="str">
        <x:v>Pass 226 authority decision</x:v>
      </x:c>
      <x:c r="B10" s="74" t="str">
        <x:v>program authority</x:v>
      </x:c>
      <x:c r="C10" s="74" t="str">
        <x:v>parallel learning warrants and FRAME ceilings</x:v>
      </x:c>
      <x:c r="D10" s="74" t="str">
        <x:v>MAKE, BREAK, evidence, selection and production remain held</x:v>
      </x:c>
    </x:row>
  </x:sheetData>
  <x:mergeCells>
    <x:mergeCell ref="A2:D2"/>
  </x:mergeCells>
  <x:pageMargins left="0.7" right="0.7" top="0.75" bottom="0.75" header="0.3" footer="0.3"/>
</x:worksheet>
</file>