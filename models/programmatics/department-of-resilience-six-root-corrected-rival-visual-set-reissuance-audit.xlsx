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Plate Register" sheetId="3" state="visible" r:id="rId5"/>
    <sheet name="Hypothesis Lineage" sheetId="4" state="visible" r:id="rId6"/>
    <sheet name="Correction Orders" sheetId="5" state="visible" r:id="rId7"/>
    <sheet name="View Audit" sheetId="6" state="visible" r:id="rId8"/>
    <sheet name="Finance" sheetId="7" state="visible" r:id="rId9"/>
    <sheet name="Mutations" sheetId="8" state="visible" r:id="rId10"/>
    <sheet name="Audit" sheetId="9" state="visible" r:id="rId11"/>
    <sheet name="Sources &amp; Limit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<sst xmlns="http://schemas.openxmlformats.org/spreadsheetml/2006/main" count="939" uniqueCount="453">
  <si>
    <t xml:space="preserve">Corrected REP-3 v2 issuance audit</t>
  </si>
  <si>
    <t xml:space="preserve">Decision</t>
  </si>
  <si>
    <t xml:space="preserve">Value</t>
  </si>
  <si>
    <t xml:space="preserve">State</t>
  </si>
  <si>
    <t xml:space="preserve">Root</t>
  </si>
  <si>
    <t xml:space="preserve">Revised</t>
  </si>
  <si>
    <t xml:space="preserve">Replaced</t>
  </si>
  <si>
    <t xml:space="preserve">Retained</t>
  </si>
  <si>
    <t xml:space="preserve">plates issued</t>
  </si>
  <si>
    <t xml:space="preserve">ISSUED</t>
  </si>
  <si>
    <t xml:space="preserve">Decision
All six corrected REP-3 v2 plates issue together. Fifteen affected hypotheses visibly implement their inherited revision or replacement order; three retained forms remain traceable. Every v1 raster and failure record is preserved. The plates remain equal-salience, mechanically plural, unselected and evidence-free. No money, bid, production or fleet authority advances.</t>
  </si>
  <si>
    <t xml:space="preserve">ET-A</t>
  </si>
  <si>
    <t xml:space="preserve">hypotheses reissued</t>
  </si>
  <si>
    <t xml:space="preserve">UNSELECTED</t>
  </si>
  <si>
    <t xml:space="preserve">CT-C</t>
  </si>
  <si>
    <t xml:space="preserve">affected hypotheses corrected</t>
  </si>
  <si>
    <t xml:space="preserve">COMPLETE</t>
  </si>
  <si>
    <t xml:space="preserve">HC-A</t>
  </si>
  <si>
    <t xml:space="preserve">prior records preserved</t>
  </si>
  <si>
    <t xml:space="preserve">TRACEABLE</t>
  </si>
  <si>
    <t xml:space="preserve">LF-B</t>
  </si>
  <si>
    <t xml:space="preserve">view-rule decisions</t>
  </si>
  <si>
    <t xml:space="preserve">HU-A</t>
  </si>
  <si>
    <t xml:space="preserve">view-rule passes</t>
  </si>
  <si>
    <t xml:space="preserve">PASS</t>
  </si>
  <si>
    <t xml:space="preserve">RT-B</t>
  </si>
  <si>
    <t xml:space="preserve">view-rule failures</t>
  </si>
  <si>
    <t xml:space="preserve">ZERO</t>
  </si>
  <si>
    <t xml:space="preserve">selected hypotheses</t>
  </si>
  <si>
    <t xml:space="preserve">accepted observations</t>
  </si>
  <si>
    <t xml:space="preserve">branch kills</t>
  </si>
  <si>
    <t xml:space="preserve">incremental ceiling USD B</t>
  </si>
  <si>
    <t xml:space="preserve">accepted USD B</t>
  </si>
  <si>
    <t xml:space="preserve">Corrected REP-3 v2 issuance controls</t>
  </si>
  <si>
    <t xml:space="preserve">Control</t>
  </si>
  <si>
    <t xml:space="preserve">Unit</t>
  </si>
  <si>
    <t xml:space="preserve">Authority</t>
  </si>
  <si>
    <t xml:space="preserve">roots</t>
  </si>
  <si>
    <t xml:space="preserve">count</t>
  </si>
  <si>
    <t xml:space="preserve">Pass 223</t>
  </si>
  <si>
    <t xml:space="preserve">hypotheses</t>
  </si>
  <si>
    <t xml:space="preserve">Pass 220</t>
  </si>
  <si>
    <t xml:space="preserve">affected hypotheses</t>
  </si>
  <si>
    <t xml:space="preserve">Pass 222</t>
  </si>
  <si>
    <t xml:space="preserve">view rules per root</t>
  </si>
  <si>
    <t xml:space="preserve">v2 issue state</t>
  </si>
  <si>
    <t xml:space="preserve">binary</t>
  </si>
  <si>
    <t xml:space="preserve">held</t>
  </si>
  <si>
    <t xml:space="preserve">source empty</t>
  </si>
  <si>
    <t xml:space="preserve">Pass 223 decision</t>
  </si>
  <si>
    <t xml:space="preserve">FRAME share</t>
  </si>
  <si>
    <t xml:space="preserve">share</t>
  </si>
  <si>
    <t xml:space="preserve">Pass 215</t>
  </si>
  <si>
    <t xml:space="preserve">incremental issuance ceiling</t>
  </si>
  <si>
    <t xml:space="preserve">USD B</t>
  </si>
  <si>
    <t xml:space="preserve">no new authority</t>
  </si>
  <si>
    <t xml:space="preserve">Six-plate lineage register</t>
  </si>
  <si>
    <t xml:space="preserve">v1 plate</t>
  </si>
  <si>
    <t xml:space="preserve">v2 plate</t>
  </si>
  <si>
    <t xml:space="preserve">v1 SHA-256</t>
  </si>
  <si>
    <t xml:space="preserve">v2 SHA-256</t>
  </si>
  <si>
    <t xml:space="preserve">v1 retained</t>
  </si>
  <si>
    <t xml:space="preserve">v2 issued</t>
  </si>
  <si>
    <t xml:space="preserve">Lineage state</t>
  </si>
  <si>
    <t xml:space="preserve">et-a-rep3-rival-form-set.png</t>
  </si>
  <si>
    <t xml:space="preserve">et-a-rep3-v2-corrected-rival-form-set.png</t>
  </si>
  <si>
    <t xml:space="preserve">456969da19c41c15857493f3303ae1ef4a47da87142e702f6891d5a304d07d8f</t>
  </si>
  <si>
    <t xml:space="preserve">9defa12378c96471c2fa350a256cabda84310970fe80350c0ed1c367d58415bb</t>
  </si>
  <si>
    <t xml:space="preserve">ct-c-rep3-rival-form-set.png</t>
  </si>
  <si>
    <t xml:space="preserve">ct-c-rep3-v2-corrected-rival-form-set.png</t>
  </si>
  <si>
    <t xml:space="preserve">b4cc2789848e418e1c40eb64e89e3cb14cc1973a8b2ac2bb3d9d0c25dd0c11eb</t>
  </si>
  <si>
    <t xml:space="preserve">ed6676928dc1b869157cb72293ac810a59532ffd348ad00e1bfdc8a034e6213c</t>
  </si>
  <si>
    <t xml:space="preserve">hc-a-rep3-rival-form-set.png</t>
  </si>
  <si>
    <t xml:space="preserve">hc-a-rep3-v2-corrected-rival-form-set.png</t>
  </si>
  <si>
    <t xml:space="preserve">b0d50a284eee7911443e34c1d92019455607bd289a42ced193adcd270e6f7603</t>
  </si>
  <si>
    <t xml:space="preserve">f2047b4c2cb97627bfb1006a290def873841fbf03db4b6659a0b169f9a84cb92</t>
  </si>
  <si>
    <t xml:space="preserve">lf-b-rep3-rival-form-set.png</t>
  </si>
  <si>
    <t xml:space="preserve">lf-b-rep3-v2-corrected-rival-form-set.png</t>
  </si>
  <si>
    <t xml:space="preserve">464fa0bbe191a3ad785f68aa61680e8d573154b190c83633c2be92a5702dc2fe</t>
  </si>
  <si>
    <t xml:space="preserve">5ed319b719201ed01cdac8c51ec70d08b3a2119c72d318fdc36b8a6a346dc034</t>
  </si>
  <si>
    <t xml:space="preserve">hu-a-rep3-rival-form-set.png</t>
  </si>
  <si>
    <t xml:space="preserve">hu-a-rep3-v2-corrected-rival-form-set.png</t>
  </si>
  <si>
    <t xml:space="preserve">ba53efeccf63916ba2142d0899b46ac0f8dcdbbc3f4c73a9f14285c737d466d9</t>
  </si>
  <si>
    <t xml:space="preserve">c5f8af638195d873173cb83420b49f8e2d34d18ce48f504aa51d66c64364ec53</t>
  </si>
  <si>
    <t xml:space="preserve">rt-b-rep3-rival-form-set.png</t>
  </si>
  <si>
    <t xml:space="preserve">rt-b-rep3-v2-corrected-rival-form-set.png</t>
  </si>
  <si>
    <t xml:space="preserve">cb8208456798b395b775061b504e1791edd5dcf3c0bd3686387e502fd1a3558e</t>
  </si>
  <si>
    <t xml:space="preserve">ccf6d74a44ddf91a3a4ddf5b5a7565ac5df6c3555b4ab7766800f4dd9bfc3007</t>
  </si>
  <si>
    <t xml:space="preserve">Eighteen-hypothesis v1-to-v2 lineage</t>
  </si>
  <si>
    <t xml:space="preserve">Hypothesis</t>
  </si>
  <si>
    <t xml:space="preserve">Variant</t>
  </si>
  <si>
    <t xml:space="preserve">v1 form</t>
  </si>
  <si>
    <t xml:space="preserve">Pass 222 disposition</t>
  </si>
  <si>
    <t xml:space="preserve">v2 form</t>
  </si>
  <si>
    <t xml:space="preserve">Required change</t>
  </si>
  <si>
    <t xml:space="preserve">v1 preserved</t>
  </si>
  <si>
    <t xml:space="preserve">change shown</t>
  </si>
  <si>
    <t xml:space="preserve">selected</t>
  </si>
  <si>
    <t xml:space="preserve">evidence</t>
  </si>
  <si>
    <t xml:space="preserve">ID occurrences</t>
  </si>
  <si>
    <t xml:space="preserve">Root occurrences</t>
  </si>
  <si>
    <t xml:space="preserve">Mechanism distinct</t>
  </si>
  <si>
    <t xml:space="preserve">ET-A-A</t>
  </si>
  <si>
    <t xml:space="preserve">A</t>
  </si>
  <si>
    <t xml:space="preserve">Distributed twin-body exchange</t>
  </si>
  <si>
    <t xml:space="preserve">REVISE</t>
  </si>
  <si>
    <t xml:space="preserve">split custody, residual handling, cold-build records and load path by exchange path</t>
  </si>
  <si>
    <t xml:space="preserve">ET-A-B</t>
  </si>
  <si>
    <t xml:space="preserve">B</t>
  </si>
  <si>
    <t xml:space="preserve">Articulated offshore spine</t>
  </si>
  <si>
    <t xml:space="preserve">two separately safeable articulation chains and dual load paths</t>
  </si>
  <si>
    <t xml:space="preserve">ET-A-C</t>
  </si>
  <si>
    <t xml:space="preserve">C</t>
  </si>
  <si>
    <t xml:space="preserve">Semi-submersible exchange lattice</t>
  </si>
  <si>
    <t xml:space="preserve">two wet-to-dry frames; stationkeeping closure remains unresolved</t>
  </si>
  <si>
    <t xml:space="preserve">CT-C-A</t>
  </si>
  <si>
    <t xml:space="preserve">Ground-supported telescoping spine</t>
  </si>
  <si>
    <t xml:space="preserve">Segmented telescoping utility spine</t>
  </si>
  <si>
    <t xml:space="preserve">separately founded reaction and rebuild sections by trunk group</t>
  </si>
  <si>
    <t xml:space="preserve">CT-C-B</t>
  </si>
  <si>
    <t xml:space="preserve">Suspended facade utility belt</t>
  </si>
  <si>
    <t xml:space="preserve">Sectional suspended utility belt</t>
  </si>
  <si>
    <t xml:space="preserve">independent anchor zones, load paths and fail-safe belt breaks</t>
  </si>
  <si>
    <t xml:space="preserve">CT-C-C</t>
  </si>
  <si>
    <t xml:space="preserve">Mast-and-bridge insertion grid</t>
  </si>
  <si>
    <t xml:space="preserve">RETAIN</t>
  </si>
  <si>
    <t xml:space="preserve">retained; separate bridge drops, reaction paths and egress</t>
  </si>
  <si>
    <t xml:space="preserve">HC-A-A</t>
  </si>
  <si>
    <t xml:space="preserve">High-endurance winged array</t>
  </si>
  <si>
    <t xml:space="preserve">WITHDRAW / REPLACE</t>
  </si>
  <si>
    <t xml:space="preserve">Independent winged sector cells</t>
  </si>
  <si>
    <t xml:space="preserve">five separate airframes with local energy, control, custody and recovery</t>
  </si>
  <si>
    <t xml:space="preserve">HC-A-B</t>
  </si>
  <si>
    <t xml:space="preserve">Aerostat intervention train</t>
  </si>
  <si>
    <t xml:space="preserve">Independent aerostat sector cells</t>
  </si>
  <si>
    <t xml:space="preserve">separate tether stations, energy, control, custody and recovery</t>
  </si>
  <si>
    <t xml:space="preserve">HC-A-C</t>
  </si>
  <si>
    <t xml:space="preserve">Distributed rotorborne cells</t>
  </si>
  <si>
    <t xml:space="preserve">retained; local control and no decisive common network</t>
  </si>
  <si>
    <t xml:space="preserve">LF-B-A</t>
  </si>
  <si>
    <t xml:space="preserve">Radial multi-bore source field</t>
  </si>
  <si>
    <t xml:space="preserve">Cellular radial multi-bore field</t>
  </si>
  <si>
    <t xml:space="preserve">loss-defined conversion, product and injection headers</t>
  </si>
  <si>
    <t xml:space="preserve">LF-B-B</t>
  </si>
  <si>
    <t xml:space="preserve">Linear roadless source train</t>
  </si>
  <si>
    <t xml:space="preserve">Dual-basin roadless source train</t>
  </si>
  <si>
    <t xml:space="preserve">two route basins with independent cold access</t>
  </si>
  <si>
    <t xml:space="preserve">LF-B-C</t>
  </si>
  <si>
    <t xml:space="preserve">Nearshore supported source island</t>
  </si>
  <si>
    <t xml:space="preserve">Nearshore caisson source archipelago</t>
  </si>
  <si>
    <t xml:space="preserve">three separately founded caissons with local complete source trains</t>
  </si>
  <si>
    <t xml:space="preserve">HU-A-A</t>
  </si>
  <si>
    <t xml:space="preserve">Distributed clinical courtyards</t>
  </si>
  <si>
    <t xml:space="preserve">Utility-separated clinical courtyards</t>
  </si>
  <si>
    <t xml:space="preserve">six utilities and residual custody distributed across isolated courts</t>
  </si>
  <si>
    <t xml:space="preserve">HU-A-B</t>
  </si>
  <si>
    <t xml:space="preserve">Linear plug-through care spine</t>
  </si>
  <si>
    <t xml:space="preserve">Sectional bypassed care spine</t>
  </si>
  <si>
    <t xml:space="preserve">isolatable spine sections and two independent bypass routes</t>
  </si>
  <si>
    <t xml:space="preserve">HU-A-C</t>
  </si>
  <si>
    <t xml:space="preserve">Stacked clinical metabolism tower</t>
  </si>
  <si>
    <t xml:space="preserve">Paired clinical metabolism towers</t>
  </si>
  <si>
    <t xml:space="preserve">two independent foundations, access systems, utilities and complete care lines</t>
  </si>
  <si>
    <t xml:space="preserve">RT-B-A</t>
  </si>
  <si>
    <t xml:space="preserve">Distributed container process mesh</t>
  </si>
  <si>
    <t xml:space="preserve">retained; node-local ancestry, metrology and signed release</t>
  </si>
  <si>
    <t xml:space="preserve">RT-B-B</t>
  </si>
  <si>
    <t xml:space="preserve">Radial clean-core process hub</t>
  </si>
  <si>
    <t xml:space="preserve">Five-petal independent clean-core ring</t>
  </si>
  <si>
    <t xml:space="preserve">five complete petals; center is nondecisive reference only</t>
  </si>
  <si>
    <t xml:space="preserve">RT-B-C</t>
  </si>
  <si>
    <t xml:space="preserve">Linear mobile process train</t>
  </si>
  <si>
    <t xml:space="preserve">Parallel mobile microfactory trainlets</t>
  </si>
  <si>
    <t xml:space="preserve">five parallel trainlets, each with a complete process and metrology chain</t>
  </si>
  <si>
    <t xml:space="preserve">Fifteen inherited correction orders</t>
  </si>
  <si>
    <t xml:space="preserve">Prior disposition</t>
  </si>
  <si>
    <t xml:space="preserve">Required correction</t>
  </si>
  <si>
    <t xml:space="preserve">v2 implementation</t>
  </si>
  <si>
    <t xml:space="preserve">Verified</t>
  </si>
  <si>
    <t xml:space="preserve">Authority state</t>
  </si>
  <si>
    <t xml:space="preserve">bounded revision: Distributed twin-body exchange</t>
  </si>
  <si>
    <t xml:space="preserve">REPRESENTATION ONLY</t>
  </si>
  <si>
    <t xml:space="preserve">bounded revision: Articulated offshore spine</t>
  </si>
  <si>
    <t xml:space="preserve">bounded revision: Semi-submersible exchange lattice</t>
  </si>
  <si>
    <t xml:space="preserve">bounded revision: Segmented telescoping utility spine</t>
  </si>
  <si>
    <t xml:space="preserve">bounded revision: Sectional suspended utility belt</t>
  </si>
  <si>
    <t xml:space="preserve">replacement form: Independent winged sector cells</t>
  </si>
  <si>
    <t xml:space="preserve">bounded revision: Independent aerostat sector cells</t>
  </si>
  <si>
    <t xml:space="preserve">bounded revision: Cellular radial multi-bore field</t>
  </si>
  <si>
    <t xml:space="preserve">bounded revision: Dual-basin roadless source train</t>
  </si>
  <si>
    <t xml:space="preserve">replacement form: Nearshore caisson source archipelago</t>
  </si>
  <si>
    <t xml:space="preserve">bounded revision: Utility-separated clinical courtyards</t>
  </si>
  <si>
    <t xml:space="preserve">bounded revision: Sectional bypassed care spine</t>
  </si>
  <si>
    <t xml:space="preserve">replacement form: Paired clinical metabolism towers</t>
  </si>
  <si>
    <t xml:space="preserve">replacement form: Five-petal independent clean-core ring</t>
  </si>
  <si>
    <t xml:space="preserve">replacement form: Parallel mobile microfactory trainlets</t>
  </si>
  <si>
    <t xml:space="preserve">Eighty-four root-by-view-rule decisions</t>
  </si>
  <si>
    <t xml:space="preserve">Rule</t>
  </si>
  <si>
    <t xml:space="preserve">Requirement</t>
  </si>
  <si>
    <t xml:space="preserve">Result</t>
  </si>
  <si>
    <t xml:space="preserve">Observation authority</t>
  </si>
  <si>
    <t xml:space="preserve">V001</t>
  </si>
  <si>
    <t xml:space="preserve">VG-01</t>
  </si>
  <si>
    <t xml:space="preserve">all three rivals appear together</t>
  </si>
  <si>
    <t xml:space="preserve">V002</t>
  </si>
  <si>
    <t xml:space="preserve">VG-02</t>
  </si>
  <si>
    <t xml:space="preserve">equal columns, scale, camera, light and detail</t>
  </si>
  <si>
    <t xml:space="preserve">V003</t>
  </si>
  <si>
    <t xml:space="preserve">VG-03</t>
  </si>
  <si>
    <t xml:space="preserve">main view plus plan, elevation or causal section</t>
  </si>
  <si>
    <t xml:space="preserve">V004</t>
  </si>
  <si>
    <t xml:space="preserve">VG-04</t>
  </si>
  <si>
    <t xml:space="preserve">common visual grammar separates candidate and unknown</t>
  </si>
  <si>
    <t xml:space="preserve">V005</t>
  </si>
  <si>
    <t xml:space="preserve">VG-05</t>
  </si>
  <si>
    <t xml:space="preserve">no mark is treated as measured evidence</t>
  </si>
  <si>
    <t xml:space="preserve">V006</t>
  </si>
  <si>
    <t xml:space="preserve">VG-06</t>
  </si>
  <si>
    <t xml:space="preserve">unresolved closure remains ghosted or absent</t>
  </si>
  <si>
    <t xml:space="preserve">V007</t>
  </si>
  <si>
    <t xml:space="preserve">VG-07</t>
  </si>
  <si>
    <t xml:space="preserve">plate is inseparable from root, class, version and state</t>
  </si>
  <si>
    <t xml:space="preserve">V008</t>
  </si>
  <si>
    <t xml:space="preserve">VG-08</t>
  </si>
  <si>
    <t xml:space="preserve">causal paths and isolation boundaries remain visible</t>
  </si>
  <si>
    <t xml:space="preserve">V009</t>
  </si>
  <si>
    <t xml:space="preserve">VG-09</t>
  </si>
  <si>
    <t xml:space="preserve">no livery, brand or promotional palette</t>
  </si>
  <si>
    <t xml:space="preserve">V010</t>
  </si>
  <si>
    <t xml:space="preserve">VG-10</t>
  </si>
  <si>
    <t xml:space="preserve">no named place or dramatic mission scene</t>
  </si>
  <si>
    <t xml:space="preserve">V011</t>
  </si>
  <si>
    <t xml:space="preserve">VG-11</t>
  </si>
  <si>
    <t xml:space="preserve">caption preserves requirement versus observation boundary</t>
  </si>
  <si>
    <t xml:space="preserve">V012</t>
  </si>
  <si>
    <t xml:space="preserve">VG-12</t>
  </si>
  <si>
    <t xml:space="preserve">each panel is one hypothesis, not a fleet quantity</t>
  </si>
  <si>
    <t xml:space="preserve">V013</t>
  </si>
  <si>
    <t xml:space="preserve">VG-13</t>
  </si>
  <si>
    <t xml:space="preserve">plate is prohibited from bid scoring or disposition</t>
  </si>
  <si>
    <t xml:space="preserve">V014</t>
  </si>
  <si>
    <t xml:space="preserve">VG-14</t>
  </si>
  <si>
    <t xml:space="preserve">only causal geometry is represented as resolved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</si>
  <si>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</si>
  <si>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</si>
  <si>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</si>
  <si>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</si>
  <si>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</si>
  <si>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</si>
  <si>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</si>
  <si>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</si>
  <si>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</si>
  <si>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</si>
  <si>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</si>
  <si>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</si>
  <si>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</si>
  <si>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</si>
  <si>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</si>
  <si>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</si>
  <si>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</si>
  <si>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</si>
  <si>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</si>
  <si>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</si>
  <si>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</si>
  <si>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</si>
  <si>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</si>
  <si>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</si>
  <si>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</si>
  <si>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</si>
  <si>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</si>
  <si>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</si>
  <si>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</si>
  <si>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</si>
  <si>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</si>
  <si>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</si>
  <si>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</si>
  <si>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</si>
  <si>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</si>
  <si>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</si>
  <si>
    <t xml:space="preserve">V051</t>
  </si>
  <si>
    <t xml:space="preserve">V052</t>
  </si>
  <si>
    <t xml:space="preserve">V053</t>
  </si>
  <si>
    <t xml:space="preserve">V054</t>
  </si>
  <si>
    <t xml:space="preserve">V055</t>
  </si>
  <si>
    <t xml:space="preserve">V056</t>
  </si>
  <si>
    <t xml:space="preserve">V057</t>
  </si>
  <si>
    <t xml:space="preserve">V058</t>
  </si>
  <si>
    <t xml:space="preserve">V059</t>
  </si>
  <si>
    <t xml:space="preserve">V060</t>
  </si>
  <si>
    <t xml:space="preserve">V061</t>
  </si>
  <si>
    <t xml:space="preserve">V062</t>
  </si>
  <si>
    <t xml:space="preserve">V063</t>
  </si>
  <si>
    <t xml:space="preserve">V064</t>
  </si>
  <si>
    <t xml:space="preserve">V065</t>
  </si>
  <si>
    <t xml:space="preserve">V066</t>
  </si>
  <si>
    <t xml:space="preserve">V067</t>
  </si>
  <si>
    <t xml:space="preserve">V068</t>
  </si>
  <si>
    <t xml:space="preserve">V069</t>
  </si>
  <si>
    <t xml:space="preserve">V070</t>
  </si>
  <si>
    <t xml:space="preserve">V071</t>
  </si>
  <si>
    <t xml:space="preserve">V072</t>
  </si>
  <si>
    <t xml:space="preserve">V073</t>
  </si>
  <si>
    <t xml:space="preserve">V074</t>
  </si>
  <si>
    <t xml:space="preserve">V075</t>
  </si>
  <si>
    <t xml:space="preserve">V076</t>
  </si>
  <si>
    <t xml:space="preserve">V077</t>
  </si>
  <si>
    <t xml:space="preserve">V078</t>
  </si>
  <si>
    <t xml:space="preserve">V079</t>
  </si>
  <si>
    <t xml:space="preserve">V080</t>
  </si>
  <si>
    <t xml:space="preserve">V081</t>
  </si>
  <si>
    <t xml:space="preserve">V082</t>
  </si>
  <si>
    <t xml:space="preserve">V083</t>
  </si>
  <si>
    <t xml:space="preserve">V084</t>
  </si>
  <si>
    <t xml:space="preserve">Corrected issuance adds no program ceiling</t>
  </si>
  <si>
    <t xml:space="preserve">System</t>
  </si>
  <si>
    <t xml:space="preserve">Article</t>
  </si>
  <si>
    <t xml:space="preserve">Option ceiling USD B</t>
  </si>
  <si>
    <t xml:space="preserve">Maximum FRAME USD B</t>
  </si>
  <si>
    <t xml:space="preserve">Incremental issuance USD B</t>
  </si>
  <si>
    <t xml:space="preserve">Accepted USD B</t>
  </si>
  <si>
    <t xml:space="preserve">Paid USD B</t>
  </si>
  <si>
    <t xml:space="preserve">MS-ET</t>
  </si>
  <si>
    <t xml:space="preserve">Pelagic exchange cell</t>
  </si>
  <si>
    <t xml:space="preserve">MS-CT</t>
  </si>
  <si>
    <t xml:space="preserve">Occupied-building utility-spine sector</t>
  </si>
  <si>
    <t xml:space="preserve">MS-HC</t>
  </si>
  <si>
    <t xml:space="preserve">Atmospheric intervention cell</t>
  </si>
  <si>
    <t xml:space="preserve">MS-LF</t>
  </si>
  <si>
    <t xml:space="preserve">Geothermal source position</t>
  </si>
  <si>
    <t xml:space="preserve">MS-HU</t>
  </si>
  <si>
    <t xml:space="preserve">Complete clinical island</t>
  </si>
  <si>
    <t xml:space="preserve">MS-RT</t>
  </si>
  <si>
    <t xml:space="preserve">Disconnected microfactory mesh</t>
  </si>
  <si>
    <t xml:space="preserve">TOTAL</t>
  </si>
  <si>
    <t xml:space="preserve">six roots</t>
  </si>
  <si>
    <t xml:space="preserve">corrected visual issuance</t>
  </si>
  <si>
    <t xml:space="preserve">Mutation test register</t>
  </si>
  <si>
    <t xml:space="preserve">Mutation</t>
  </si>
  <si>
    <t xml:space="preserve">Controlled change</t>
  </si>
  <si>
    <t xml:space="preserve">Expected detection</t>
  </si>
  <si>
    <t xml:space="preserve">Detected</t>
  </si>
  <si>
    <t xml:space="preserve">Restored</t>
  </si>
  <si>
    <t xml:space="preserve">M01</t>
  </si>
  <si>
    <t xml:space="preserve">blank one v2 hash</t>
  </si>
  <si>
    <t xml:space="preserve">plate lineage fails</t>
  </si>
  <si>
    <t xml:space="preserve">M02</t>
  </si>
  <si>
    <t xml:space="preserve">erase one hypothesis id</t>
  </si>
  <si>
    <t xml:space="preserve">hypothesis count fails</t>
  </si>
  <si>
    <t xml:space="preserve">M03</t>
  </si>
  <si>
    <t xml:space="preserve">set one correction unverified</t>
  </si>
  <si>
    <t xml:space="preserve">correction count fails</t>
  </si>
  <si>
    <t xml:space="preserve">M04</t>
  </si>
  <si>
    <t xml:space="preserve">set one view result to FAIL</t>
  </si>
  <si>
    <t xml:space="preserve">view pass/fail audits change</t>
  </si>
  <si>
    <t xml:space="preserve">M05</t>
  </si>
  <si>
    <t xml:space="preserve">enter one selected hypothesis</t>
  </si>
  <si>
    <t xml:space="preserve">zero-selection audit fails</t>
  </si>
  <si>
    <t xml:space="preserve">M06</t>
  </si>
  <si>
    <t xml:space="preserve">enter one accepted observation</t>
  </si>
  <si>
    <t xml:space="preserve">zero-evidence audit fails</t>
  </si>
  <si>
    <t xml:space="preserve">M07</t>
  </si>
  <si>
    <t xml:space="preserve">enter one branch kill</t>
  </si>
  <si>
    <t xml:space="preserve">branch-kill audit fails</t>
  </si>
  <si>
    <t xml:space="preserve">M08</t>
  </si>
  <si>
    <t xml:space="preserve">raise FRAME share</t>
  </si>
  <si>
    <t xml:space="preserve">finance conservation fails</t>
  </si>
  <si>
    <t xml:space="preserve">M09</t>
  </si>
  <si>
    <t xml:space="preserve">enter incremental issuance ceiling</t>
  </si>
  <si>
    <t xml:space="preserve">finance hold fails</t>
  </si>
  <si>
    <t xml:space="preserve">M10</t>
  </si>
  <si>
    <t xml:space="preserve">enter accepted amount</t>
  </si>
  <si>
    <t xml:space="preserve">M11</t>
  </si>
  <si>
    <t xml:space="preserve">mark one v1 record absent</t>
  </si>
  <si>
    <t xml:space="preserve">lineage preservation fails</t>
  </si>
  <si>
    <t xml:space="preserve">M12</t>
  </si>
  <si>
    <t xml:space="preserve">duplicate one root assignment</t>
  </si>
  <si>
    <t xml:space="preserve">three-per-root audit fails</t>
  </si>
  <si>
    <t xml:space="preserve">Independent workbook checks</t>
  </si>
  <si>
    <t xml:space="preserve">Audit</t>
  </si>
  <si>
    <t xml:space="preserve">Check</t>
  </si>
  <si>
    <t xml:space="preserve">Actual</t>
  </si>
  <si>
    <t xml:space="preserve">Expected</t>
  </si>
  <si>
    <t xml:space="preserve">A01</t>
  </si>
  <si>
    <t xml:space="preserve">plate count</t>
  </si>
  <si>
    <t xml:space="preserve">A02</t>
  </si>
  <si>
    <t xml:space="preserve">plate lineage pass</t>
  </si>
  <si>
    <t xml:space="preserve">A03</t>
  </si>
  <si>
    <t xml:space="preserve">hypothesis count</t>
  </si>
  <si>
    <t xml:space="preserve">A04</t>
  </si>
  <si>
    <t xml:space="preserve">unique hypothesis ids</t>
  </si>
  <si>
    <t xml:space="preserve">A05</t>
  </si>
  <si>
    <t xml:space="preserve">complete roots</t>
  </si>
  <si>
    <t xml:space="preserve">A06</t>
  </si>
  <si>
    <t xml:space="preserve">reissued hypotheses</t>
  </si>
  <si>
    <t xml:space="preserve">A07</t>
  </si>
  <si>
    <t xml:space="preserve">A08</t>
  </si>
  <si>
    <t xml:space="preserve">corrections verified</t>
  </si>
  <si>
    <t xml:space="preserve">A09</t>
  </si>
  <si>
    <t xml:space="preserve">view decisions</t>
  </si>
  <si>
    <t xml:space="preserve">A10</t>
  </si>
  <si>
    <t xml:space="preserve">view passes</t>
  </si>
  <si>
    <t xml:space="preserve">A11</t>
  </si>
  <si>
    <t xml:space="preserve">view failures</t>
  </si>
  <si>
    <t xml:space="preserve">A12</t>
  </si>
  <si>
    <t xml:space="preserve">v1 records preserved</t>
  </si>
  <si>
    <t xml:space="preserve">A13</t>
  </si>
  <si>
    <t xml:space="preserve">v2 plates issued</t>
  </si>
  <si>
    <t xml:space="preserve">A14</t>
  </si>
  <si>
    <t xml:space="preserve">A15</t>
  </si>
  <si>
    <t xml:space="preserve">A16</t>
  </si>
  <si>
    <t xml:space="preserve">A17</t>
  </si>
  <si>
    <t xml:space="preserve">option ceiling conservation</t>
  </si>
  <si>
    <t xml:space="preserve">A18</t>
  </si>
  <si>
    <t xml:space="preserve">FRAME ceiling conservation</t>
  </si>
  <si>
    <t xml:space="preserve">A19</t>
  </si>
  <si>
    <t xml:space="preserve">incremental ceiling</t>
  </si>
  <si>
    <t xml:space="preserve">A20</t>
  </si>
  <si>
    <t xml:space="preserve">accepted amount</t>
  </si>
  <si>
    <t xml:space="preserve">A21</t>
  </si>
  <si>
    <t xml:space="preserve">paid amount</t>
  </si>
  <si>
    <t xml:space="preserve">A22</t>
  </si>
  <si>
    <t xml:space="preserve">finance states held</t>
  </si>
  <si>
    <t xml:space="preserve">A23</t>
  </si>
  <si>
    <t xml:space="preserve">mutations detected</t>
  </si>
  <si>
    <t xml:space="preserve">A24</t>
  </si>
  <si>
    <t xml:space="preserve">mutations restored</t>
  </si>
  <si>
    <t xml:space="preserve">A25</t>
  </si>
  <si>
    <t xml:space="preserve">root disposition total</t>
  </si>
  <si>
    <t xml:space="preserve">Sources and limits</t>
  </si>
  <si>
    <t xml:space="preserve">Source</t>
  </si>
  <si>
    <t xml:space="preserve">Role</t>
  </si>
  <si>
    <t xml:space="preserve">Controlled use</t>
  </si>
  <si>
    <t xml:space="preserve">Limit</t>
  </si>
  <si>
    <t xml:space="preserve">Pass 220 representation boundary</t>
  </si>
  <si>
    <t xml:space="preserve">authority</t>
  </si>
  <si>
    <t xml:space="preserve">REP-3 class, view rules and nonconversion law</t>
  </si>
  <si>
    <t xml:space="preserve">REP-4 through REP-7 remain held</t>
  </si>
  <si>
    <t xml:space="preserve">Pass 221 v1 issuance</t>
  </si>
  <si>
    <t xml:space="preserve">lineage source</t>
  </si>
  <si>
    <t xml:space="preserve">six v1 plate records and hashes</t>
  </si>
  <si>
    <t xml:space="preserve">generated marks are not metrology</t>
  </si>
  <si>
    <t xml:space="preserve">Pass 222 contradiction audit</t>
  </si>
  <si>
    <t xml:space="preserve">decision source</t>
  </si>
  <si>
    <t xml:space="preserve">fifteen orders and five replacement specifications</t>
  </si>
  <si>
    <t xml:space="preserve">ordinal visual judgment, not engineering evidence</t>
  </si>
  <si>
    <t xml:space="preserve">Pass 223 v2 issuance</t>
  </si>
  <si>
    <t xml:space="preserve">representation source</t>
  </si>
  <si>
    <t xml:space="preserve">six corrected plates and explicit lineage</t>
  </si>
  <si>
    <t xml:space="preserve">does not select or validate a form</t>
  </si>
  <si>
    <t xml:space="preserve">Pass 215 finance compact</t>
  </si>
  <si>
    <t xml:space="preserve">finance source</t>
  </si>
  <si>
    <t xml:space="preserve">option ceilings and FRAME share</t>
  </si>
  <si>
    <t xml:space="preserve">ceilings are neither awards nor payments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</si>
</sst>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"/>
    <numFmt numFmtId="168" formatCode="0.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263746"/>
      <name val="Arial"/>
      <family val="0"/>
      <charset val="1"/>
    </font>
    <font>
      <sz val="10"/>
      <color rgb="FF263746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263746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156082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8E1EB"/>
      </bottom>
      <diagonal/>
    </border>
    <border diagonalUp="false" diagonalDown="false">
      <left/>
      <right/>
      <top style="thin">
        <color rgb="FFD8E1EB"/>
      </top>
      <bottom style="thin">
        <color rgb="FFD8E1EB"/>
      </bottom>
      <diagonal/>
    </border>
    <border diagonalUp="false" diagonalDown="false">
      <left/>
      <right/>
      <top style="thin">
        <color rgb="FFD8E1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D8E1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6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v2 disposition carried by root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"Revised"</c:f>
              <c:strCache>
                <c:ptCount val="1"/>
                <c:pt idx="0">
                  <c:v>Revised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Summary!$M$5:$M$10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Summary!$N$5:$N$10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"Replaced"</c:f>
              <c:strCache>
                <c:ptCount val="1"/>
                <c:pt idx="0">
                  <c:v>Replaced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Summary!$M$5:$M$10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Summary!$O$5:$O$10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"Retained"</c:f>
              <c:strCache>
                <c:ptCount val="1"/>
                <c:pt idx="0">
                  <c:v>Retained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Summary!$M$5:$M$10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Summary!$P$5:$P$10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81891363"/>
        <c:axId val="28755415"/>
      </c:barChart>
      <c:catAx>
        <c:axId val="818913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8755415"/>
        <c:crosses val="autoZero"/>
        <c:auto val="1"/>
        <c:lblAlgn val="ctr"/>
        <c:lblOffset val="100"/>
        <c:noMultiLvlLbl val="0"/>
      </c:catAx>
      <c:valAx>
        <c:axId val="287554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189136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11</xdr:row>
      <xdr:rowOff>0</xdr:rowOff>
    </xdr:from>
    <xdr:to>
      <xdr:col>17</xdr:col>
      <xdr:colOff>281880</xdr:colOff>
      <xdr:row>26</xdr:row>
      <xdr:rowOff>190080</xdr:rowOff>
    </xdr:to>
    <xdr:graphicFrame>
      <xdr:nvGraphicFramePr>
        <xdr:cNvPr id="1" name="Chart"/>
        <xdr:cNvGraphicFramePr/>
      </xdr:nvGraphicFramePr>
      <xdr:xfrm>
        <a:off x="12546360" y="2260440"/>
        <a:ext cx="48632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10" min="5" style="0" width="16"/>
    <col collapsed="false" customWidth="true" hidden="false" outlineLevel="0" max="12" min="11" style="0" width="4"/>
    <col collapsed="false" customWidth="true" hidden="false" outlineLevel="0" max="13" min="13" style="0" width="15"/>
    <col collapsed="false" customWidth="true" hidden="false" outlineLevel="0" max="16" min="14" style="0" width="14"/>
    <col collapsed="false" customWidth="true" hidden="false" outlineLevel="0" max="18" min="17" style="0" width="4"/>
  </cols>
  <sheetData>
    <row r="2" customFormat="false" ht="1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28" hidden="false" customHeight="true" outlineLevel="0" collapsed="false">
      <c r="A4" s="3" t="s">
        <v>1</v>
      </c>
      <c r="B4" s="4" t="s">
        <v>2</v>
      </c>
      <c r="C4" s="5" t="s">
        <v>3</v>
      </c>
      <c r="D4" s="6"/>
      <c r="E4" s="6"/>
      <c r="F4" s="6"/>
      <c r="G4" s="6"/>
      <c r="H4" s="6"/>
      <c r="I4" s="6"/>
      <c r="J4" s="6"/>
      <c r="K4" s="6"/>
      <c r="L4" s="6"/>
      <c r="M4" s="3" t="s">
        <v>4</v>
      </c>
      <c r="N4" s="4" t="s">
        <v>5</v>
      </c>
      <c r="O4" s="4" t="s">
        <v>6</v>
      </c>
      <c r="P4" s="5" t="s">
        <v>7</v>
      </c>
      <c r="Q4" s="6"/>
      <c r="R4" s="6"/>
    </row>
    <row r="5" customFormat="false" ht="15" hidden="false" customHeight="true" outlineLevel="0" collapsed="false">
      <c r="A5" s="7" t="s">
        <v>8</v>
      </c>
      <c r="B5" s="8" t="n">
        <f aca="false">COUNTIF('Plate Register'!J5:J10,1)</f>
        <v>6</v>
      </c>
      <c r="C5" s="7" t="s">
        <v>9</v>
      </c>
      <c r="D5" s="6"/>
      <c r="E5" s="9" t="s">
        <v>10</v>
      </c>
      <c r="F5" s="9"/>
      <c r="G5" s="9"/>
      <c r="H5" s="9"/>
      <c r="I5" s="9"/>
      <c r="J5" s="9"/>
      <c r="K5" s="6"/>
      <c r="L5" s="6"/>
      <c r="M5" s="6" t="s">
        <v>11</v>
      </c>
      <c r="N5" s="6" t="n">
        <v>3</v>
      </c>
      <c r="O5" s="6" t="n">
        <v>0</v>
      </c>
      <c r="P5" s="6" t="n">
        <v>0</v>
      </c>
      <c r="Q5" s="6"/>
      <c r="R5" s="6"/>
    </row>
    <row r="6" customFormat="false" ht="15" hidden="false" customHeight="false" outlineLevel="0" collapsed="false">
      <c r="A6" s="10" t="s">
        <v>12</v>
      </c>
      <c r="B6" s="11" t="n">
        <f aca="false">COUNTIF('Hypothesis Lineage'!J5:J22,1)</f>
        <v>18</v>
      </c>
      <c r="C6" s="10" t="s">
        <v>13</v>
      </c>
      <c r="D6" s="6"/>
      <c r="E6" s="9"/>
      <c r="F6" s="9"/>
      <c r="G6" s="9"/>
      <c r="H6" s="9"/>
      <c r="I6" s="9"/>
      <c r="J6" s="9"/>
      <c r="K6" s="6"/>
      <c r="L6" s="6"/>
      <c r="M6" s="6" t="s">
        <v>14</v>
      </c>
      <c r="N6" s="6" t="n">
        <v>2</v>
      </c>
      <c r="O6" s="6" t="n">
        <v>0</v>
      </c>
      <c r="P6" s="6" t="n">
        <v>1</v>
      </c>
      <c r="Q6" s="6"/>
      <c r="R6" s="6"/>
    </row>
    <row r="7" customFormat="false" ht="15" hidden="false" customHeight="false" outlineLevel="0" collapsed="false">
      <c r="A7" s="10" t="s">
        <v>15</v>
      </c>
      <c r="B7" s="11" t="n">
        <f aca="false">COUNTIF('Correction Orders'!F5:F19,1)</f>
        <v>15</v>
      </c>
      <c r="C7" s="10" t="s">
        <v>16</v>
      </c>
      <c r="D7" s="6"/>
      <c r="E7" s="9"/>
      <c r="F7" s="9"/>
      <c r="G7" s="9"/>
      <c r="H7" s="9"/>
      <c r="I7" s="9"/>
      <c r="J7" s="9"/>
      <c r="K7" s="6"/>
      <c r="L7" s="6"/>
      <c r="M7" s="6" t="s">
        <v>17</v>
      </c>
      <c r="N7" s="6" t="n">
        <v>1</v>
      </c>
      <c r="O7" s="6" t="n">
        <v>1</v>
      </c>
      <c r="P7" s="6" t="n">
        <v>1</v>
      </c>
      <c r="Q7" s="6"/>
      <c r="R7" s="6"/>
    </row>
    <row r="8" customFormat="false" ht="15" hidden="false" customHeight="false" outlineLevel="0" collapsed="false">
      <c r="A8" s="10" t="s">
        <v>18</v>
      </c>
      <c r="B8" s="11" t="n">
        <f aca="false">COUNTIF('Plate Register'!I5:I10,1)</f>
        <v>6</v>
      </c>
      <c r="C8" s="10" t="s">
        <v>19</v>
      </c>
      <c r="D8" s="6"/>
      <c r="E8" s="9"/>
      <c r="F8" s="9"/>
      <c r="G8" s="9"/>
      <c r="H8" s="9"/>
      <c r="I8" s="9"/>
      <c r="J8" s="9"/>
      <c r="K8" s="6"/>
      <c r="L8" s="6"/>
      <c r="M8" s="6" t="s">
        <v>20</v>
      </c>
      <c r="N8" s="6" t="n">
        <v>2</v>
      </c>
      <c r="O8" s="6" t="n">
        <v>1</v>
      </c>
      <c r="P8" s="6" t="n">
        <v>0</v>
      </c>
      <c r="Q8" s="6"/>
      <c r="R8" s="6"/>
    </row>
    <row r="9" customFormat="false" ht="15" hidden="false" customHeight="false" outlineLevel="0" collapsed="false">
      <c r="A9" s="10" t="s">
        <v>21</v>
      </c>
      <c r="B9" s="11" t="n">
        <f aca="false">COUNTA('View Audit'!A5:A88)</f>
        <v>84</v>
      </c>
      <c r="C9" s="10" t="s">
        <v>16</v>
      </c>
      <c r="D9" s="6"/>
      <c r="E9" s="9"/>
      <c r="F9" s="9"/>
      <c r="G9" s="9"/>
      <c r="H9" s="9"/>
      <c r="I9" s="9"/>
      <c r="J9" s="9"/>
      <c r="K9" s="6"/>
      <c r="L9" s="6"/>
      <c r="M9" s="6" t="s">
        <v>22</v>
      </c>
      <c r="N9" s="6" t="n">
        <v>2</v>
      </c>
      <c r="O9" s="6" t="n">
        <v>1</v>
      </c>
      <c r="P9" s="6" t="n">
        <v>0</v>
      </c>
      <c r="Q9" s="6"/>
      <c r="R9" s="6"/>
    </row>
    <row r="10" customFormat="false" ht="15" hidden="false" customHeight="false" outlineLevel="0" collapsed="false">
      <c r="A10" s="10" t="s">
        <v>23</v>
      </c>
      <c r="B10" s="11" t="n">
        <f aca="false">COUNTIF('View Audit'!E5:E88,"PASS")</f>
        <v>84</v>
      </c>
      <c r="C10" s="10" t="s">
        <v>24</v>
      </c>
      <c r="D10" s="6"/>
      <c r="E10" s="9"/>
      <c r="F10" s="9"/>
      <c r="G10" s="9"/>
      <c r="H10" s="9"/>
      <c r="I10" s="9"/>
      <c r="J10" s="9"/>
      <c r="K10" s="6"/>
      <c r="L10" s="6"/>
      <c r="M10" s="6" t="s">
        <v>25</v>
      </c>
      <c r="N10" s="6" t="n">
        <v>0</v>
      </c>
      <c r="O10" s="6" t="n">
        <v>2</v>
      </c>
      <c r="P10" s="6" t="n">
        <v>1</v>
      </c>
      <c r="Q10" s="6"/>
      <c r="R10" s="6"/>
    </row>
    <row r="11" customFormat="false" ht="15" hidden="false" customHeight="false" outlineLevel="0" collapsed="false">
      <c r="A11" s="10" t="s">
        <v>26</v>
      </c>
      <c r="B11" s="11" t="n">
        <f aca="false">COUNTIF('View Audit'!E5:E88,"FAIL")</f>
        <v>0</v>
      </c>
      <c r="C11" s="10" t="s">
        <v>27</v>
      </c>
      <c r="D11" s="6"/>
      <c r="E11" s="9"/>
      <c r="F11" s="9"/>
      <c r="G11" s="9"/>
      <c r="H11" s="9"/>
      <c r="I11" s="9"/>
      <c r="J11" s="9"/>
      <c r="K11" s="6"/>
      <c r="L11" s="6"/>
      <c r="M11" s="6"/>
      <c r="N11" s="6"/>
      <c r="O11" s="6"/>
      <c r="P11" s="6"/>
      <c r="Q11" s="6"/>
      <c r="R11" s="6"/>
    </row>
    <row r="12" customFormat="false" ht="15" hidden="false" customHeight="false" outlineLevel="0" collapsed="false">
      <c r="A12" s="10" t="s">
        <v>28</v>
      </c>
      <c r="B12" s="11" t="n">
        <f aca="false">SUM('Hypothesis Lineage'!K5:K22)</f>
        <v>0</v>
      </c>
      <c r="C12" s="10" t="s">
        <v>27</v>
      </c>
      <c r="D12" s="6"/>
      <c r="E12" s="9"/>
      <c r="F12" s="9"/>
      <c r="G12" s="9"/>
      <c r="H12" s="9"/>
      <c r="I12" s="9"/>
      <c r="J12" s="9"/>
      <c r="K12" s="6"/>
      <c r="L12" s="6"/>
      <c r="M12" s="6"/>
      <c r="N12" s="6"/>
      <c r="O12" s="6"/>
      <c r="P12" s="6"/>
      <c r="Q12" s="6"/>
      <c r="R12" s="6"/>
    </row>
    <row r="13" customFormat="false" ht="15" hidden="false" customHeight="false" outlineLevel="0" collapsed="false">
      <c r="A13" s="10" t="s">
        <v>29</v>
      </c>
      <c r="B13" s="11" t="n">
        <f aca="false">SUM('Hypothesis Lineage'!L5:L22)</f>
        <v>0</v>
      </c>
      <c r="C13" s="10" t="s">
        <v>27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15" hidden="false" customHeight="false" outlineLevel="0" collapsed="false">
      <c r="A14" s="10" t="s">
        <v>30</v>
      </c>
      <c r="B14" s="11" t="n">
        <f aca="false">Controls!B13</f>
        <v>0</v>
      </c>
      <c r="C14" s="10" t="s">
        <v>27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false" outlineLevel="0" collapsed="false">
      <c r="A15" s="10" t="s">
        <v>31</v>
      </c>
      <c r="B15" s="12" t="n">
        <f aca="false">Finance!G11</f>
        <v>0</v>
      </c>
      <c r="C15" s="10" t="s">
        <v>27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customFormat="false" ht="15" hidden="false" customHeight="false" outlineLevel="0" collapsed="false">
      <c r="A16" s="13" t="s">
        <v>32</v>
      </c>
      <c r="B16" s="14" t="n">
        <f aca="false">Finance!H11</f>
        <v>0</v>
      </c>
      <c r="C16" s="13" t="s">
        <v>27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 count="2">
    <mergeCell ref="A2:R2"/>
    <mergeCell ref="E5:J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42"/>
  </cols>
  <sheetData>
    <row r="2" customFormat="false" ht="15" hidden="false" customHeight="false" outlineLevel="0" collapsed="false">
      <c r="A2" s="1" t="s">
        <v>33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/>
      <c r="B4" s="6"/>
      <c r="C4" s="6"/>
      <c r="D4" s="6"/>
    </row>
    <row r="5" customFormat="false" ht="28" hidden="false" customHeight="true" outlineLevel="0" collapsed="false">
      <c r="A5" s="3" t="s">
        <v>34</v>
      </c>
      <c r="B5" s="4" t="s">
        <v>2</v>
      </c>
      <c r="C5" s="4" t="s">
        <v>35</v>
      </c>
      <c r="D5" s="5" t="s">
        <v>36</v>
      </c>
    </row>
    <row r="6" customFormat="false" ht="15" hidden="false" customHeight="false" outlineLevel="0" collapsed="false">
      <c r="A6" s="7" t="s">
        <v>37</v>
      </c>
      <c r="B6" s="8" t="n">
        <v>6</v>
      </c>
      <c r="C6" s="7" t="s">
        <v>38</v>
      </c>
      <c r="D6" s="7" t="s">
        <v>39</v>
      </c>
    </row>
    <row r="7" customFormat="false" ht="15" hidden="false" customHeight="false" outlineLevel="0" collapsed="false">
      <c r="A7" s="10" t="s">
        <v>40</v>
      </c>
      <c r="B7" s="11" t="n">
        <v>18</v>
      </c>
      <c r="C7" s="10" t="s">
        <v>38</v>
      </c>
      <c r="D7" s="10" t="s">
        <v>41</v>
      </c>
    </row>
    <row r="8" customFormat="false" ht="15" hidden="false" customHeight="false" outlineLevel="0" collapsed="false">
      <c r="A8" s="10" t="s">
        <v>42</v>
      </c>
      <c r="B8" s="11" t="n">
        <v>15</v>
      </c>
      <c r="C8" s="10" t="s">
        <v>38</v>
      </c>
      <c r="D8" s="10" t="s">
        <v>43</v>
      </c>
    </row>
    <row r="9" customFormat="false" ht="15" hidden="false" customHeight="false" outlineLevel="0" collapsed="false">
      <c r="A9" s="10" t="s">
        <v>44</v>
      </c>
      <c r="B9" s="11" t="n">
        <v>14</v>
      </c>
      <c r="C9" s="10" t="s">
        <v>38</v>
      </c>
      <c r="D9" s="10" t="s">
        <v>41</v>
      </c>
    </row>
    <row r="10" customFormat="false" ht="15" hidden="false" customHeight="false" outlineLevel="0" collapsed="false">
      <c r="A10" s="10" t="s">
        <v>45</v>
      </c>
      <c r="B10" s="11" t="n">
        <v>1</v>
      </c>
      <c r="C10" s="10" t="s">
        <v>46</v>
      </c>
      <c r="D10" s="10" t="s">
        <v>39</v>
      </c>
    </row>
    <row r="11" customFormat="false" ht="15" hidden="false" customHeight="false" outlineLevel="0" collapsed="false">
      <c r="A11" s="10" t="s">
        <v>28</v>
      </c>
      <c r="B11" s="15" t="n">
        <v>0</v>
      </c>
      <c r="C11" s="10" t="s">
        <v>38</v>
      </c>
      <c r="D11" s="10" t="s">
        <v>47</v>
      </c>
    </row>
    <row r="12" customFormat="false" ht="15" hidden="false" customHeight="false" outlineLevel="0" collapsed="false">
      <c r="A12" s="10" t="s">
        <v>29</v>
      </c>
      <c r="B12" s="15" t="n">
        <v>0</v>
      </c>
      <c r="C12" s="10" t="s">
        <v>38</v>
      </c>
      <c r="D12" s="10" t="s">
        <v>48</v>
      </c>
    </row>
    <row r="13" customFormat="false" ht="15" hidden="false" customHeight="false" outlineLevel="0" collapsed="false">
      <c r="A13" s="10" t="s">
        <v>30</v>
      </c>
      <c r="B13" s="15" t="n">
        <v>0</v>
      </c>
      <c r="C13" s="10" t="s">
        <v>38</v>
      </c>
      <c r="D13" s="10" t="s">
        <v>49</v>
      </c>
    </row>
    <row r="14" customFormat="false" ht="15" hidden="false" customHeight="false" outlineLevel="0" collapsed="false">
      <c r="A14" s="10" t="s">
        <v>50</v>
      </c>
      <c r="B14" s="16" t="n">
        <v>0.15</v>
      </c>
      <c r="C14" s="10" t="s">
        <v>51</v>
      </c>
      <c r="D14" s="10" t="s">
        <v>52</v>
      </c>
    </row>
    <row r="15" customFormat="false" ht="15" hidden="false" customHeight="false" outlineLevel="0" collapsed="false">
      <c r="A15" s="13" t="s">
        <v>53</v>
      </c>
      <c r="B15" s="14" t="n">
        <v>0</v>
      </c>
      <c r="C15" s="13" t="s">
        <v>54</v>
      </c>
      <c r="D15" s="13" t="s">
        <v>55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7"/>
    <col collapsed="false" customWidth="true" hidden="false" outlineLevel="0" max="3" min="3" style="0" width="46"/>
    <col collapsed="false" customWidth="true" hidden="false" outlineLevel="0" max="5" min="4" style="0" width="68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7"/>
  </cols>
  <sheetData>
    <row r="2" customFormat="false" ht="15" hidden="false" customHeight="false" outlineLevel="0" collapsed="false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8" hidden="false" customHeight="true" outlineLevel="0" collapsed="false">
      <c r="A4" s="3" t="s">
        <v>4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5</v>
      </c>
      <c r="G4" s="4" t="s">
        <v>6</v>
      </c>
      <c r="H4" s="4" t="s">
        <v>7</v>
      </c>
      <c r="I4" s="4" t="s">
        <v>61</v>
      </c>
      <c r="J4" s="4" t="s">
        <v>62</v>
      </c>
      <c r="K4" s="5" t="s">
        <v>63</v>
      </c>
    </row>
    <row r="5" customFormat="false" ht="15" hidden="false" customHeight="false" outlineLevel="0" collapsed="false">
      <c r="A5" s="7" t="s">
        <v>11</v>
      </c>
      <c r="B5" s="7" t="s">
        <v>64</v>
      </c>
      <c r="C5" s="7" t="s">
        <v>65</v>
      </c>
      <c r="D5" s="7" t="s">
        <v>66</v>
      </c>
      <c r="E5" s="7" t="s">
        <v>67</v>
      </c>
      <c r="F5" s="8" t="n">
        <v>3</v>
      </c>
      <c r="G5" s="8" t="n">
        <v>0</v>
      </c>
      <c r="H5" s="8" t="n">
        <v>0</v>
      </c>
      <c r="I5" s="8" t="n">
        <v>1</v>
      </c>
      <c r="J5" s="8" t="n">
        <v>1</v>
      </c>
      <c r="K5" s="7" t="str">
        <f aca="false">IF(AND(I5=1,J5=1,D5&lt;&gt;"",E5&lt;&gt;"",D5&lt;&gt;E5),"PASS","FAIL")</f>
        <v>PASS</v>
      </c>
    </row>
    <row r="6" customFormat="false" ht="15" hidden="false" customHeight="false" outlineLevel="0" collapsed="false">
      <c r="A6" s="10" t="s">
        <v>14</v>
      </c>
      <c r="B6" s="10" t="s">
        <v>68</v>
      </c>
      <c r="C6" s="10" t="s">
        <v>69</v>
      </c>
      <c r="D6" s="10" t="s">
        <v>70</v>
      </c>
      <c r="E6" s="10" t="s">
        <v>71</v>
      </c>
      <c r="F6" s="11" t="n">
        <v>2</v>
      </c>
      <c r="G6" s="11" t="n">
        <v>0</v>
      </c>
      <c r="H6" s="11" t="n">
        <v>1</v>
      </c>
      <c r="I6" s="11" t="n">
        <v>1</v>
      </c>
      <c r="J6" s="11" t="n">
        <v>1</v>
      </c>
      <c r="K6" s="10" t="str">
        <f aca="false">IF(AND(I6=1,J6=1,D6&lt;&gt;"",E6&lt;&gt;"",D6&lt;&gt;E6),"PASS","FAIL")</f>
        <v>PASS</v>
      </c>
    </row>
    <row r="7" customFormat="false" ht="15" hidden="false" customHeight="false" outlineLevel="0" collapsed="false">
      <c r="A7" s="10" t="s">
        <v>17</v>
      </c>
      <c r="B7" s="10" t="s">
        <v>72</v>
      </c>
      <c r="C7" s="10" t="s">
        <v>73</v>
      </c>
      <c r="D7" s="10" t="s">
        <v>74</v>
      </c>
      <c r="E7" s="10" t="s">
        <v>75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  <c r="K7" s="10" t="str">
        <f aca="false">IF(AND(I7=1,J7=1,D7&lt;&gt;"",E7&lt;&gt;"",D7&lt;&gt;E7),"PASS","FAIL")</f>
        <v>PASS</v>
      </c>
    </row>
    <row r="8" customFormat="false" ht="15" hidden="false" customHeight="false" outlineLevel="0" collapsed="false">
      <c r="A8" s="10" t="s">
        <v>20</v>
      </c>
      <c r="B8" s="10" t="s">
        <v>76</v>
      </c>
      <c r="C8" s="10" t="s">
        <v>77</v>
      </c>
      <c r="D8" s="10" t="s">
        <v>78</v>
      </c>
      <c r="E8" s="10" t="s">
        <v>79</v>
      </c>
      <c r="F8" s="11" t="n">
        <v>2</v>
      </c>
      <c r="G8" s="11" t="n">
        <v>1</v>
      </c>
      <c r="H8" s="11" t="n">
        <v>0</v>
      </c>
      <c r="I8" s="11" t="n">
        <v>1</v>
      </c>
      <c r="J8" s="11" t="n">
        <v>1</v>
      </c>
      <c r="K8" s="10" t="str">
        <f aca="false">IF(AND(I8=1,J8=1,D8&lt;&gt;"",E8&lt;&gt;"",D8&lt;&gt;E8),"PASS","FAIL")</f>
        <v>PASS</v>
      </c>
    </row>
    <row r="9" customFormat="false" ht="15" hidden="false" customHeight="false" outlineLevel="0" collapsed="false">
      <c r="A9" s="10" t="s">
        <v>22</v>
      </c>
      <c r="B9" s="10" t="s">
        <v>80</v>
      </c>
      <c r="C9" s="10" t="s">
        <v>81</v>
      </c>
      <c r="D9" s="10" t="s">
        <v>82</v>
      </c>
      <c r="E9" s="10" t="s">
        <v>83</v>
      </c>
      <c r="F9" s="11" t="n">
        <v>2</v>
      </c>
      <c r="G9" s="11" t="n">
        <v>1</v>
      </c>
      <c r="H9" s="11" t="n">
        <v>0</v>
      </c>
      <c r="I9" s="11" t="n">
        <v>1</v>
      </c>
      <c r="J9" s="11" t="n">
        <v>1</v>
      </c>
      <c r="K9" s="10" t="str">
        <f aca="false">IF(AND(I9=1,J9=1,D9&lt;&gt;"",E9&lt;&gt;"",D9&lt;&gt;E9),"PASS","FAIL")</f>
        <v>PASS</v>
      </c>
    </row>
    <row r="10" customFormat="false" ht="15" hidden="false" customHeight="false" outlineLevel="0" collapsed="false">
      <c r="A10" s="13" t="s">
        <v>25</v>
      </c>
      <c r="B10" s="13" t="s">
        <v>84</v>
      </c>
      <c r="C10" s="13" t="s">
        <v>85</v>
      </c>
      <c r="D10" s="13" t="s">
        <v>86</v>
      </c>
      <c r="E10" s="13" t="s">
        <v>87</v>
      </c>
      <c r="F10" s="17" t="n">
        <v>0</v>
      </c>
      <c r="G10" s="17" t="n">
        <v>2</v>
      </c>
      <c r="H10" s="17" t="n">
        <v>1</v>
      </c>
      <c r="I10" s="17" t="n">
        <v>1</v>
      </c>
      <c r="J10" s="17" t="n">
        <v>1</v>
      </c>
      <c r="K10" s="13" t="str">
        <f aca="false">IF(AND(I10=1,J10=1,D10&lt;&gt;"",E10&lt;&gt;"",D10&lt;&gt;E10),"PASS","FAIL")</f>
        <v>PASS</v>
      </c>
    </row>
  </sheetData>
  <mergeCells count="1">
    <mergeCell ref="A2:K2"/>
  </mergeCells>
  <conditionalFormatting sqref="K5:K10">
    <cfRule type="containsText" priority="2" operator="containsText" aboveAverage="0" equalAverage="0" bottom="0" percent="0" rank="0" text="FAIL" dxfId="0">
      <formula>NOT(ISERROR(SEARCH("FAIL",K5)))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35"/>
    <col collapsed="false" customWidth="true" hidden="false" outlineLevel="0" max="5" min="5" style="0" width="24"/>
    <col collapsed="false" customWidth="true" hidden="false" outlineLevel="0" max="6" min="6" style="0" width="39"/>
    <col collapsed="false" customWidth="true" hidden="false" outlineLevel="0" max="7" min="7" style="0" width="68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4" min="13" style="0" width="18"/>
    <col collapsed="false" customWidth="true" hidden="false" outlineLevel="0" max="15" min="15" style="0" width="19"/>
    <col collapsed="false" customWidth="true" hidden="false" outlineLevel="0" max="16" min="16" style="0" width="27"/>
  </cols>
  <sheetData>
    <row r="2" customFormat="false" ht="15" hidden="false" customHeight="false" outlineLevel="0" collapsed="false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28" hidden="false" customHeight="true" outlineLevel="0" collapsed="false">
      <c r="A4" s="3" t="s">
        <v>89</v>
      </c>
      <c r="B4" s="4" t="s">
        <v>4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  <c r="H4" s="4" t="s">
        <v>95</v>
      </c>
      <c r="I4" s="4" t="s">
        <v>96</v>
      </c>
      <c r="J4" s="4" t="s">
        <v>62</v>
      </c>
      <c r="K4" s="4" t="s">
        <v>97</v>
      </c>
      <c r="L4" s="4" t="s">
        <v>98</v>
      </c>
      <c r="M4" s="4" t="s">
        <v>99</v>
      </c>
      <c r="N4" s="4" t="s">
        <v>100</v>
      </c>
      <c r="O4" s="4" t="s">
        <v>101</v>
      </c>
      <c r="P4" s="5" t="s">
        <v>3</v>
      </c>
    </row>
    <row r="5" customFormat="false" ht="15" hidden="false" customHeight="false" outlineLevel="0" collapsed="false">
      <c r="A5" s="7" t="s">
        <v>102</v>
      </c>
      <c r="B5" s="7" t="s">
        <v>11</v>
      </c>
      <c r="C5" s="7" t="s">
        <v>103</v>
      </c>
      <c r="D5" s="7" t="s">
        <v>104</v>
      </c>
      <c r="E5" s="7" t="s">
        <v>105</v>
      </c>
      <c r="F5" s="7" t="s">
        <v>104</v>
      </c>
      <c r="G5" s="7" t="s">
        <v>106</v>
      </c>
      <c r="H5" s="8" t="n">
        <v>1</v>
      </c>
      <c r="I5" s="8" t="n">
        <v>1</v>
      </c>
      <c r="J5" s="8" t="n">
        <v>1</v>
      </c>
      <c r="K5" s="8" t="n">
        <v>0</v>
      </c>
      <c r="L5" s="8" t="n">
        <v>0</v>
      </c>
      <c r="M5" s="8" t="n">
        <f aca="false">COUNTIF($A$5:$A$22,A5)</f>
        <v>1</v>
      </c>
      <c r="N5" s="8" t="n">
        <f aca="false">COUNTIF($B$5:$B$22,B5)</f>
        <v>3</v>
      </c>
      <c r="O5" s="8" t="n">
        <v>1</v>
      </c>
      <c r="P5" s="7" t="str">
        <f aca="false">IF(AND(H5=1,I5=1,J5=1,K5=0,L5=0,M5=1,N5=3,O5=1),"REISSUED / UNSELECTED","FAIL")</f>
        <v>REISSUED / UNSELECTED</v>
      </c>
    </row>
    <row r="6" customFormat="false" ht="15" hidden="false" customHeight="false" outlineLevel="0" collapsed="false">
      <c r="A6" s="10" t="s">
        <v>107</v>
      </c>
      <c r="B6" s="10" t="s">
        <v>11</v>
      </c>
      <c r="C6" s="10" t="s">
        <v>108</v>
      </c>
      <c r="D6" s="10" t="s">
        <v>109</v>
      </c>
      <c r="E6" s="10" t="s">
        <v>105</v>
      </c>
      <c r="F6" s="10" t="s">
        <v>109</v>
      </c>
      <c r="G6" s="10" t="s">
        <v>110</v>
      </c>
      <c r="H6" s="11" t="n">
        <v>1</v>
      </c>
      <c r="I6" s="11" t="n">
        <v>1</v>
      </c>
      <c r="J6" s="11" t="n">
        <v>1</v>
      </c>
      <c r="K6" s="11" t="n">
        <v>0</v>
      </c>
      <c r="L6" s="11" t="n">
        <v>0</v>
      </c>
      <c r="M6" s="11" t="n">
        <f aca="false">COUNTIF($A$5:$A$22,A6)</f>
        <v>1</v>
      </c>
      <c r="N6" s="11" t="n">
        <f aca="false">COUNTIF($B$5:$B$22,B6)</f>
        <v>3</v>
      </c>
      <c r="O6" s="11" t="n">
        <v>1</v>
      </c>
      <c r="P6" s="10" t="str">
        <f aca="false">IF(AND(H6=1,I6=1,J6=1,K6=0,L6=0,M6=1,N6=3,O6=1),"REISSUED / UNSELECTED","FAIL")</f>
        <v>REISSUED / UNSELECTED</v>
      </c>
    </row>
    <row r="7" customFormat="false" ht="15" hidden="false" customHeight="false" outlineLevel="0" collapsed="false">
      <c r="A7" s="10" t="s">
        <v>111</v>
      </c>
      <c r="B7" s="10" t="s">
        <v>11</v>
      </c>
      <c r="C7" s="10" t="s">
        <v>112</v>
      </c>
      <c r="D7" s="10" t="s">
        <v>113</v>
      </c>
      <c r="E7" s="10" t="s">
        <v>105</v>
      </c>
      <c r="F7" s="10" t="s">
        <v>113</v>
      </c>
      <c r="G7" s="10" t="s">
        <v>114</v>
      </c>
      <c r="H7" s="11" t="n">
        <v>1</v>
      </c>
      <c r="I7" s="11" t="n">
        <v>1</v>
      </c>
      <c r="J7" s="11" t="n">
        <v>1</v>
      </c>
      <c r="K7" s="11" t="n">
        <v>0</v>
      </c>
      <c r="L7" s="11" t="n">
        <v>0</v>
      </c>
      <c r="M7" s="11" t="n">
        <f aca="false">COUNTIF($A$5:$A$22,A7)</f>
        <v>1</v>
      </c>
      <c r="N7" s="11" t="n">
        <f aca="false">COUNTIF($B$5:$B$22,B7)</f>
        <v>3</v>
      </c>
      <c r="O7" s="11" t="n">
        <v>1</v>
      </c>
      <c r="P7" s="10" t="str">
        <f aca="false">IF(AND(H7=1,I7=1,J7=1,K7=0,L7=0,M7=1,N7=3,O7=1),"REISSUED / UNSELECTED","FAIL")</f>
        <v>REISSUED / UNSELECTED</v>
      </c>
    </row>
    <row r="8" customFormat="false" ht="15" hidden="false" customHeight="false" outlineLevel="0" collapsed="false">
      <c r="A8" s="10" t="s">
        <v>115</v>
      </c>
      <c r="B8" s="10" t="s">
        <v>14</v>
      </c>
      <c r="C8" s="10" t="s">
        <v>103</v>
      </c>
      <c r="D8" s="10" t="s">
        <v>116</v>
      </c>
      <c r="E8" s="10" t="s">
        <v>105</v>
      </c>
      <c r="F8" s="10" t="s">
        <v>117</v>
      </c>
      <c r="G8" s="10" t="s">
        <v>118</v>
      </c>
      <c r="H8" s="11" t="n">
        <v>1</v>
      </c>
      <c r="I8" s="11" t="n">
        <v>1</v>
      </c>
      <c r="J8" s="11" t="n">
        <v>1</v>
      </c>
      <c r="K8" s="11" t="n">
        <v>0</v>
      </c>
      <c r="L8" s="11" t="n">
        <v>0</v>
      </c>
      <c r="M8" s="11" t="n">
        <f aca="false">COUNTIF($A$5:$A$22,A8)</f>
        <v>1</v>
      </c>
      <c r="N8" s="11" t="n">
        <f aca="false">COUNTIF($B$5:$B$22,B8)</f>
        <v>3</v>
      </c>
      <c r="O8" s="11" t="n">
        <v>1</v>
      </c>
      <c r="P8" s="10" t="str">
        <f aca="false">IF(AND(H8=1,I8=1,J8=1,K8=0,L8=0,M8=1,N8=3,O8=1),"REISSUED / UNSELECTED","FAIL")</f>
        <v>REISSUED / UNSELECTED</v>
      </c>
    </row>
    <row r="9" customFormat="false" ht="15" hidden="false" customHeight="false" outlineLevel="0" collapsed="false">
      <c r="A9" s="10" t="s">
        <v>119</v>
      </c>
      <c r="B9" s="10" t="s">
        <v>14</v>
      </c>
      <c r="C9" s="10" t="s">
        <v>108</v>
      </c>
      <c r="D9" s="10" t="s">
        <v>120</v>
      </c>
      <c r="E9" s="10" t="s">
        <v>105</v>
      </c>
      <c r="F9" s="10" t="s">
        <v>121</v>
      </c>
      <c r="G9" s="10" t="s">
        <v>122</v>
      </c>
      <c r="H9" s="11" t="n">
        <v>1</v>
      </c>
      <c r="I9" s="11" t="n">
        <v>1</v>
      </c>
      <c r="J9" s="11" t="n">
        <v>1</v>
      </c>
      <c r="K9" s="11" t="n">
        <v>0</v>
      </c>
      <c r="L9" s="11" t="n">
        <v>0</v>
      </c>
      <c r="M9" s="11" t="n">
        <f aca="false">COUNTIF($A$5:$A$22,A9)</f>
        <v>1</v>
      </c>
      <c r="N9" s="11" t="n">
        <f aca="false">COUNTIF($B$5:$B$22,B9)</f>
        <v>3</v>
      </c>
      <c r="O9" s="11" t="n">
        <v>1</v>
      </c>
      <c r="P9" s="10" t="str">
        <f aca="false">IF(AND(H9=1,I9=1,J9=1,K9=0,L9=0,M9=1,N9=3,O9=1),"REISSUED / UNSELECTED","FAIL")</f>
        <v>REISSUED / UNSELECTED</v>
      </c>
    </row>
    <row r="10" customFormat="false" ht="15" hidden="false" customHeight="false" outlineLevel="0" collapsed="false">
      <c r="A10" s="10" t="s">
        <v>123</v>
      </c>
      <c r="B10" s="10" t="s">
        <v>14</v>
      </c>
      <c r="C10" s="10" t="s">
        <v>112</v>
      </c>
      <c r="D10" s="10" t="s">
        <v>124</v>
      </c>
      <c r="E10" s="10" t="s">
        <v>125</v>
      </c>
      <c r="F10" s="10" t="s">
        <v>124</v>
      </c>
      <c r="G10" s="10" t="s">
        <v>126</v>
      </c>
      <c r="H10" s="11" t="n">
        <v>1</v>
      </c>
      <c r="I10" s="11" t="n">
        <v>1</v>
      </c>
      <c r="J10" s="11" t="n">
        <v>1</v>
      </c>
      <c r="K10" s="11" t="n">
        <v>0</v>
      </c>
      <c r="L10" s="11" t="n">
        <v>0</v>
      </c>
      <c r="M10" s="11" t="n">
        <f aca="false">COUNTIF($A$5:$A$22,A10)</f>
        <v>1</v>
      </c>
      <c r="N10" s="11" t="n">
        <f aca="false">COUNTIF($B$5:$B$22,B10)</f>
        <v>3</v>
      </c>
      <c r="O10" s="11" t="n">
        <v>1</v>
      </c>
      <c r="P10" s="10" t="str">
        <f aca="false">IF(AND(H10=1,I10=1,J10=1,K10=0,L10=0,M10=1,N10=3,O10=1),"REISSUED / UNSELECTED","FAIL")</f>
        <v>REISSUED / UNSELECTED</v>
      </c>
    </row>
    <row r="11" customFormat="false" ht="15" hidden="false" customHeight="false" outlineLevel="0" collapsed="false">
      <c r="A11" s="10" t="s">
        <v>127</v>
      </c>
      <c r="B11" s="10" t="s">
        <v>17</v>
      </c>
      <c r="C11" s="10" t="s">
        <v>103</v>
      </c>
      <c r="D11" s="10" t="s">
        <v>128</v>
      </c>
      <c r="E11" s="10" t="s">
        <v>129</v>
      </c>
      <c r="F11" s="10" t="s">
        <v>130</v>
      </c>
      <c r="G11" s="10" t="s">
        <v>131</v>
      </c>
      <c r="H11" s="11" t="n">
        <v>1</v>
      </c>
      <c r="I11" s="11" t="n">
        <v>1</v>
      </c>
      <c r="J11" s="11" t="n">
        <v>1</v>
      </c>
      <c r="K11" s="11" t="n">
        <v>0</v>
      </c>
      <c r="L11" s="11" t="n">
        <v>0</v>
      </c>
      <c r="M11" s="11" t="n">
        <f aca="false">COUNTIF($A$5:$A$22,A11)</f>
        <v>1</v>
      </c>
      <c r="N11" s="11" t="n">
        <f aca="false">COUNTIF($B$5:$B$22,B11)</f>
        <v>3</v>
      </c>
      <c r="O11" s="11" t="n">
        <v>1</v>
      </c>
      <c r="P11" s="10" t="str">
        <f aca="false">IF(AND(H11=1,I11=1,J11=1,K11=0,L11=0,M11=1,N11=3,O11=1),"REISSUED / UNSELECTED","FAIL")</f>
        <v>REISSUED / UNSELECTED</v>
      </c>
    </row>
    <row r="12" customFormat="false" ht="15" hidden="false" customHeight="false" outlineLevel="0" collapsed="false">
      <c r="A12" s="10" t="s">
        <v>132</v>
      </c>
      <c r="B12" s="10" t="s">
        <v>17</v>
      </c>
      <c r="C12" s="10" t="s">
        <v>108</v>
      </c>
      <c r="D12" s="10" t="s">
        <v>133</v>
      </c>
      <c r="E12" s="10" t="s">
        <v>105</v>
      </c>
      <c r="F12" s="10" t="s">
        <v>134</v>
      </c>
      <c r="G12" s="10" t="s">
        <v>135</v>
      </c>
      <c r="H12" s="11" t="n">
        <v>1</v>
      </c>
      <c r="I12" s="11" t="n">
        <v>1</v>
      </c>
      <c r="J12" s="11" t="n">
        <v>1</v>
      </c>
      <c r="K12" s="11" t="n">
        <v>0</v>
      </c>
      <c r="L12" s="11" t="n">
        <v>0</v>
      </c>
      <c r="M12" s="11" t="n">
        <f aca="false">COUNTIF($A$5:$A$22,A12)</f>
        <v>1</v>
      </c>
      <c r="N12" s="11" t="n">
        <f aca="false">COUNTIF($B$5:$B$22,B12)</f>
        <v>3</v>
      </c>
      <c r="O12" s="11" t="n">
        <v>1</v>
      </c>
      <c r="P12" s="10" t="str">
        <f aca="false">IF(AND(H12=1,I12=1,J12=1,K12=0,L12=0,M12=1,N12=3,O12=1),"REISSUED / UNSELECTED","FAIL")</f>
        <v>REISSUED / UNSELECTED</v>
      </c>
    </row>
    <row r="13" customFormat="false" ht="15" hidden="false" customHeight="false" outlineLevel="0" collapsed="false">
      <c r="A13" s="10" t="s">
        <v>136</v>
      </c>
      <c r="B13" s="10" t="s">
        <v>17</v>
      </c>
      <c r="C13" s="10" t="s">
        <v>112</v>
      </c>
      <c r="D13" s="10" t="s">
        <v>137</v>
      </c>
      <c r="E13" s="10" t="s">
        <v>125</v>
      </c>
      <c r="F13" s="10" t="s">
        <v>137</v>
      </c>
      <c r="G13" s="10" t="s">
        <v>138</v>
      </c>
      <c r="H13" s="11" t="n">
        <v>1</v>
      </c>
      <c r="I13" s="11" t="n">
        <v>1</v>
      </c>
      <c r="J13" s="11" t="n">
        <v>1</v>
      </c>
      <c r="K13" s="11" t="n">
        <v>0</v>
      </c>
      <c r="L13" s="11" t="n">
        <v>0</v>
      </c>
      <c r="M13" s="11" t="n">
        <f aca="false">COUNTIF($A$5:$A$22,A13)</f>
        <v>1</v>
      </c>
      <c r="N13" s="11" t="n">
        <f aca="false">COUNTIF($B$5:$B$22,B13)</f>
        <v>3</v>
      </c>
      <c r="O13" s="11" t="n">
        <v>1</v>
      </c>
      <c r="P13" s="10" t="str">
        <f aca="false">IF(AND(H13=1,I13=1,J13=1,K13=0,L13=0,M13=1,N13=3,O13=1),"REISSUED / UNSELECTED","FAIL")</f>
        <v>REISSUED / UNSELECTED</v>
      </c>
    </row>
    <row r="14" customFormat="false" ht="15" hidden="false" customHeight="false" outlineLevel="0" collapsed="false">
      <c r="A14" s="10" t="s">
        <v>139</v>
      </c>
      <c r="B14" s="10" t="s">
        <v>20</v>
      </c>
      <c r="C14" s="10" t="s">
        <v>103</v>
      </c>
      <c r="D14" s="10" t="s">
        <v>140</v>
      </c>
      <c r="E14" s="10" t="s">
        <v>105</v>
      </c>
      <c r="F14" s="10" t="s">
        <v>141</v>
      </c>
      <c r="G14" s="10" t="s">
        <v>142</v>
      </c>
      <c r="H14" s="11" t="n">
        <v>1</v>
      </c>
      <c r="I14" s="11" t="n">
        <v>1</v>
      </c>
      <c r="J14" s="11" t="n">
        <v>1</v>
      </c>
      <c r="K14" s="11" t="n">
        <v>0</v>
      </c>
      <c r="L14" s="11" t="n">
        <v>0</v>
      </c>
      <c r="M14" s="11" t="n">
        <f aca="false">COUNTIF($A$5:$A$22,A14)</f>
        <v>1</v>
      </c>
      <c r="N14" s="11" t="n">
        <f aca="false">COUNTIF($B$5:$B$22,B14)</f>
        <v>3</v>
      </c>
      <c r="O14" s="11" t="n">
        <v>1</v>
      </c>
      <c r="P14" s="10" t="str">
        <f aca="false">IF(AND(H14=1,I14=1,J14=1,K14=0,L14=0,M14=1,N14=3,O14=1),"REISSUED / UNSELECTED","FAIL")</f>
        <v>REISSUED / UNSELECTED</v>
      </c>
    </row>
    <row r="15" customFormat="false" ht="15" hidden="false" customHeight="false" outlineLevel="0" collapsed="false">
      <c r="A15" s="10" t="s">
        <v>143</v>
      </c>
      <c r="B15" s="10" t="s">
        <v>20</v>
      </c>
      <c r="C15" s="10" t="s">
        <v>108</v>
      </c>
      <c r="D15" s="10" t="s">
        <v>144</v>
      </c>
      <c r="E15" s="10" t="s">
        <v>105</v>
      </c>
      <c r="F15" s="10" t="s">
        <v>145</v>
      </c>
      <c r="G15" s="10" t="s">
        <v>146</v>
      </c>
      <c r="H15" s="11" t="n">
        <v>1</v>
      </c>
      <c r="I15" s="11" t="n">
        <v>1</v>
      </c>
      <c r="J15" s="11" t="n">
        <v>1</v>
      </c>
      <c r="K15" s="11" t="n">
        <v>0</v>
      </c>
      <c r="L15" s="11" t="n">
        <v>0</v>
      </c>
      <c r="M15" s="11" t="n">
        <f aca="false">COUNTIF($A$5:$A$22,A15)</f>
        <v>1</v>
      </c>
      <c r="N15" s="11" t="n">
        <f aca="false">COUNTIF($B$5:$B$22,B15)</f>
        <v>3</v>
      </c>
      <c r="O15" s="11" t="n">
        <v>1</v>
      </c>
      <c r="P15" s="10" t="str">
        <f aca="false">IF(AND(H15=1,I15=1,J15=1,K15=0,L15=0,M15=1,N15=3,O15=1),"REISSUED / UNSELECTED","FAIL")</f>
        <v>REISSUED / UNSELECTED</v>
      </c>
    </row>
    <row r="16" customFormat="false" ht="15" hidden="false" customHeight="false" outlineLevel="0" collapsed="false">
      <c r="A16" s="10" t="s">
        <v>147</v>
      </c>
      <c r="B16" s="10" t="s">
        <v>20</v>
      </c>
      <c r="C16" s="10" t="s">
        <v>112</v>
      </c>
      <c r="D16" s="10" t="s">
        <v>148</v>
      </c>
      <c r="E16" s="10" t="s">
        <v>129</v>
      </c>
      <c r="F16" s="10" t="s">
        <v>149</v>
      </c>
      <c r="G16" s="10" t="s">
        <v>150</v>
      </c>
      <c r="H16" s="11" t="n">
        <v>1</v>
      </c>
      <c r="I16" s="11" t="n">
        <v>1</v>
      </c>
      <c r="J16" s="11" t="n">
        <v>1</v>
      </c>
      <c r="K16" s="11" t="n">
        <v>0</v>
      </c>
      <c r="L16" s="11" t="n">
        <v>0</v>
      </c>
      <c r="M16" s="11" t="n">
        <f aca="false">COUNTIF($A$5:$A$22,A16)</f>
        <v>1</v>
      </c>
      <c r="N16" s="11" t="n">
        <f aca="false">COUNTIF($B$5:$B$22,B16)</f>
        <v>3</v>
      </c>
      <c r="O16" s="11" t="n">
        <v>1</v>
      </c>
      <c r="P16" s="10" t="str">
        <f aca="false">IF(AND(H16=1,I16=1,J16=1,K16=0,L16=0,M16=1,N16=3,O16=1),"REISSUED / UNSELECTED","FAIL")</f>
        <v>REISSUED / UNSELECTED</v>
      </c>
    </row>
    <row r="17" customFormat="false" ht="15" hidden="false" customHeight="false" outlineLevel="0" collapsed="false">
      <c r="A17" s="10" t="s">
        <v>151</v>
      </c>
      <c r="B17" s="10" t="s">
        <v>22</v>
      </c>
      <c r="C17" s="10" t="s">
        <v>103</v>
      </c>
      <c r="D17" s="10" t="s">
        <v>152</v>
      </c>
      <c r="E17" s="10" t="s">
        <v>105</v>
      </c>
      <c r="F17" s="10" t="s">
        <v>153</v>
      </c>
      <c r="G17" s="10" t="s">
        <v>154</v>
      </c>
      <c r="H17" s="11" t="n">
        <v>1</v>
      </c>
      <c r="I17" s="11" t="n">
        <v>1</v>
      </c>
      <c r="J17" s="11" t="n">
        <v>1</v>
      </c>
      <c r="K17" s="11" t="n">
        <v>0</v>
      </c>
      <c r="L17" s="11" t="n">
        <v>0</v>
      </c>
      <c r="M17" s="11" t="n">
        <f aca="false">COUNTIF($A$5:$A$22,A17)</f>
        <v>1</v>
      </c>
      <c r="N17" s="11" t="n">
        <f aca="false">COUNTIF($B$5:$B$22,B17)</f>
        <v>3</v>
      </c>
      <c r="O17" s="11" t="n">
        <v>1</v>
      </c>
      <c r="P17" s="10" t="str">
        <f aca="false">IF(AND(H17=1,I17=1,J17=1,K17=0,L17=0,M17=1,N17=3,O17=1),"REISSUED / UNSELECTED","FAIL")</f>
        <v>REISSUED / UNSELECTED</v>
      </c>
    </row>
    <row r="18" customFormat="false" ht="15" hidden="false" customHeight="false" outlineLevel="0" collapsed="false">
      <c r="A18" s="10" t="s">
        <v>155</v>
      </c>
      <c r="B18" s="10" t="s">
        <v>22</v>
      </c>
      <c r="C18" s="10" t="s">
        <v>108</v>
      </c>
      <c r="D18" s="10" t="s">
        <v>156</v>
      </c>
      <c r="E18" s="10" t="s">
        <v>105</v>
      </c>
      <c r="F18" s="10" t="s">
        <v>157</v>
      </c>
      <c r="G18" s="10" t="s">
        <v>158</v>
      </c>
      <c r="H18" s="11" t="n">
        <v>1</v>
      </c>
      <c r="I18" s="11" t="n">
        <v>1</v>
      </c>
      <c r="J18" s="11" t="n">
        <v>1</v>
      </c>
      <c r="K18" s="11" t="n">
        <v>0</v>
      </c>
      <c r="L18" s="11" t="n">
        <v>0</v>
      </c>
      <c r="M18" s="11" t="n">
        <f aca="false">COUNTIF($A$5:$A$22,A18)</f>
        <v>1</v>
      </c>
      <c r="N18" s="11" t="n">
        <f aca="false">COUNTIF($B$5:$B$22,B18)</f>
        <v>3</v>
      </c>
      <c r="O18" s="11" t="n">
        <v>1</v>
      </c>
      <c r="P18" s="10" t="str">
        <f aca="false">IF(AND(H18=1,I18=1,J18=1,K18=0,L18=0,M18=1,N18=3,O18=1),"REISSUED / UNSELECTED","FAIL")</f>
        <v>REISSUED / UNSELECTED</v>
      </c>
    </row>
    <row r="19" customFormat="false" ht="15" hidden="false" customHeight="false" outlineLevel="0" collapsed="false">
      <c r="A19" s="10" t="s">
        <v>159</v>
      </c>
      <c r="B19" s="10" t="s">
        <v>22</v>
      </c>
      <c r="C19" s="10" t="s">
        <v>112</v>
      </c>
      <c r="D19" s="10" t="s">
        <v>160</v>
      </c>
      <c r="E19" s="10" t="s">
        <v>129</v>
      </c>
      <c r="F19" s="10" t="s">
        <v>161</v>
      </c>
      <c r="G19" s="10" t="s">
        <v>162</v>
      </c>
      <c r="H19" s="11" t="n">
        <v>1</v>
      </c>
      <c r="I19" s="11" t="n">
        <v>1</v>
      </c>
      <c r="J19" s="11" t="n">
        <v>1</v>
      </c>
      <c r="K19" s="11" t="n">
        <v>0</v>
      </c>
      <c r="L19" s="11" t="n">
        <v>0</v>
      </c>
      <c r="M19" s="11" t="n">
        <f aca="false">COUNTIF($A$5:$A$22,A19)</f>
        <v>1</v>
      </c>
      <c r="N19" s="11" t="n">
        <f aca="false">COUNTIF($B$5:$B$22,B19)</f>
        <v>3</v>
      </c>
      <c r="O19" s="11" t="n">
        <v>1</v>
      </c>
      <c r="P19" s="10" t="str">
        <f aca="false">IF(AND(H19=1,I19=1,J19=1,K19=0,L19=0,M19=1,N19=3,O19=1),"REISSUED / UNSELECTED","FAIL")</f>
        <v>REISSUED / UNSELECTED</v>
      </c>
    </row>
    <row r="20" customFormat="false" ht="15" hidden="false" customHeight="false" outlineLevel="0" collapsed="false">
      <c r="A20" s="10" t="s">
        <v>163</v>
      </c>
      <c r="B20" s="10" t="s">
        <v>25</v>
      </c>
      <c r="C20" s="10" t="s">
        <v>103</v>
      </c>
      <c r="D20" s="10" t="s">
        <v>164</v>
      </c>
      <c r="E20" s="10" t="s">
        <v>125</v>
      </c>
      <c r="F20" s="10" t="s">
        <v>164</v>
      </c>
      <c r="G20" s="10" t="s">
        <v>165</v>
      </c>
      <c r="H20" s="11" t="n">
        <v>1</v>
      </c>
      <c r="I20" s="11" t="n">
        <v>1</v>
      </c>
      <c r="J20" s="11" t="n">
        <v>1</v>
      </c>
      <c r="K20" s="11" t="n">
        <v>0</v>
      </c>
      <c r="L20" s="11" t="n">
        <v>0</v>
      </c>
      <c r="M20" s="11" t="n">
        <f aca="false">COUNTIF($A$5:$A$22,A20)</f>
        <v>1</v>
      </c>
      <c r="N20" s="11" t="n">
        <f aca="false">COUNTIF($B$5:$B$22,B20)</f>
        <v>3</v>
      </c>
      <c r="O20" s="11" t="n">
        <v>1</v>
      </c>
      <c r="P20" s="10" t="str">
        <f aca="false">IF(AND(H20=1,I20=1,J20=1,K20=0,L20=0,M20=1,N20=3,O20=1),"REISSUED / UNSELECTED","FAIL")</f>
        <v>REISSUED / UNSELECTED</v>
      </c>
    </row>
    <row r="21" customFormat="false" ht="15" hidden="false" customHeight="false" outlineLevel="0" collapsed="false">
      <c r="A21" s="10" t="s">
        <v>166</v>
      </c>
      <c r="B21" s="10" t="s">
        <v>25</v>
      </c>
      <c r="C21" s="10" t="s">
        <v>108</v>
      </c>
      <c r="D21" s="10" t="s">
        <v>167</v>
      </c>
      <c r="E21" s="10" t="s">
        <v>129</v>
      </c>
      <c r="F21" s="10" t="s">
        <v>168</v>
      </c>
      <c r="G21" s="10" t="s">
        <v>169</v>
      </c>
      <c r="H21" s="11" t="n">
        <v>1</v>
      </c>
      <c r="I21" s="11" t="n">
        <v>1</v>
      </c>
      <c r="J21" s="11" t="n">
        <v>1</v>
      </c>
      <c r="K21" s="11" t="n">
        <v>0</v>
      </c>
      <c r="L21" s="11" t="n">
        <v>0</v>
      </c>
      <c r="M21" s="11" t="n">
        <f aca="false">COUNTIF($A$5:$A$22,A21)</f>
        <v>1</v>
      </c>
      <c r="N21" s="11" t="n">
        <f aca="false">COUNTIF($B$5:$B$22,B21)</f>
        <v>3</v>
      </c>
      <c r="O21" s="11" t="n">
        <v>1</v>
      </c>
      <c r="P21" s="10" t="str">
        <f aca="false">IF(AND(H21=1,I21=1,J21=1,K21=0,L21=0,M21=1,N21=3,O21=1),"REISSUED / UNSELECTED","FAIL")</f>
        <v>REISSUED / UNSELECTED</v>
      </c>
    </row>
    <row r="22" customFormat="false" ht="15" hidden="false" customHeight="false" outlineLevel="0" collapsed="false">
      <c r="A22" s="13" t="s">
        <v>170</v>
      </c>
      <c r="B22" s="13" t="s">
        <v>25</v>
      </c>
      <c r="C22" s="13" t="s">
        <v>112</v>
      </c>
      <c r="D22" s="13" t="s">
        <v>171</v>
      </c>
      <c r="E22" s="13" t="s">
        <v>129</v>
      </c>
      <c r="F22" s="13" t="s">
        <v>172</v>
      </c>
      <c r="G22" s="13" t="s">
        <v>173</v>
      </c>
      <c r="H22" s="17" t="n">
        <v>1</v>
      </c>
      <c r="I22" s="17" t="n">
        <v>1</v>
      </c>
      <c r="J22" s="17" t="n">
        <v>1</v>
      </c>
      <c r="K22" s="17" t="n">
        <v>0</v>
      </c>
      <c r="L22" s="17" t="n">
        <v>0</v>
      </c>
      <c r="M22" s="17" t="n">
        <f aca="false">COUNTIF($A$5:$A$22,A22)</f>
        <v>1</v>
      </c>
      <c r="N22" s="17" t="n">
        <f aca="false">COUNTIF($B$5:$B$22,B22)</f>
        <v>3</v>
      </c>
      <c r="O22" s="17" t="n">
        <v>1</v>
      </c>
      <c r="P22" s="13" t="str">
        <f aca="false">IF(AND(H22=1,I22=1,J22=1,K22=0,L22=0,M22=1,N22=3,O22=1),"REISSUED / UNSELECTED","FAIL")</f>
        <v>REISSUED / UNSELECTED</v>
      </c>
    </row>
  </sheetData>
  <mergeCells count="1">
    <mergeCell ref="A2:P2"/>
  </mergeCells>
  <conditionalFormatting sqref="P5:P22">
    <cfRule type="containsText" priority="2" operator="containsText" aboveAverage="0" equalAverage="0" bottom="0" percent="0" rank="0" text="FAIL" dxfId="1">
      <formula>NOT(ISERROR(SEARCH("FAIL",P5)))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66"/>
    <col collapsed="false" customWidth="true" hidden="false" outlineLevel="0" max="5" min="5" style="0" width="55"/>
    <col collapsed="false" customWidth="true" hidden="false" outlineLevel="0" max="6" min="6" style="0" width="14"/>
    <col collapsed="false" customWidth="true" hidden="false" outlineLevel="0" max="7" min="7" style="0" width="26"/>
  </cols>
  <sheetData>
    <row r="2" customFormat="false" ht="15" hidden="false" customHeight="false" outlineLevel="0" collapsed="false">
      <c r="A2" s="1" t="s">
        <v>174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8" hidden="false" customHeight="true" outlineLevel="0" collapsed="false">
      <c r="A4" s="3" t="s">
        <v>89</v>
      </c>
      <c r="B4" s="4" t="s">
        <v>4</v>
      </c>
      <c r="C4" s="4" t="s">
        <v>175</v>
      </c>
      <c r="D4" s="4" t="s">
        <v>176</v>
      </c>
      <c r="E4" s="4" t="s">
        <v>177</v>
      </c>
      <c r="F4" s="4" t="s">
        <v>178</v>
      </c>
      <c r="G4" s="5" t="s">
        <v>179</v>
      </c>
    </row>
    <row r="5" customFormat="false" ht="23.85" hidden="false" customHeight="false" outlineLevel="0" collapsed="false">
      <c r="A5" s="7" t="s">
        <v>102</v>
      </c>
      <c r="B5" s="7" t="s">
        <v>11</v>
      </c>
      <c r="C5" s="7" t="s">
        <v>105</v>
      </c>
      <c r="D5" s="7" t="s">
        <v>106</v>
      </c>
      <c r="E5" s="7" t="s">
        <v>180</v>
      </c>
      <c r="F5" s="8" t="n">
        <v>1</v>
      </c>
      <c r="G5" s="7" t="s">
        <v>181</v>
      </c>
    </row>
    <row r="6" customFormat="false" ht="15" hidden="false" customHeight="false" outlineLevel="0" collapsed="false">
      <c r="A6" s="10" t="s">
        <v>107</v>
      </c>
      <c r="B6" s="10" t="s">
        <v>11</v>
      </c>
      <c r="C6" s="10" t="s">
        <v>105</v>
      </c>
      <c r="D6" s="10" t="s">
        <v>110</v>
      </c>
      <c r="E6" s="10" t="s">
        <v>182</v>
      </c>
      <c r="F6" s="11" t="n">
        <v>1</v>
      </c>
      <c r="G6" s="10" t="s">
        <v>181</v>
      </c>
    </row>
    <row r="7" customFormat="false" ht="15" hidden="false" customHeight="false" outlineLevel="0" collapsed="false">
      <c r="A7" s="10" t="s">
        <v>111</v>
      </c>
      <c r="B7" s="10" t="s">
        <v>11</v>
      </c>
      <c r="C7" s="10" t="s">
        <v>105</v>
      </c>
      <c r="D7" s="10" t="s">
        <v>114</v>
      </c>
      <c r="E7" s="10" t="s">
        <v>183</v>
      </c>
      <c r="F7" s="11" t="n">
        <v>1</v>
      </c>
      <c r="G7" s="10" t="s">
        <v>181</v>
      </c>
    </row>
    <row r="8" customFormat="false" ht="15" hidden="false" customHeight="false" outlineLevel="0" collapsed="false">
      <c r="A8" s="10" t="s">
        <v>115</v>
      </c>
      <c r="B8" s="10" t="s">
        <v>14</v>
      </c>
      <c r="C8" s="10" t="s">
        <v>105</v>
      </c>
      <c r="D8" s="10" t="s">
        <v>118</v>
      </c>
      <c r="E8" s="10" t="s">
        <v>184</v>
      </c>
      <c r="F8" s="11" t="n">
        <v>1</v>
      </c>
      <c r="G8" s="10" t="s">
        <v>181</v>
      </c>
    </row>
    <row r="9" customFormat="false" ht="15" hidden="false" customHeight="false" outlineLevel="0" collapsed="false">
      <c r="A9" s="10" t="s">
        <v>119</v>
      </c>
      <c r="B9" s="10" t="s">
        <v>14</v>
      </c>
      <c r="C9" s="10" t="s">
        <v>105</v>
      </c>
      <c r="D9" s="10" t="s">
        <v>122</v>
      </c>
      <c r="E9" s="10" t="s">
        <v>185</v>
      </c>
      <c r="F9" s="11" t="n">
        <v>1</v>
      </c>
      <c r="G9" s="10" t="s">
        <v>181</v>
      </c>
    </row>
    <row r="10" customFormat="false" ht="15" hidden="false" customHeight="false" outlineLevel="0" collapsed="false">
      <c r="A10" s="10" t="s">
        <v>127</v>
      </c>
      <c r="B10" s="10" t="s">
        <v>17</v>
      </c>
      <c r="C10" s="10" t="s">
        <v>129</v>
      </c>
      <c r="D10" s="10" t="s">
        <v>131</v>
      </c>
      <c r="E10" s="10" t="s">
        <v>186</v>
      </c>
      <c r="F10" s="11" t="n">
        <v>1</v>
      </c>
      <c r="G10" s="10" t="s">
        <v>181</v>
      </c>
    </row>
    <row r="11" customFormat="false" ht="15" hidden="false" customHeight="false" outlineLevel="0" collapsed="false">
      <c r="A11" s="10" t="s">
        <v>132</v>
      </c>
      <c r="B11" s="10" t="s">
        <v>17</v>
      </c>
      <c r="C11" s="10" t="s">
        <v>105</v>
      </c>
      <c r="D11" s="10" t="s">
        <v>135</v>
      </c>
      <c r="E11" s="10" t="s">
        <v>187</v>
      </c>
      <c r="F11" s="11" t="n">
        <v>1</v>
      </c>
      <c r="G11" s="10" t="s">
        <v>181</v>
      </c>
    </row>
    <row r="12" customFormat="false" ht="15" hidden="false" customHeight="false" outlineLevel="0" collapsed="false">
      <c r="A12" s="10" t="s">
        <v>139</v>
      </c>
      <c r="B12" s="10" t="s">
        <v>20</v>
      </c>
      <c r="C12" s="10" t="s">
        <v>105</v>
      </c>
      <c r="D12" s="10" t="s">
        <v>142</v>
      </c>
      <c r="E12" s="10" t="s">
        <v>188</v>
      </c>
      <c r="F12" s="11" t="n">
        <v>1</v>
      </c>
      <c r="G12" s="10" t="s">
        <v>181</v>
      </c>
    </row>
    <row r="13" customFormat="false" ht="15" hidden="false" customHeight="false" outlineLevel="0" collapsed="false">
      <c r="A13" s="10" t="s">
        <v>143</v>
      </c>
      <c r="B13" s="10" t="s">
        <v>20</v>
      </c>
      <c r="C13" s="10" t="s">
        <v>105</v>
      </c>
      <c r="D13" s="10" t="s">
        <v>146</v>
      </c>
      <c r="E13" s="10" t="s">
        <v>189</v>
      </c>
      <c r="F13" s="11" t="n">
        <v>1</v>
      </c>
      <c r="G13" s="10" t="s">
        <v>181</v>
      </c>
    </row>
    <row r="14" customFormat="false" ht="15" hidden="false" customHeight="false" outlineLevel="0" collapsed="false">
      <c r="A14" s="10" t="s">
        <v>147</v>
      </c>
      <c r="B14" s="10" t="s">
        <v>20</v>
      </c>
      <c r="C14" s="10" t="s">
        <v>129</v>
      </c>
      <c r="D14" s="10" t="s">
        <v>150</v>
      </c>
      <c r="E14" s="10" t="s">
        <v>190</v>
      </c>
      <c r="F14" s="11" t="n">
        <v>1</v>
      </c>
      <c r="G14" s="10" t="s">
        <v>181</v>
      </c>
    </row>
    <row r="15" customFormat="false" ht="15" hidden="false" customHeight="false" outlineLevel="0" collapsed="false">
      <c r="A15" s="10" t="s">
        <v>151</v>
      </c>
      <c r="B15" s="10" t="s">
        <v>22</v>
      </c>
      <c r="C15" s="10" t="s">
        <v>105</v>
      </c>
      <c r="D15" s="10" t="s">
        <v>154</v>
      </c>
      <c r="E15" s="10" t="s">
        <v>191</v>
      </c>
      <c r="F15" s="11" t="n">
        <v>1</v>
      </c>
      <c r="G15" s="10" t="s">
        <v>181</v>
      </c>
    </row>
    <row r="16" customFormat="false" ht="15" hidden="false" customHeight="false" outlineLevel="0" collapsed="false">
      <c r="A16" s="10" t="s">
        <v>155</v>
      </c>
      <c r="B16" s="10" t="s">
        <v>22</v>
      </c>
      <c r="C16" s="10" t="s">
        <v>105</v>
      </c>
      <c r="D16" s="10" t="s">
        <v>158</v>
      </c>
      <c r="E16" s="10" t="s">
        <v>192</v>
      </c>
      <c r="F16" s="11" t="n">
        <v>1</v>
      </c>
      <c r="G16" s="10" t="s">
        <v>181</v>
      </c>
    </row>
    <row r="17" customFormat="false" ht="15" hidden="false" customHeight="false" outlineLevel="0" collapsed="false">
      <c r="A17" s="10" t="s">
        <v>159</v>
      </c>
      <c r="B17" s="10" t="s">
        <v>22</v>
      </c>
      <c r="C17" s="10" t="s">
        <v>129</v>
      </c>
      <c r="D17" s="10" t="s">
        <v>162</v>
      </c>
      <c r="E17" s="10" t="s">
        <v>193</v>
      </c>
      <c r="F17" s="11" t="n">
        <v>1</v>
      </c>
      <c r="G17" s="10" t="s">
        <v>181</v>
      </c>
    </row>
    <row r="18" customFormat="false" ht="15" hidden="false" customHeight="false" outlineLevel="0" collapsed="false">
      <c r="A18" s="10" t="s">
        <v>166</v>
      </c>
      <c r="B18" s="10" t="s">
        <v>25</v>
      </c>
      <c r="C18" s="10" t="s">
        <v>129</v>
      </c>
      <c r="D18" s="10" t="s">
        <v>169</v>
      </c>
      <c r="E18" s="10" t="s">
        <v>194</v>
      </c>
      <c r="F18" s="11" t="n">
        <v>1</v>
      </c>
      <c r="G18" s="10" t="s">
        <v>181</v>
      </c>
    </row>
    <row r="19" customFormat="false" ht="15" hidden="false" customHeight="false" outlineLevel="0" collapsed="false">
      <c r="A19" s="13" t="s">
        <v>170</v>
      </c>
      <c r="B19" s="13" t="s">
        <v>25</v>
      </c>
      <c r="C19" s="13" t="s">
        <v>129</v>
      </c>
      <c r="D19" s="13" t="s">
        <v>173</v>
      </c>
      <c r="E19" s="13" t="s">
        <v>195</v>
      </c>
      <c r="F19" s="17" t="n">
        <v>1</v>
      </c>
      <c r="G19" s="13" t="s">
        <v>181</v>
      </c>
    </row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5" min="5" style="0" width="13"/>
    <col collapsed="false" customWidth="true" hidden="false" outlineLevel="0" max="6" min="6" style="0" width="23"/>
  </cols>
  <sheetData>
    <row r="2" customFormat="false" ht="15" hidden="false" customHeight="false" outlineLevel="0" collapsed="false">
      <c r="A2" s="1" t="s">
        <v>196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8" hidden="false" customHeight="true" outlineLevel="0" collapsed="false">
      <c r="A4" s="3" t="s">
        <v>1</v>
      </c>
      <c r="B4" s="4" t="s">
        <v>4</v>
      </c>
      <c r="C4" s="4" t="s">
        <v>197</v>
      </c>
      <c r="D4" s="4" t="s">
        <v>198</v>
      </c>
      <c r="E4" s="4" t="s">
        <v>199</v>
      </c>
      <c r="F4" s="5" t="s">
        <v>200</v>
      </c>
    </row>
    <row r="5" customFormat="false" ht="15" hidden="false" customHeight="false" outlineLevel="0" collapsed="false">
      <c r="A5" s="7" t="s">
        <v>201</v>
      </c>
      <c r="B5" s="7" t="s">
        <v>11</v>
      </c>
      <c r="C5" s="7" t="s">
        <v>202</v>
      </c>
      <c r="D5" s="7" t="s">
        <v>203</v>
      </c>
      <c r="E5" s="7" t="s">
        <v>24</v>
      </c>
      <c r="F5" s="8" t="n">
        <v>0</v>
      </c>
    </row>
    <row r="6" customFormat="false" ht="15" hidden="false" customHeight="false" outlineLevel="0" collapsed="false">
      <c r="A6" s="10" t="s">
        <v>204</v>
      </c>
      <c r="B6" s="10" t="s">
        <v>11</v>
      </c>
      <c r="C6" s="10" t="s">
        <v>205</v>
      </c>
      <c r="D6" s="10" t="s">
        <v>206</v>
      </c>
      <c r="E6" s="10" t="s">
        <v>24</v>
      </c>
      <c r="F6" s="11" t="n">
        <v>0</v>
      </c>
    </row>
    <row r="7" customFormat="false" ht="15" hidden="false" customHeight="false" outlineLevel="0" collapsed="false">
      <c r="A7" s="10" t="s">
        <v>207</v>
      </c>
      <c r="B7" s="10" t="s">
        <v>11</v>
      </c>
      <c r="C7" s="10" t="s">
        <v>208</v>
      </c>
      <c r="D7" s="10" t="s">
        <v>209</v>
      </c>
      <c r="E7" s="10" t="s">
        <v>24</v>
      </c>
      <c r="F7" s="11" t="n">
        <v>0</v>
      </c>
    </row>
    <row r="8" customFormat="false" ht="15" hidden="false" customHeight="false" outlineLevel="0" collapsed="false">
      <c r="A8" s="10" t="s">
        <v>210</v>
      </c>
      <c r="B8" s="10" t="s">
        <v>11</v>
      </c>
      <c r="C8" s="10" t="s">
        <v>211</v>
      </c>
      <c r="D8" s="10" t="s">
        <v>212</v>
      </c>
      <c r="E8" s="10" t="s">
        <v>24</v>
      </c>
      <c r="F8" s="11" t="n">
        <v>0</v>
      </c>
    </row>
    <row r="9" customFormat="false" ht="15" hidden="false" customHeight="false" outlineLevel="0" collapsed="false">
      <c r="A9" s="10" t="s">
        <v>213</v>
      </c>
      <c r="B9" s="10" t="s">
        <v>11</v>
      </c>
      <c r="C9" s="10" t="s">
        <v>214</v>
      </c>
      <c r="D9" s="10" t="s">
        <v>215</v>
      </c>
      <c r="E9" s="10" t="s">
        <v>24</v>
      </c>
      <c r="F9" s="11" t="n">
        <v>0</v>
      </c>
    </row>
    <row r="10" customFormat="false" ht="15" hidden="false" customHeight="false" outlineLevel="0" collapsed="false">
      <c r="A10" s="10" t="s">
        <v>216</v>
      </c>
      <c r="B10" s="10" t="s">
        <v>11</v>
      </c>
      <c r="C10" s="10" t="s">
        <v>217</v>
      </c>
      <c r="D10" s="10" t="s">
        <v>218</v>
      </c>
      <c r="E10" s="10" t="s">
        <v>24</v>
      </c>
      <c r="F10" s="11" t="n">
        <v>0</v>
      </c>
    </row>
    <row r="11" customFormat="false" ht="15" hidden="false" customHeight="false" outlineLevel="0" collapsed="false">
      <c r="A11" s="10" t="s">
        <v>219</v>
      </c>
      <c r="B11" s="10" t="s">
        <v>11</v>
      </c>
      <c r="C11" s="10" t="s">
        <v>220</v>
      </c>
      <c r="D11" s="10" t="s">
        <v>221</v>
      </c>
      <c r="E11" s="10" t="s">
        <v>24</v>
      </c>
      <c r="F11" s="11" t="n">
        <v>0</v>
      </c>
    </row>
    <row r="12" customFormat="false" ht="15" hidden="false" customHeight="false" outlineLevel="0" collapsed="false">
      <c r="A12" s="10" t="s">
        <v>222</v>
      </c>
      <c r="B12" s="10" t="s">
        <v>11</v>
      </c>
      <c r="C12" s="10" t="s">
        <v>223</v>
      </c>
      <c r="D12" s="10" t="s">
        <v>224</v>
      </c>
      <c r="E12" s="10" t="s">
        <v>24</v>
      </c>
      <c r="F12" s="11" t="n">
        <v>0</v>
      </c>
    </row>
    <row r="13" customFormat="false" ht="15" hidden="false" customHeight="false" outlineLevel="0" collapsed="false">
      <c r="A13" s="10" t="s">
        <v>225</v>
      </c>
      <c r="B13" s="10" t="s">
        <v>11</v>
      </c>
      <c r="C13" s="10" t="s">
        <v>226</v>
      </c>
      <c r="D13" s="10" t="s">
        <v>227</v>
      </c>
      <c r="E13" s="10" t="s">
        <v>24</v>
      </c>
      <c r="F13" s="11" t="n">
        <v>0</v>
      </c>
    </row>
    <row r="14" customFormat="false" ht="15" hidden="false" customHeight="false" outlineLevel="0" collapsed="false">
      <c r="A14" s="10" t="s">
        <v>228</v>
      </c>
      <c r="B14" s="10" t="s">
        <v>11</v>
      </c>
      <c r="C14" s="10" t="s">
        <v>229</v>
      </c>
      <c r="D14" s="10" t="s">
        <v>230</v>
      </c>
      <c r="E14" s="10" t="s">
        <v>24</v>
      </c>
      <c r="F14" s="11" t="n">
        <v>0</v>
      </c>
    </row>
    <row r="15" customFormat="false" ht="15" hidden="false" customHeight="false" outlineLevel="0" collapsed="false">
      <c r="A15" s="10" t="s">
        <v>231</v>
      </c>
      <c r="B15" s="10" t="s">
        <v>11</v>
      </c>
      <c r="C15" s="10" t="s">
        <v>232</v>
      </c>
      <c r="D15" s="10" t="s">
        <v>233</v>
      </c>
      <c r="E15" s="10" t="s">
        <v>24</v>
      </c>
      <c r="F15" s="11" t="n">
        <v>0</v>
      </c>
    </row>
    <row r="16" customFormat="false" ht="15" hidden="false" customHeight="false" outlineLevel="0" collapsed="false">
      <c r="A16" s="10" t="s">
        <v>234</v>
      </c>
      <c r="B16" s="10" t="s">
        <v>11</v>
      </c>
      <c r="C16" s="10" t="s">
        <v>235</v>
      </c>
      <c r="D16" s="10" t="s">
        <v>236</v>
      </c>
      <c r="E16" s="10" t="s">
        <v>24</v>
      </c>
      <c r="F16" s="11" t="n">
        <v>0</v>
      </c>
    </row>
    <row r="17" customFormat="false" ht="15" hidden="false" customHeight="false" outlineLevel="0" collapsed="false">
      <c r="A17" s="10" t="s">
        <v>237</v>
      </c>
      <c r="B17" s="10" t="s">
        <v>11</v>
      </c>
      <c r="C17" s="10" t="s">
        <v>238</v>
      </c>
      <c r="D17" s="10" t="s">
        <v>239</v>
      </c>
      <c r="E17" s="10" t="s">
        <v>24</v>
      </c>
      <c r="F17" s="11" t="n">
        <v>0</v>
      </c>
    </row>
    <row r="18" customFormat="false" ht="15" hidden="false" customHeight="false" outlineLevel="0" collapsed="false">
      <c r="A18" s="10" t="s">
        <v>240</v>
      </c>
      <c r="B18" s="10" t="s">
        <v>11</v>
      </c>
      <c r="C18" s="10" t="s">
        <v>241</v>
      </c>
      <c r="D18" s="10" t="s">
        <v>242</v>
      </c>
      <c r="E18" s="10" t="s">
        <v>24</v>
      </c>
      <c r="F18" s="11" t="n">
        <v>0</v>
      </c>
    </row>
    <row r="19" customFormat="false" ht="15" hidden="false" customHeight="false" outlineLevel="0" collapsed="false">
      <c r="A19" s="10" t="s">
        <v>243</v>
      </c>
      <c r="B19" s="10" t="s">
        <v>14</v>
      </c>
      <c r="C19" s="10" t="s">
        <v>202</v>
      </c>
      <c r="D19" s="10" t="s">
        <v>203</v>
      </c>
      <c r="E19" s="10" t="s">
        <v>24</v>
      </c>
      <c r="F19" s="11" t="n">
        <v>0</v>
      </c>
    </row>
    <row r="20" customFormat="false" ht="15" hidden="false" customHeight="false" outlineLevel="0" collapsed="false">
      <c r="A20" s="10" t="s">
        <v>244</v>
      </c>
      <c r="B20" s="10" t="s">
        <v>14</v>
      </c>
      <c r="C20" s="10" t="s">
        <v>205</v>
      </c>
      <c r="D20" s="10" t="s">
        <v>206</v>
      </c>
      <c r="E20" s="10" t="s">
        <v>24</v>
      </c>
      <c r="F20" s="11" t="n">
        <v>0</v>
      </c>
    </row>
    <row r="21" customFormat="false" ht="15" hidden="false" customHeight="false" outlineLevel="0" collapsed="false">
      <c r="A21" s="10" t="s">
        <v>245</v>
      </c>
      <c r="B21" s="10" t="s">
        <v>14</v>
      </c>
      <c r="C21" s="10" t="s">
        <v>208</v>
      </c>
      <c r="D21" s="10" t="s">
        <v>209</v>
      </c>
      <c r="E21" s="10" t="s">
        <v>24</v>
      </c>
      <c r="F21" s="11" t="n">
        <v>0</v>
      </c>
    </row>
    <row r="22" customFormat="false" ht="15" hidden="false" customHeight="false" outlineLevel="0" collapsed="false">
      <c r="A22" s="10" t="s">
        <v>246</v>
      </c>
      <c r="B22" s="10" t="s">
        <v>14</v>
      </c>
      <c r="C22" s="10" t="s">
        <v>211</v>
      </c>
      <c r="D22" s="10" t="s">
        <v>212</v>
      </c>
      <c r="E22" s="10" t="s">
        <v>24</v>
      </c>
      <c r="F22" s="11" t="n">
        <v>0</v>
      </c>
    </row>
    <row r="23" customFormat="false" ht="15" hidden="false" customHeight="false" outlineLevel="0" collapsed="false">
      <c r="A23" s="10" t="s">
        <v>247</v>
      </c>
      <c r="B23" s="10" t="s">
        <v>14</v>
      </c>
      <c r="C23" s="10" t="s">
        <v>214</v>
      </c>
      <c r="D23" s="10" t="s">
        <v>215</v>
      </c>
      <c r="E23" s="10" t="s">
        <v>24</v>
      </c>
      <c r="F23" s="11" t="n">
        <v>0</v>
      </c>
    </row>
    <row r="24" customFormat="false" ht="15" hidden="false" customHeight="false" outlineLevel="0" collapsed="false">
      <c r="A24" s="10" t="s">
        <v>248</v>
      </c>
      <c r="B24" s="10" t="s">
        <v>14</v>
      </c>
      <c r="C24" s="10" t="s">
        <v>217</v>
      </c>
      <c r="D24" s="10" t="s">
        <v>218</v>
      </c>
      <c r="E24" s="10" t="s">
        <v>24</v>
      </c>
      <c r="F24" s="11" t="n">
        <v>0</v>
      </c>
    </row>
    <row r="25" customFormat="false" ht="15" hidden="false" customHeight="false" outlineLevel="0" collapsed="false">
      <c r="A25" s="10" t="s">
        <v>249</v>
      </c>
      <c r="B25" s="10" t="s">
        <v>14</v>
      </c>
      <c r="C25" s="10" t="s">
        <v>220</v>
      </c>
      <c r="D25" s="10" t="s">
        <v>221</v>
      </c>
      <c r="E25" s="10" t="s">
        <v>24</v>
      </c>
      <c r="F25" s="11" t="n">
        <v>0</v>
      </c>
    </row>
    <row r="26" customFormat="false" ht="15" hidden="false" customHeight="false" outlineLevel="0" collapsed="false">
      <c r="A26" s="10" t="s">
        <v>250</v>
      </c>
      <c r="B26" s="10" t="s">
        <v>14</v>
      </c>
      <c r="C26" s="10" t="s">
        <v>223</v>
      </c>
      <c r="D26" s="10" t="s">
        <v>224</v>
      </c>
      <c r="E26" s="10" t="s">
        <v>24</v>
      </c>
      <c r="F26" s="11" t="n">
        <v>0</v>
      </c>
    </row>
    <row r="27" customFormat="false" ht="15" hidden="false" customHeight="false" outlineLevel="0" collapsed="false">
      <c r="A27" s="10" t="s">
        <v>251</v>
      </c>
      <c r="B27" s="10" t="s">
        <v>14</v>
      </c>
      <c r="C27" s="10" t="s">
        <v>226</v>
      </c>
      <c r="D27" s="10" t="s">
        <v>227</v>
      </c>
      <c r="E27" s="10" t="s">
        <v>24</v>
      </c>
      <c r="F27" s="11" t="n">
        <v>0</v>
      </c>
    </row>
    <row r="28" customFormat="false" ht="15" hidden="false" customHeight="false" outlineLevel="0" collapsed="false">
      <c r="A28" s="10" t="s">
        <v>252</v>
      </c>
      <c r="B28" s="10" t="s">
        <v>14</v>
      </c>
      <c r="C28" s="10" t="s">
        <v>229</v>
      </c>
      <c r="D28" s="10" t="s">
        <v>230</v>
      </c>
      <c r="E28" s="10" t="s">
        <v>24</v>
      </c>
      <c r="F28" s="11" t="n">
        <v>0</v>
      </c>
    </row>
    <row r="29" customFormat="false" ht="15" hidden="false" customHeight="false" outlineLevel="0" collapsed="false">
      <c r="A29" s="10" t="s">
        <v>253</v>
      </c>
      <c r="B29" s="10" t="s">
        <v>14</v>
      </c>
      <c r="C29" s="10" t="s">
        <v>232</v>
      </c>
      <c r="D29" s="10" t="s">
        <v>233</v>
      </c>
      <c r="E29" s="10" t="s">
        <v>24</v>
      </c>
      <c r="F29" s="11" t="n">
        <v>0</v>
      </c>
    </row>
    <row r="30" customFormat="false" ht="15" hidden="false" customHeight="false" outlineLevel="0" collapsed="false">
      <c r="A30" s="10" t="s">
        <v>254</v>
      </c>
      <c r="B30" s="10" t="s">
        <v>14</v>
      </c>
      <c r="C30" s="10" t="s">
        <v>235</v>
      </c>
      <c r="D30" s="10" t="s">
        <v>236</v>
      </c>
      <c r="E30" s="10" t="s">
        <v>24</v>
      </c>
      <c r="F30" s="11" t="n">
        <v>0</v>
      </c>
    </row>
    <row r="31" customFormat="false" ht="15" hidden="false" customHeight="false" outlineLevel="0" collapsed="false">
      <c r="A31" s="10" t="s">
        <v>255</v>
      </c>
      <c r="B31" s="10" t="s">
        <v>14</v>
      </c>
      <c r="C31" s="10" t="s">
        <v>238</v>
      </c>
      <c r="D31" s="10" t="s">
        <v>239</v>
      </c>
      <c r="E31" s="10" t="s">
        <v>24</v>
      </c>
      <c r="F31" s="11" t="n">
        <v>0</v>
      </c>
    </row>
    <row r="32" customFormat="false" ht="15" hidden="false" customHeight="false" outlineLevel="0" collapsed="false">
      <c r="A32" s="10" t="s">
        <v>256</v>
      </c>
      <c r="B32" s="10" t="s">
        <v>14</v>
      </c>
      <c r="C32" s="10" t="s">
        <v>241</v>
      </c>
      <c r="D32" s="10" t="s">
        <v>242</v>
      </c>
      <c r="E32" s="10" t="s">
        <v>24</v>
      </c>
      <c r="F32" s="11" t="n">
        <v>0</v>
      </c>
    </row>
    <row r="33" customFormat="false" ht="15" hidden="false" customHeight="false" outlineLevel="0" collapsed="false">
      <c r="A33" s="10" t="s">
        <v>257</v>
      </c>
      <c r="B33" s="10" t="s">
        <v>17</v>
      </c>
      <c r="C33" s="10" t="s">
        <v>202</v>
      </c>
      <c r="D33" s="10" t="s">
        <v>203</v>
      </c>
      <c r="E33" s="10" t="s">
        <v>24</v>
      </c>
      <c r="F33" s="11" t="n">
        <v>0</v>
      </c>
    </row>
    <row r="34" customFormat="false" ht="15" hidden="false" customHeight="false" outlineLevel="0" collapsed="false">
      <c r="A34" s="10" t="s">
        <v>258</v>
      </c>
      <c r="B34" s="10" t="s">
        <v>17</v>
      </c>
      <c r="C34" s="10" t="s">
        <v>205</v>
      </c>
      <c r="D34" s="10" t="s">
        <v>206</v>
      </c>
      <c r="E34" s="10" t="s">
        <v>24</v>
      </c>
      <c r="F34" s="11" t="n">
        <v>0</v>
      </c>
    </row>
    <row r="35" customFormat="false" ht="15" hidden="false" customHeight="false" outlineLevel="0" collapsed="false">
      <c r="A35" s="10" t="s">
        <v>259</v>
      </c>
      <c r="B35" s="10" t="s">
        <v>17</v>
      </c>
      <c r="C35" s="10" t="s">
        <v>208</v>
      </c>
      <c r="D35" s="10" t="s">
        <v>209</v>
      </c>
      <c r="E35" s="10" t="s">
        <v>24</v>
      </c>
      <c r="F35" s="11" t="n">
        <v>0</v>
      </c>
    </row>
    <row r="36" customFormat="false" ht="15" hidden="false" customHeight="false" outlineLevel="0" collapsed="false">
      <c r="A36" s="10" t="s">
        <v>260</v>
      </c>
      <c r="B36" s="10" t="s">
        <v>17</v>
      </c>
      <c r="C36" s="10" t="s">
        <v>211</v>
      </c>
      <c r="D36" s="10" t="s">
        <v>212</v>
      </c>
      <c r="E36" s="10" t="s">
        <v>24</v>
      </c>
      <c r="F36" s="11" t="n">
        <v>0</v>
      </c>
    </row>
    <row r="37" customFormat="false" ht="15" hidden="false" customHeight="false" outlineLevel="0" collapsed="false">
      <c r="A37" s="10" t="s">
        <v>261</v>
      </c>
      <c r="B37" s="10" t="s">
        <v>17</v>
      </c>
      <c r="C37" s="10" t="s">
        <v>214</v>
      </c>
      <c r="D37" s="10" t="s">
        <v>215</v>
      </c>
      <c r="E37" s="10" t="s">
        <v>24</v>
      </c>
      <c r="F37" s="11" t="n">
        <v>0</v>
      </c>
    </row>
    <row r="38" customFormat="false" ht="15" hidden="false" customHeight="false" outlineLevel="0" collapsed="false">
      <c r="A38" s="10" t="s">
        <v>262</v>
      </c>
      <c r="B38" s="10" t="s">
        <v>17</v>
      </c>
      <c r="C38" s="10" t="s">
        <v>217</v>
      </c>
      <c r="D38" s="10" t="s">
        <v>218</v>
      </c>
      <c r="E38" s="10" t="s">
        <v>24</v>
      </c>
      <c r="F38" s="11" t="n">
        <v>0</v>
      </c>
    </row>
    <row r="39" customFormat="false" ht="15" hidden="false" customHeight="false" outlineLevel="0" collapsed="false">
      <c r="A39" s="10" t="s">
        <v>263</v>
      </c>
      <c r="B39" s="10" t="s">
        <v>17</v>
      </c>
      <c r="C39" s="10" t="s">
        <v>220</v>
      </c>
      <c r="D39" s="10" t="s">
        <v>221</v>
      </c>
      <c r="E39" s="10" t="s">
        <v>24</v>
      </c>
      <c r="F39" s="11" t="n">
        <v>0</v>
      </c>
    </row>
    <row r="40" customFormat="false" ht="15" hidden="false" customHeight="false" outlineLevel="0" collapsed="false">
      <c r="A40" s="10" t="s">
        <v>264</v>
      </c>
      <c r="B40" s="10" t="s">
        <v>17</v>
      </c>
      <c r="C40" s="10" t="s">
        <v>223</v>
      </c>
      <c r="D40" s="10" t="s">
        <v>224</v>
      </c>
      <c r="E40" s="10" t="s">
        <v>24</v>
      </c>
      <c r="F40" s="11" t="n">
        <v>0</v>
      </c>
    </row>
    <row r="41" customFormat="false" ht="15" hidden="false" customHeight="false" outlineLevel="0" collapsed="false">
      <c r="A41" s="10" t="s">
        <v>265</v>
      </c>
      <c r="B41" s="10" t="s">
        <v>17</v>
      </c>
      <c r="C41" s="10" t="s">
        <v>226</v>
      </c>
      <c r="D41" s="10" t="s">
        <v>227</v>
      </c>
      <c r="E41" s="10" t="s">
        <v>24</v>
      </c>
      <c r="F41" s="11" t="n">
        <v>0</v>
      </c>
    </row>
    <row r="42" customFormat="false" ht="15" hidden="false" customHeight="false" outlineLevel="0" collapsed="false">
      <c r="A42" s="10" t="s">
        <v>266</v>
      </c>
      <c r="B42" s="10" t="s">
        <v>17</v>
      </c>
      <c r="C42" s="10" t="s">
        <v>229</v>
      </c>
      <c r="D42" s="10" t="s">
        <v>230</v>
      </c>
      <c r="E42" s="10" t="s">
        <v>24</v>
      </c>
      <c r="F42" s="11" t="n">
        <v>0</v>
      </c>
    </row>
    <row r="43" customFormat="false" ht="15" hidden="false" customHeight="false" outlineLevel="0" collapsed="false">
      <c r="A43" s="10" t="s">
        <v>267</v>
      </c>
      <c r="B43" s="10" t="s">
        <v>17</v>
      </c>
      <c r="C43" s="10" t="s">
        <v>232</v>
      </c>
      <c r="D43" s="10" t="s">
        <v>233</v>
      </c>
      <c r="E43" s="10" t="s">
        <v>24</v>
      </c>
      <c r="F43" s="11" t="n">
        <v>0</v>
      </c>
    </row>
    <row r="44" customFormat="false" ht="15" hidden="false" customHeight="false" outlineLevel="0" collapsed="false">
      <c r="A44" s="10" t="s">
        <v>268</v>
      </c>
      <c r="B44" s="10" t="s">
        <v>17</v>
      </c>
      <c r="C44" s="10" t="s">
        <v>235</v>
      </c>
      <c r="D44" s="10" t="s">
        <v>236</v>
      </c>
      <c r="E44" s="10" t="s">
        <v>24</v>
      </c>
      <c r="F44" s="11" t="n">
        <v>0</v>
      </c>
    </row>
    <row r="45" customFormat="false" ht="15" hidden="false" customHeight="false" outlineLevel="0" collapsed="false">
      <c r="A45" s="10" t="s">
        <v>269</v>
      </c>
      <c r="B45" s="10" t="s">
        <v>17</v>
      </c>
      <c r="C45" s="10" t="s">
        <v>238</v>
      </c>
      <c r="D45" s="10" t="s">
        <v>239</v>
      </c>
      <c r="E45" s="10" t="s">
        <v>24</v>
      </c>
      <c r="F45" s="11" t="n">
        <v>0</v>
      </c>
    </row>
    <row r="46" customFormat="false" ht="15" hidden="false" customHeight="false" outlineLevel="0" collapsed="false">
      <c r="A46" s="10" t="s">
        <v>270</v>
      </c>
      <c r="B46" s="10" t="s">
        <v>17</v>
      </c>
      <c r="C46" s="10" t="s">
        <v>241</v>
      </c>
      <c r="D46" s="10" t="s">
        <v>242</v>
      </c>
      <c r="E46" s="10" t="s">
        <v>24</v>
      </c>
      <c r="F46" s="11" t="n">
        <v>0</v>
      </c>
    </row>
    <row r="47" customFormat="false" ht="15" hidden="false" customHeight="false" outlineLevel="0" collapsed="false">
      <c r="A47" s="10" t="s">
        <v>271</v>
      </c>
      <c r="B47" s="10" t="s">
        <v>20</v>
      </c>
      <c r="C47" s="10" t="s">
        <v>202</v>
      </c>
      <c r="D47" s="10" t="s">
        <v>203</v>
      </c>
      <c r="E47" s="10" t="s">
        <v>24</v>
      </c>
      <c r="F47" s="11" t="n">
        <v>0</v>
      </c>
    </row>
    <row r="48" customFormat="false" ht="15" hidden="false" customHeight="false" outlineLevel="0" collapsed="false">
      <c r="A48" s="10" t="s">
        <v>272</v>
      </c>
      <c r="B48" s="10" t="s">
        <v>20</v>
      </c>
      <c r="C48" s="10" t="s">
        <v>205</v>
      </c>
      <c r="D48" s="10" t="s">
        <v>206</v>
      </c>
      <c r="E48" s="10" t="s">
        <v>24</v>
      </c>
      <c r="F48" s="11" t="n">
        <v>0</v>
      </c>
    </row>
    <row r="49" customFormat="false" ht="15" hidden="false" customHeight="false" outlineLevel="0" collapsed="false">
      <c r="A49" s="10" t="s">
        <v>273</v>
      </c>
      <c r="B49" s="10" t="s">
        <v>20</v>
      </c>
      <c r="C49" s="10" t="s">
        <v>208</v>
      </c>
      <c r="D49" s="10" t="s">
        <v>209</v>
      </c>
      <c r="E49" s="10" t="s">
        <v>24</v>
      </c>
      <c r="F49" s="11" t="n">
        <v>0</v>
      </c>
    </row>
    <row r="50" customFormat="false" ht="15" hidden="false" customHeight="false" outlineLevel="0" collapsed="false">
      <c r="A50" s="10" t="s">
        <v>274</v>
      </c>
      <c r="B50" s="10" t="s">
        <v>20</v>
      </c>
      <c r="C50" s="10" t="s">
        <v>211</v>
      </c>
      <c r="D50" s="10" t="s">
        <v>212</v>
      </c>
      <c r="E50" s="10" t="s">
        <v>24</v>
      </c>
      <c r="F50" s="11" t="n">
        <v>0</v>
      </c>
    </row>
    <row r="51" customFormat="false" ht="15" hidden="false" customHeight="false" outlineLevel="0" collapsed="false">
      <c r="A51" s="10" t="s">
        <v>275</v>
      </c>
      <c r="B51" s="10" t="s">
        <v>20</v>
      </c>
      <c r="C51" s="10" t="s">
        <v>214</v>
      </c>
      <c r="D51" s="10" t="s">
        <v>215</v>
      </c>
      <c r="E51" s="10" t="s">
        <v>24</v>
      </c>
      <c r="F51" s="11" t="n">
        <v>0</v>
      </c>
    </row>
    <row r="52" customFormat="false" ht="15" hidden="false" customHeight="false" outlineLevel="0" collapsed="false">
      <c r="A52" s="10" t="s">
        <v>276</v>
      </c>
      <c r="B52" s="10" t="s">
        <v>20</v>
      </c>
      <c r="C52" s="10" t="s">
        <v>217</v>
      </c>
      <c r="D52" s="10" t="s">
        <v>218</v>
      </c>
      <c r="E52" s="10" t="s">
        <v>24</v>
      </c>
      <c r="F52" s="11" t="n">
        <v>0</v>
      </c>
    </row>
    <row r="53" customFormat="false" ht="15" hidden="false" customHeight="false" outlineLevel="0" collapsed="false">
      <c r="A53" s="10" t="s">
        <v>277</v>
      </c>
      <c r="B53" s="10" t="s">
        <v>20</v>
      </c>
      <c r="C53" s="10" t="s">
        <v>220</v>
      </c>
      <c r="D53" s="10" t="s">
        <v>221</v>
      </c>
      <c r="E53" s="10" t="s">
        <v>24</v>
      </c>
      <c r="F53" s="11" t="n">
        <v>0</v>
      </c>
    </row>
    <row r="54" customFormat="false" ht="15" hidden="false" customHeight="false" outlineLevel="0" collapsed="false">
      <c r="A54" s="10" t="s">
        <v>278</v>
      </c>
      <c r="B54" s="10" t="s">
        <v>20</v>
      </c>
      <c r="C54" s="10" t="s">
        <v>223</v>
      </c>
      <c r="D54" s="10" t="s">
        <v>224</v>
      </c>
      <c r="E54" s="10" t="s">
        <v>24</v>
      </c>
      <c r="F54" s="11" t="n">
        <v>0</v>
      </c>
    </row>
    <row r="55" customFormat="false" ht="15" hidden="false" customHeight="false" outlineLevel="0" collapsed="false">
      <c r="A55" s="10" t="s">
        <v>279</v>
      </c>
      <c r="B55" s="10" t="s">
        <v>20</v>
      </c>
      <c r="C55" s="10" t="s">
        <v>226</v>
      </c>
      <c r="D55" s="10" t="s">
        <v>227</v>
      </c>
      <c r="E55" s="10" t="s">
        <v>24</v>
      </c>
      <c r="F55" s="11" t="n">
        <v>0</v>
      </c>
    </row>
    <row r="56" customFormat="false" ht="15" hidden="false" customHeight="false" outlineLevel="0" collapsed="false">
      <c r="A56" s="10" t="s">
        <v>280</v>
      </c>
      <c r="B56" s="10" t="s">
        <v>20</v>
      </c>
      <c r="C56" s="10" t="s">
        <v>229</v>
      </c>
      <c r="D56" s="10" t="s">
        <v>230</v>
      </c>
      <c r="E56" s="10" t="s">
        <v>24</v>
      </c>
      <c r="F56" s="11" t="n">
        <v>0</v>
      </c>
    </row>
    <row r="57" customFormat="false" ht="15" hidden="false" customHeight="false" outlineLevel="0" collapsed="false">
      <c r="A57" s="10" t="s">
        <v>281</v>
      </c>
      <c r="B57" s="10" t="s">
        <v>20</v>
      </c>
      <c r="C57" s="10" t="s">
        <v>232</v>
      </c>
      <c r="D57" s="10" t="s">
        <v>233</v>
      </c>
      <c r="E57" s="10" t="s">
        <v>24</v>
      </c>
      <c r="F57" s="11" t="n">
        <v>0</v>
      </c>
    </row>
    <row r="58" customFormat="false" ht="15" hidden="false" customHeight="false" outlineLevel="0" collapsed="false">
      <c r="A58" s="10" t="s">
        <v>282</v>
      </c>
      <c r="B58" s="10" t="s">
        <v>20</v>
      </c>
      <c r="C58" s="10" t="s">
        <v>235</v>
      </c>
      <c r="D58" s="10" t="s">
        <v>236</v>
      </c>
      <c r="E58" s="10" t="s">
        <v>24</v>
      </c>
      <c r="F58" s="11" t="n">
        <v>0</v>
      </c>
    </row>
    <row r="59" customFormat="false" ht="15" hidden="false" customHeight="false" outlineLevel="0" collapsed="false">
      <c r="A59" s="10" t="s">
        <v>283</v>
      </c>
      <c r="B59" s="10" t="s">
        <v>20</v>
      </c>
      <c r="C59" s="10" t="s">
        <v>238</v>
      </c>
      <c r="D59" s="10" t="s">
        <v>239</v>
      </c>
      <c r="E59" s="10" t="s">
        <v>24</v>
      </c>
      <c r="F59" s="11" t="n">
        <v>0</v>
      </c>
    </row>
    <row r="60" customFormat="false" ht="15" hidden="false" customHeight="false" outlineLevel="0" collapsed="false">
      <c r="A60" s="10" t="s">
        <v>284</v>
      </c>
      <c r="B60" s="10" t="s">
        <v>20</v>
      </c>
      <c r="C60" s="10" t="s">
        <v>241</v>
      </c>
      <c r="D60" s="10" t="s">
        <v>242</v>
      </c>
      <c r="E60" s="10" t="s">
        <v>24</v>
      </c>
      <c r="F60" s="11" t="n">
        <v>0</v>
      </c>
    </row>
    <row r="61" customFormat="false" ht="15" hidden="false" customHeight="false" outlineLevel="0" collapsed="false">
      <c r="A61" s="10" t="s">
        <v>285</v>
      </c>
      <c r="B61" s="10" t="s">
        <v>22</v>
      </c>
      <c r="C61" s="10" t="s">
        <v>202</v>
      </c>
      <c r="D61" s="10" t="s">
        <v>203</v>
      </c>
      <c r="E61" s="10" t="s">
        <v>24</v>
      </c>
      <c r="F61" s="11" t="n">
        <v>0</v>
      </c>
    </row>
    <row r="62" customFormat="false" ht="15" hidden="false" customHeight="false" outlineLevel="0" collapsed="false">
      <c r="A62" s="10" t="s">
        <v>286</v>
      </c>
      <c r="B62" s="10" t="s">
        <v>22</v>
      </c>
      <c r="C62" s="10" t="s">
        <v>205</v>
      </c>
      <c r="D62" s="10" t="s">
        <v>206</v>
      </c>
      <c r="E62" s="10" t="s">
        <v>24</v>
      </c>
      <c r="F62" s="11" t="n">
        <v>0</v>
      </c>
    </row>
    <row r="63" customFormat="false" ht="15" hidden="false" customHeight="false" outlineLevel="0" collapsed="false">
      <c r="A63" s="10" t="s">
        <v>287</v>
      </c>
      <c r="B63" s="10" t="s">
        <v>22</v>
      </c>
      <c r="C63" s="10" t="s">
        <v>208</v>
      </c>
      <c r="D63" s="10" t="s">
        <v>209</v>
      </c>
      <c r="E63" s="10" t="s">
        <v>24</v>
      </c>
      <c r="F63" s="11" t="n">
        <v>0</v>
      </c>
    </row>
    <row r="64" customFormat="false" ht="15" hidden="false" customHeight="false" outlineLevel="0" collapsed="false">
      <c r="A64" s="10" t="s">
        <v>288</v>
      </c>
      <c r="B64" s="10" t="s">
        <v>22</v>
      </c>
      <c r="C64" s="10" t="s">
        <v>211</v>
      </c>
      <c r="D64" s="10" t="s">
        <v>212</v>
      </c>
      <c r="E64" s="10" t="s">
        <v>24</v>
      </c>
      <c r="F64" s="11" t="n">
        <v>0</v>
      </c>
    </row>
    <row r="65" customFormat="false" ht="15" hidden="false" customHeight="false" outlineLevel="0" collapsed="false">
      <c r="A65" s="10" t="s">
        <v>289</v>
      </c>
      <c r="B65" s="10" t="s">
        <v>22</v>
      </c>
      <c r="C65" s="10" t="s">
        <v>214</v>
      </c>
      <c r="D65" s="10" t="s">
        <v>215</v>
      </c>
      <c r="E65" s="10" t="s">
        <v>24</v>
      </c>
      <c r="F65" s="11" t="n">
        <v>0</v>
      </c>
    </row>
    <row r="66" customFormat="false" ht="15" hidden="false" customHeight="false" outlineLevel="0" collapsed="false">
      <c r="A66" s="10" t="s">
        <v>290</v>
      </c>
      <c r="B66" s="10" t="s">
        <v>22</v>
      </c>
      <c r="C66" s="10" t="s">
        <v>217</v>
      </c>
      <c r="D66" s="10" t="s">
        <v>218</v>
      </c>
      <c r="E66" s="10" t="s">
        <v>24</v>
      </c>
      <c r="F66" s="11" t="n">
        <v>0</v>
      </c>
    </row>
    <row r="67" customFormat="false" ht="15" hidden="false" customHeight="false" outlineLevel="0" collapsed="false">
      <c r="A67" s="10" t="s">
        <v>291</v>
      </c>
      <c r="B67" s="10" t="s">
        <v>22</v>
      </c>
      <c r="C67" s="10" t="s">
        <v>220</v>
      </c>
      <c r="D67" s="10" t="s">
        <v>221</v>
      </c>
      <c r="E67" s="10" t="s">
        <v>24</v>
      </c>
      <c r="F67" s="11" t="n">
        <v>0</v>
      </c>
    </row>
    <row r="68" customFormat="false" ht="15" hidden="false" customHeight="false" outlineLevel="0" collapsed="false">
      <c r="A68" s="10" t="s">
        <v>292</v>
      </c>
      <c r="B68" s="10" t="s">
        <v>22</v>
      </c>
      <c r="C68" s="10" t="s">
        <v>223</v>
      </c>
      <c r="D68" s="10" t="s">
        <v>224</v>
      </c>
      <c r="E68" s="10" t="s">
        <v>24</v>
      </c>
      <c r="F68" s="11" t="n">
        <v>0</v>
      </c>
    </row>
    <row r="69" customFormat="false" ht="15" hidden="false" customHeight="false" outlineLevel="0" collapsed="false">
      <c r="A69" s="10" t="s">
        <v>293</v>
      </c>
      <c r="B69" s="10" t="s">
        <v>22</v>
      </c>
      <c r="C69" s="10" t="s">
        <v>226</v>
      </c>
      <c r="D69" s="10" t="s">
        <v>227</v>
      </c>
      <c r="E69" s="10" t="s">
        <v>24</v>
      </c>
      <c r="F69" s="11" t="n">
        <v>0</v>
      </c>
    </row>
    <row r="70" customFormat="false" ht="15" hidden="false" customHeight="false" outlineLevel="0" collapsed="false">
      <c r="A70" s="10" t="s">
        <v>294</v>
      </c>
      <c r="B70" s="10" t="s">
        <v>22</v>
      </c>
      <c r="C70" s="10" t="s">
        <v>229</v>
      </c>
      <c r="D70" s="10" t="s">
        <v>230</v>
      </c>
      <c r="E70" s="10" t="s">
        <v>24</v>
      </c>
      <c r="F70" s="11" t="n">
        <v>0</v>
      </c>
    </row>
    <row r="71" customFormat="false" ht="15" hidden="false" customHeight="false" outlineLevel="0" collapsed="false">
      <c r="A71" s="10" t="s">
        <v>295</v>
      </c>
      <c r="B71" s="10" t="s">
        <v>22</v>
      </c>
      <c r="C71" s="10" t="s">
        <v>232</v>
      </c>
      <c r="D71" s="10" t="s">
        <v>233</v>
      </c>
      <c r="E71" s="10" t="s">
        <v>24</v>
      </c>
      <c r="F71" s="11" t="n">
        <v>0</v>
      </c>
    </row>
    <row r="72" customFormat="false" ht="15" hidden="false" customHeight="false" outlineLevel="0" collapsed="false">
      <c r="A72" s="10" t="s">
        <v>296</v>
      </c>
      <c r="B72" s="10" t="s">
        <v>22</v>
      </c>
      <c r="C72" s="10" t="s">
        <v>235</v>
      </c>
      <c r="D72" s="10" t="s">
        <v>236</v>
      </c>
      <c r="E72" s="10" t="s">
        <v>24</v>
      </c>
      <c r="F72" s="11" t="n">
        <v>0</v>
      </c>
    </row>
    <row r="73" customFormat="false" ht="15" hidden="false" customHeight="false" outlineLevel="0" collapsed="false">
      <c r="A73" s="10" t="s">
        <v>297</v>
      </c>
      <c r="B73" s="10" t="s">
        <v>22</v>
      </c>
      <c r="C73" s="10" t="s">
        <v>238</v>
      </c>
      <c r="D73" s="10" t="s">
        <v>239</v>
      </c>
      <c r="E73" s="10" t="s">
        <v>24</v>
      </c>
      <c r="F73" s="11" t="n">
        <v>0</v>
      </c>
    </row>
    <row r="74" customFormat="false" ht="15" hidden="false" customHeight="false" outlineLevel="0" collapsed="false">
      <c r="A74" s="10" t="s">
        <v>298</v>
      </c>
      <c r="B74" s="10" t="s">
        <v>22</v>
      </c>
      <c r="C74" s="10" t="s">
        <v>241</v>
      </c>
      <c r="D74" s="10" t="s">
        <v>242</v>
      </c>
      <c r="E74" s="10" t="s">
        <v>24</v>
      </c>
      <c r="F74" s="11" t="n">
        <v>0</v>
      </c>
    </row>
    <row r="75" customFormat="false" ht="15" hidden="false" customHeight="false" outlineLevel="0" collapsed="false">
      <c r="A75" s="10" t="s">
        <v>299</v>
      </c>
      <c r="B75" s="10" t="s">
        <v>25</v>
      </c>
      <c r="C75" s="10" t="s">
        <v>202</v>
      </c>
      <c r="D75" s="10" t="s">
        <v>203</v>
      </c>
      <c r="E75" s="10" t="s">
        <v>24</v>
      </c>
      <c r="F75" s="11" t="n">
        <v>0</v>
      </c>
    </row>
    <row r="76" customFormat="false" ht="15" hidden="false" customHeight="false" outlineLevel="0" collapsed="false">
      <c r="A76" s="10" t="s">
        <v>300</v>
      </c>
      <c r="B76" s="10" t="s">
        <v>25</v>
      </c>
      <c r="C76" s="10" t="s">
        <v>205</v>
      </c>
      <c r="D76" s="10" t="s">
        <v>206</v>
      </c>
      <c r="E76" s="10" t="s">
        <v>24</v>
      </c>
      <c r="F76" s="11" t="n">
        <v>0</v>
      </c>
    </row>
    <row r="77" customFormat="false" ht="15" hidden="false" customHeight="false" outlineLevel="0" collapsed="false">
      <c r="A77" s="10" t="s">
        <v>301</v>
      </c>
      <c r="B77" s="10" t="s">
        <v>25</v>
      </c>
      <c r="C77" s="10" t="s">
        <v>208</v>
      </c>
      <c r="D77" s="10" t="s">
        <v>209</v>
      </c>
      <c r="E77" s="10" t="s">
        <v>24</v>
      </c>
      <c r="F77" s="11" t="n">
        <v>0</v>
      </c>
    </row>
    <row r="78" customFormat="false" ht="15" hidden="false" customHeight="false" outlineLevel="0" collapsed="false">
      <c r="A78" s="10" t="s">
        <v>302</v>
      </c>
      <c r="B78" s="10" t="s">
        <v>25</v>
      </c>
      <c r="C78" s="10" t="s">
        <v>211</v>
      </c>
      <c r="D78" s="10" t="s">
        <v>212</v>
      </c>
      <c r="E78" s="10" t="s">
        <v>24</v>
      </c>
      <c r="F78" s="11" t="n">
        <v>0</v>
      </c>
    </row>
    <row r="79" customFormat="false" ht="15" hidden="false" customHeight="false" outlineLevel="0" collapsed="false">
      <c r="A79" s="10" t="s">
        <v>303</v>
      </c>
      <c r="B79" s="10" t="s">
        <v>25</v>
      </c>
      <c r="C79" s="10" t="s">
        <v>214</v>
      </c>
      <c r="D79" s="10" t="s">
        <v>215</v>
      </c>
      <c r="E79" s="10" t="s">
        <v>24</v>
      </c>
      <c r="F79" s="11" t="n">
        <v>0</v>
      </c>
    </row>
    <row r="80" customFormat="false" ht="15" hidden="false" customHeight="false" outlineLevel="0" collapsed="false">
      <c r="A80" s="10" t="s">
        <v>304</v>
      </c>
      <c r="B80" s="10" t="s">
        <v>25</v>
      </c>
      <c r="C80" s="10" t="s">
        <v>217</v>
      </c>
      <c r="D80" s="10" t="s">
        <v>218</v>
      </c>
      <c r="E80" s="10" t="s">
        <v>24</v>
      </c>
      <c r="F80" s="11" t="n">
        <v>0</v>
      </c>
    </row>
    <row r="81" customFormat="false" ht="15" hidden="false" customHeight="false" outlineLevel="0" collapsed="false">
      <c r="A81" s="10" t="s">
        <v>305</v>
      </c>
      <c r="B81" s="10" t="s">
        <v>25</v>
      </c>
      <c r="C81" s="10" t="s">
        <v>220</v>
      </c>
      <c r="D81" s="10" t="s">
        <v>221</v>
      </c>
      <c r="E81" s="10" t="s">
        <v>24</v>
      </c>
      <c r="F81" s="11" t="n">
        <v>0</v>
      </c>
    </row>
    <row r="82" customFormat="false" ht="15" hidden="false" customHeight="false" outlineLevel="0" collapsed="false">
      <c r="A82" s="10" t="s">
        <v>306</v>
      </c>
      <c r="B82" s="10" t="s">
        <v>25</v>
      </c>
      <c r="C82" s="10" t="s">
        <v>223</v>
      </c>
      <c r="D82" s="10" t="s">
        <v>224</v>
      </c>
      <c r="E82" s="10" t="s">
        <v>24</v>
      </c>
      <c r="F82" s="11" t="n">
        <v>0</v>
      </c>
    </row>
    <row r="83" customFormat="false" ht="15" hidden="false" customHeight="false" outlineLevel="0" collapsed="false">
      <c r="A83" s="10" t="s">
        <v>307</v>
      </c>
      <c r="B83" s="10" t="s">
        <v>25</v>
      </c>
      <c r="C83" s="10" t="s">
        <v>226</v>
      </c>
      <c r="D83" s="10" t="s">
        <v>227</v>
      </c>
      <c r="E83" s="10" t="s">
        <v>24</v>
      </c>
      <c r="F83" s="11" t="n">
        <v>0</v>
      </c>
    </row>
    <row r="84" customFormat="false" ht="15" hidden="false" customHeight="false" outlineLevel="0" collapsed="false">
      <c r="A84" s="10" t="s">
        <v>308</v>
      </c>
      <c r="B84" s="10" t="s">
        <v>25</v>
      </c>
      <c r="C84" s="10" t="s">
        <v>229</v>
      </c>
      <c r="D84" s="10" t="s">
        <v>230</v>
      </c>
      <c r="E84" s="10" t="s">
        <v>24</v>
      </c>
      <c r="F84" s="11" t="n">
        <v>0</v>
      </c>
    </row>
    <row r="85" customFormat="false" ht="15" hidden="false" customHeight="false" outlineLevel="0" collapsed="false">
      <c r="A85" s="10" t="s">
        <v>309</v>
      </c>
      <c r="B85" s="10" t="s">
        <v>25</v>
      </c>
      <c r="C85" s="10" t="s">
        <v>232</v>
      </c>
      <c r="D85" s="10" t="s">
        <v>233</v>
      </c>
      <c r="E85" s="10" t="s">
        <v>24</v>
      </c>
      <c r="F85" s="11" t="n">
        <v>0</v>
      </c>
    </row>
    <row r="86" customFormat="false" ht="15" hidden="false" customHeight="false" outlineLevel="0" collapsed="false">
      <c r="A86" s="10" t="s">
        <v>310</v>
      </c>
      <c r="B86" s="10" t="s">
        <v>25</v>
      </c>
      <c r="C86" s="10" t="s">
        <v>235</v>
      </c>
      <c r="D86" s="10" t="s">
        <v>236</v>
      </c>
      <c r="E86" s="10" t="s">
        <v>24</v>
      </c>
      <c r="F86" s="11" t="n">
        <v>0</v>
      </c>
    </row>
    <row r="87" customFormat="false" ht="15" hidden="false" customHeight="false" outlineLevel="0" collapsed="false">
      <c r="A87" s="10" t="s">
        <v>311</v>
      </c>
      <c r="B87" s="10" t="s">
        <v>25</v>
      </c>
      <c r="C87" s="10" t="s">
        <v>238</v>
      </c>
      <c r="D87" s="10" t="s">
        <v>239</v>
      </c>
      <c r="E87" s="10" t="s">
        <v>24</v>
      </c>
      <c r="F87" s="11" t="n">
        <v>0</v>
      </c>
    </row>
    <row r="88" customFormat="false" ht="15" hidden="false" customHeight="false" outlineLevel="0" collapsed="false">
      <c r="A88" s="13" t="s">
        <v>312</v>
      </c>
      <c r="B88" s="13" t="s">
        <v>25</v>
      </c>
      <c r="C88" s="13" t="s">
        <v>241</v>
      </c>
      <c r="D88" s="13" t="s">
        <v>242</v>
      </c>
      <c r="E88" s="13" t="s">
        <v>24</v>
      </c>
      <c r="F88" s="17" t="n">
        <v>0</v>
      </c>
    </row>
  </sheetData>
  <mergeCells count="1">
    <mergeCell ref="A2:F2"/>
  </mergeCells>
  <conditionalFormatting sqref="E5:E88">
    <cfRule type="containsText" priority="2" operator="containsText" aboveAverage="0" equalAverage="0" bottom="0" percent="0" rank="0" text="FAIL" dxfId="2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6" min="6" style="0" width="25"/>
    <col collapsed="false" customWidth="true" hidden="false" outlineLevel="0" max="7" min="7" style="0" width="27"/>
    <col collapsed="false" customWidth="true" hidden="false" outlineLevel="0" max="8" min="8" style="0" width="18"/>
    <col collapsed="false" customWidth="true" hidden="false" outlineLevel="0" max="10" min="9" style="0" width="16"/>
  </cols>
  <sheetData>
    <row r="2" customFormat="false" ht="15" hidden="false" customHeight="false" outlineLevel="0" collapsed="false">
      <c r="A2" s="1" t="s">
        <v>313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8" hidden="false" customHeight="true" outlineLevel="0" collapsed="false">
      <c r="A4" s="3" t="s">
        <v>314</v>
      </c>
      <c r="B4" s="4" t="s">
        <v>4</v>
      </c>
      <c r="C4" s="4" t="s">
        <v>315</v>
      </c>
      <c r="D4" s="4" t="s">
        <v>316</v>
      </c>
      <c r="E4" s="4" t="s">
        <v>50</v>
      </c>
      <c r="F4" s="4" t="s">
        <v>317</v>
      </c>
      <c r="G4" s="4" t="s">
        <v>318</v>
      </c>
      <c r="H4" s="4" t="s">
        <v>319</v>
      </c>
      <c r="I4" s="4" t="s">
        <v>320</v>
      </c>
      <c r="J4" s="5" t="s">
        <v>3</v>
      </c>
    </row>
    <row r="5" customFormat="false" ht="15" hidden="false" customHeight="false" outlineLevel="0" collapsed="false">
      <c r="A5" s="7" t="s">
        <v>321</v>
      </c>
      <c r="B5" s="7" t="s">
        <v>11</v>
      </c>
      <c r="C5" s="7" t="s">
        <v>322</v>
      </c>
      <c r="D5" s="18" t="n">
        <v>0.50047461808185</v>
      </c>
      <c r="E5" s="19" t="n">
        <f aca="false">Controls!$B$14</f>
        <v>0.15</v>
      </c>
      <c r="F5" s="18" t="n">
        <f aca="false">D5*E5</f>
        <v>0.0750711927122775</v>
      </c>
      <c r="G5" s="18" t="n">
        <f aca="false">Controls!$B$15</f>
        <v>0</v>
      </c>
      <c r="H5" s="18" t="n">
        <v>0</v>
      </c>
      <c r="I5" s="18" t="n">
        <v>0</v>
      </c>
      <c r="J5" s="7" t="str">
        <f aca="false">IF(OR(G5&gt;0,H5&gt;0,I5&gt;0),"INVALID","HELD")</f>
        <v>HELD</v>
      </c>
    </row>
    <row r="6" customFormat="false" ht="15" hidden="false" customHeight="false" outlineLevel="0" collapsed="false">
      <c r="A6" s="10" t="s">
        <v>323</v>
      </c>
      <c r="B6" s="10" t="s">
        <v>14</v>
      </c>
      <c r="C6" s="10" t="s">
        <v>324</v>
      </c>
      <c r="D6" s="12" t="n">
        <v>0.51649348177396</v>
      </c>
      <c r="E6" s="16" t="n">
        <f aca="false">Controls!$B$14</f>
        <v>0.15</v>
      </c>
      <c r="F6" s="12" t="n">
        <f aca="false">D6*E6</f>
        <v>0.077474022266094</v>
      </c>
      <c r="G6" s="12" t="n">
        <f aca="false">Controls!$B$15</f>
        <v>0</v>
      </c>
      <c r="H6" s="12" t="n">
        <v>0</v>
      </c>
      <c r="I6" s="12" t="n">
        <v>0</v>
      </c>
      <c r="J6" s="10" t="str">
        <f aca="false">IF(OR(G6&gt;0,H6&gt;0,I6&gt;0),"INVALID","HELD")</f>
        <v>HELD</v>
      </c>
    </row>
    <row r="7" customFormat="false" ht="15" hidden="false" customHeight="false" outlineLevel="0" collapsed="false">
      <c r="A7" s="10" t="s">
        <v>325</v>
      </c>
      <c r="B7" s="10" t="s">
        <v>17</v>
      </c>
      <c r="C7" s="10" t="s">
        <v>326</v>
      </c>
      <c r="D7" s="12" t="n">
        <v>0.307221654067133</v>
      </c>
      <c r="E7" s="16" t="n">
        <f aca="false">Controls!$B$14</f>
        <v>0.15</v>
      </c>
      <c r="F7" s="12" t="n">
        <f aca="false">D7*E7</f>
        <v>0.0460832481100699</v>
      </c>
      <c r="G7" s="12" t="n">
        <f aca="false">Controls!$B$15</f>
        <v>0</v>
      </c>
      <c r="H7" s="12" t="n">
        <v>0</v>
      </c>
      <c r="I7" s="12" t="n">
        <v>0</v>
      </c>
      <c r="J7" s="10" t="str">
        <f aca="false">IF(OR(G7&gt;0,H7&gt;0,I7&gt;0),"INVALID","HELD")</f>
        <v>HELD</v>
      </c>
    </row>
    <row r="8" customFormat="false" ht="15" hidden="false" customHeight="false" outlineLevel="0" collapsed="false">
      <c r="A8" s="10" t="s">
        <v>327</v>
      </c>
      <c r="B8" s="10" t="s">
        <v>20</v>
      </c>
      <c r="C8" s="10" t="s">
        <v>328</v>
      </c>
      <c r="D8" s="12" t="n">
        <v>0.899412819320565</v>
      </c>
      <c r="E8" s="16" t="n">
        <f aca="false">Controls!$B$14</f>
        <v>0.15</v>
      </c>
      <c r="F8" s="12" t="n">
        <f aca="false">D8*E8</f>
        <v>0.134911922898085</v>
      </c>
      <c r="G8" s="12" t="n">
        <f aca="false">Controls!$B$15</f>
        <v>0</v>
      </c>
      <c r="H8" s="12" t="n">
        <v>0</v>
      </c>
      <c r="I8" s="12" t="n">
        <v>0</v>
      </c>
      <c r="J8" s="10" t="str">
        <f aca="false">IF(OR(G8&gt;0,H8&gt;0,I8&gt;0),"INVALID","HELD")</f>
        <v>HELD</v>
      </c>
    </row>
    <row r="9" customFormat="false" ht="15" hidden="false" customHeight="false" outlineLevel="0" collapsed="false">
      <c r="A9" s="10" t="s">
        <v>329</v>
      </c>
      <c r="B9" s="10" t="s">
        <v>22</v>
      </c>
      <c r="C9" s="10" t="s">
        <v>330</v>
      </c>
      <c r="D9" s="12" t="n">
        <v>0.860712452941095</v>
      </c>
      <c r="E9" s="16" t="n">
        <f aca="false">Controls!$B$14</f>
        <v>0.15</v>
      </c>
      <c r="F9" s="12" t="n">
        <f aca="false">D9*E9</f>
        <v>0.129106867941164</v>
      </c>
      <c r="G9" s="12" t="n">
        <f aca="false">Controls!$B$15</f>
        <v>0</v>
      </c>
      <c r="H9" s="12" t="n">
        <v>0</v>
      </c>
      <c r="I9" s="12" t="n">
        <v>0</v>
      </c>
      <c r="J9" s="10" t="str">
        <f aca="false">IF(OR(G9&gt;0,H9&gt;0,I9&gt;0),"INVALID","HELD")</f>
        <v>HELD</v>
      </c>
    </row>
    <row r="10" customFormat="false" ht="15" hidden="false" customHeight="false" outlineLevel="0" collapsed="false">
      <c r="A10" s="10" t="s">
        <v>331</v>
      </c>
      <c r="B10" s="10" t="s">
        <v>25</v>
      </c>
      <c r="C10" s="10" t="s">
        <v>332</v>
      </c>
      <c r="D10" s="12" t="n">
        <v>0.502597793135963</v>
      </c>
      <c r="E10" s="16" t="n">
        <f aca="false">Controls!$B$14</f>
        <v>0.15</v>
      </c>
      <c r="F10" s="12" t="n">
        <f aca="false">D10*E10</f>
        <v>0.0753896689703944</v>
      </c>
      <c r="G10" s="12" t="n">
        <f aca="false">Controls!$B$15</f>
        <v>0</v>
      </c>
      <c r="H10" s="12" t="n">
        <v>0</v>
      </c>
      <c r="I10" s="12" t="n">
        <v>0</v>
      </c>
      <c r="J10" s="10" t="str">
        <f aca="false">IF(OR(G10&gt;0,H10&gt;0,I10&gt;0),"INVALID","HELD")</f>
        <v>HELD</v>
      </c>
    </row>
    <row r="11" customFormat="false" ht="15" hidden="false" customHeight="false" outlineLevel="0" collapsed="false">
      <c r="A11" s="20" t="s">
        <v>333</v>
      </c>
      <c r="B11" s="20" t="s">
        <v>334</v>
      </c>
      <c r="C11" s="20" t="s">
        <v>335</v>
      </c>
      <c r="D11" s="21" t="n">
        <f aca="false">SUM(D5:D10)</f>
        <v>3.58691281932057</v>
      </c>
      <c r="E11" s="20"/>
      <c r="F11" s="21" t="n">
        <f aca="false">SUM(F5:F10)</f>
        <v>0.538036922898085</v>
      </c>
      <c r="G11" s="21" t="n">
        <f aca="false">SUM(G5:G10)</f>
        <v>0</v>
      </c>
      <c r="H11" s="21" t="n">
        <f aca="false">SUM(H5:H10)</f>
        <v>0</v>
      </c>
      <c r="I11" s="21" t="n">
        <f aca="false">SUM(I5:I10)</f>
        <v>0</v>
      </c>
      <c r="J11" s="20" t="str">
        <f aca="false">IF(COUNTIF(J5:J10,"INVALID")&gt;0,"INVALID","HELD")</f>
        <v>HELD</v>
      </c>
    </row>
  </sheetData>
  <mergeCells count="1"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5" min="4" style="0" width="14"/>
  </cols>
  <sheetData>
    <row r="2" customFormat="false" ht="15" hidden="false" customHeight="false" outlineLevel="0" collapsed="false">
      <c r="A2" s="1" t="s">
        <v>336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8" hidden="false" customHeight="true" outlineLevel="0" collapsed="false">
      <c r="A4" s="3" t="s">
        <v>337</v>
      </c>
      <c r="B4" s="4" t="s">
        <v>338</v>
      </c>
      <c r="C4" s="4" t="s">
        <v>339</v>
      </c>
      <c r="D4" s="4" t="s">
        <v>340</v>
      </c>
      <c r="E4" s="5" t="s">
        <v>341</v>
      </c>
    </row>
    <row r="5" customFormat="false" ht="15" hidden="false" customHeight="false" outlineLevel="0" collapsed="false">
      <c r="A5" s="7" t="s">
        <v>342</v>
      </c>
      <c r="B5" s="7" t="s">
        <v>343</v>
      </c>
      <c r="C5" s="7" t="s">
        <v>344</v>
      </c>
      <c r="D5" s="8" t="n">
        <v>1</v>
      </c>
      <c r="E5" s="8" t="n">
        <v>1</v>
      </c>
    </row>
    <row r="6" customFormat="false" ht="15" hidden="false" customHeight="false" outlineLevel="0" collapsed="false">
      <c r="A6" s="10" t="s">
        <v>345</v>
      </c>
      <c r="B6" s="10" t="s">
        <v>346</v>
      </c>
      <c r="C6" s="10" t="s">
        <v>347</v>
      </c>
      <c r="D6" s="11" t="n">
        <v>1</v>
      </c>
      <c r="E6" s="11" t="n">
        <v>1</v>
      </c>
    </row>
    <row r="7" customFormat="false" ht="15" hidden="false" customHeight="false" outlineLevel="0" collapsed="false">
      <c r="A7" s="10" t="s">
        <v>348</v>
      </c>
      <c r="B7" s="10" t="s">
        <v>349</v>
      </c>
      <c r="C7" s="10" t="s">
        <v>350</v>
      </c>
      <c r="D7" s="11" t="n">
        <v>1</v>
      </c>
      <c r="E7" s="11" t="n">
        <v>1</v>
      </c>
    </row>
    <row r="8" customFormat="false" ht="15" hidden="false" customHeight="false" outlineLevel="0" collapsed="false">
      <c r="A8" s="10" t="s">
        <v>351</v>
      </c>
      <c r="B8" s="10" t="s">
        <v>352</v>
      </c>
      <c r="C8" s="10" t="s">
        <v>353</v>
      </c>
      <c r="D8" s="11" t="n">
        <v>1</v>
      </c>
      <c r="E8" s="11" t="n">
        <v>1</v>
      </c>
    </row>
    <row r="9" customFormat="false" ht="15" hidden="false" customHeight="false" outlineLevel="0" collapsed="false">
      <c r="A9" s="10" t="s">
        <v>354</v>
      </c>
      <c r="B9" s="10" t="s">
        <v>355</v>
      </c>
      <c r="C9" s="10" t="s">
        <v>356</v>
      </c>
      <c r="D9" s="11" t="n">
        <v>1</v>
      </c>
      <c r="E9" s="11" t="n">
        <v>1</v>
      </c>
    </row>
    <row r="10" customFormat="false" ht="15" hidden="false" customHeight="false" outlineLevel="0" collapsed="false">
      <c r="A10" s="10" t="s">
        <v>357</v>
      </c>
      <c r="B10" s="10" t="s">
        <v>358</v>
      </c>
      <c r="C10" s="10" t="s">
        <v>359</v>
      </c>
      <c r="D10" s="11" t="n">
        <v>1</v>
      </c>
      <c r="E10" s="11" t="n">
        <v>1</v>
      </c>
    </row>
    <row r="11" customFormat="false" ht="15" hidden="false" customHeight="false" outlineLevel="0" collapsed="false">
      <c r="A11" s="10" t="s">
        <v>360</v>
      </c>
      <c r="B11" s="10" t="s">
        <v>361</v>
      </c>
      <c r="C11" s="10" t="s">
        <v>362</v>
      </c>
      <c r="D11" s="11" t="n">
        <v>1</v>
      </c>
      <c r="E11" s="11" t="n">
        <v>1</v>
      </c>
    </row>
    <row r="12" customFormat="false" ht="15" hidden="false" customHeight="false" outlineLevel="0" collapsed="false">
      <c r="A12" s="10" t="s">
        <v>363</v>
      </c>
      <c r="B12" s="10" t="s">
        <v>364</v>
      </c>
      <c r="C12" s="10" t="s">
        <v>365</v>
      </c>
      <c r="D12" s="11" t="n">
        <v>1</v>
      </c>
      <c r="E12" s="11" t="n">
        <v>1</v>
      </c>
    </row>
    <row r="13" customFormat="false" ht="15" hidden="false" customHeight="false" outlineLevel="0" collapsed="false">
      <c r="A13" s="10" t="s">
        <v>366</v>
      </c>
      <c r="B13" s="10" t="s">
        <v>367</v>
      </c>
      <c r="C13" s="10" t="s">
        <v>368</v>
      </c>
      <c r="D13" s="11" t="n">
        <v>1</v>
      </c>
      <c r="E13" s="11" t="n">
        <v>1</v>
      </c>
    </row>
    <row r="14" customFormat="false" ht="15" hidden="false" customHeight="false" outlineLevel="0" collapsed="false">
      <c r="A14" s="10" t="s">
        <v>369</v>
      </c>
      <c r="B14" s="10" t="s">
        <v>370</v>
      </c>
      <c r="C14" s="10" t="s">
        <v>368</v>
      </c>
      <c r="D14" s="11" t="n">
        <v>1</v>
      </c>
      <c r="E14" s="11" t="n">
        <v>1</v>
      </c>
    </row>
    <row r="15" customFormat="false" ht="15" hidden="false" customHeight="false" outlineLevel="0" collapsed="false">
      <c r="A15" s="10" t="s">
        <v>371</v>
      </c>
      <c r="B15" s="10" t="s">
        <v>372</v>
      </c>
      <c r="C15" s="10" t="s">
        <v>373</v>
      </c>
      <c r="D15" s="11" t="n">
        <v>1</v>
      </c>
      <c r="E15" s="11" t="n">
        <v>1</v>
      </c>
    </row>
    <row r="16" customFormat="false" ht="15" hidden="false" customHeight="false" outlineLevel="0" collapsed="false">
      <c r="A16" s="13" t="s">
        <v>374</v>
      </c>
      <c r="B16" s="13" t="s">
        <v>375</v>
      </c>
      <c r="C16" s="13" t="s">
        <v>376</v>
      </c>
      <c r="D16" s="17" t="n">
        <v>1</v>
      </c>
      <c r="E16" s="17" t="n">
        <v>1</v>
      </c>
    </row>
  </sheetData>
  <mergeCells count="1"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14"/>
  </cols>
  <sheetData>
    <row r="2" customFormat="false" ht="15" hidden="false" customHeight="false" outlineLevel="0" collapsed="false">
      <c r="A2" s="1" t="s">
        <v>377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8" hidden="false" customHeight="true" outlineLevel="0" collapsed="false">
      <c r="A4" s="3" t="s">
        <v>378</v>
      </c>
      <c r="B4" s="4" t="s">
        <v>379</v>
      </c>
      <c r="C4" s="4" t="s">
        <v>380</v>
      </c>
      <c r="D4" s="4" t="s">
        <v>381</v>
      </c>
      <c r="E4" s="5" t="s">
        <v>199</v>
      </c>
    </row>
    <row r="5" customFormat="false" ht="15" hidden="false" customHeight="false" outlineLevel="0" collapsed="false">
      <c r="A5" s="7" t="s">
        <v>382</v>
      </c>
      <c r="B5" s="7" t="s">
        <v>383</v>
      </c>
      <c r="C5" s="18" t="n">
        <f aca="false">COUNTA('Plate Register'!A5:A10)</f>
        <v>6</v>
      </c>
      <c r="D5" s="18" t="n">
        <v>6</v>
      </c>
      <c r="E5" s="7" t="str">
        <f aca="false">IF(ABS(C5-D5)&lt;0.0000001,"PASS","FAIL")</f>
        <v>PASS</v>
      </c>
    </row>
    <row r="6" customFormat="false" ht="15" hidden="false" customHeight="false" outlineLevel="0" collapsed="false">
      <c r="A6" s="10" t="s">
        <v>384</v>
      </c>
      <c r="B6" s="10" t="s">
        <v>385</v>
      </c>
      <c r="C6" s="12" t="n">
        <f aca="false">COUNTIF('Plate Register'!K5:K10,"PASS")</f>
        <v>6</v>
      </c>
      <c r="D6" s="12" t="n">
        <v>6</v>
      </c>
      <c r="E6" s="10" t="str">
        <f aca="false">IF(ABS(C6-D6)&lt;0.0000001,"PASS","FAIL")</f>
        <v>PASS</v>
      </c>
    </row>
    <row r="7" customFormat="false" ht="15" hidden="false" customHeight="false" outlineLevel="0" collapsed="false">
      <c r="A7" s="10" t="s">
        <v>386</v>
      </c>
      <c r="B7" s="10" t="s">
        <v>387</v>
      </c>
      <c r="C7" s="12" t="n">
        <f aca="false">COUNTA('Hypothesis Lineage'!A5:A22)</f>
        <v>18</v>
      </c>
      <c r="D7" s="12" t="n">
        <v>18</v>
      </c>
      <c r="E7" s="10" t="str">
        <f aca="false">IF(ABS(C7-D7)&lt;0.0000001,"PASS","FAIL")</f>
        <v>PASS</v>
      </c>
    </row>
    <row r="8" customFormat="false" ht="15" hidden="false" customHeight="false" outlineLevel="0" collapsed="false">
      <c r="A8" s="10" t="s">
        <v>388</v>
      </c>
      <c r="B8" s="10" t="s">
        <v>389</v>
      </c>
      <c r="C8" s="12" t="n">
        <f aca="false">COUNTIF('Hypothesis Lineage'!M5:M22,1)</f>
        <v>18</v>
      </c>
      <c r="D8" s="12" t="n">
        <v>18</v>
      </c>
      <c r="E8" s="10" t="str">
        <f aca="false">IF(ABS(C8-D8)&lt;0.0000001,"PASS","FAIL")</f>
        <v>PASS</v>
      </c>
    </row>
    <row r="9" customFormat="false" ht="15" hidden="false" customHeight="false" outlineLevel="0" collapsed="false">
      <c r="A9" s="10" t="s">
        <v>390</v>
      </c>
      <c r="B9" s="10" t="s">
        <v>391</v>
      </c>
      <c r="C9" s="12" t="n">
        <f aca="false">COUNTIF('Hypothesis Lineage'!N5:N22,3)/3</f>
        <v>6</v>
      </c>
      <c r="D9" s="12" t="n">
        <v>6</v>
      </c>
      <c r="E9" s="10" t="str">
        <f aca="false">IF(ABS(C9-D9)&lt;0.0000001,"PASS","FAIL")</f>
        <v>PASS</v>
      </c>
    </row>
    <row r="10" customFormat="false" ht="15" hidden="false" customHeight="false" outlineLevel="0" collapsed="false">
      <c r="A10" s="10" t="s">
        <v>392</v>
      </c>
      <c r="B10" s="10" t="s">
        <v>393</v>
      </c>
      <c r="C10" s="12" t="n">
        <f aca="false">COUNTIF('Hypothesis Lineage'!P5:P22,"REISSUED / UNSELECTED")</f>
        <v>18</v>
      </c>
      <c r="D10" s="12" t="n">
        <v>18</v>
      </c>
      <c r="E10" s="10" t="str">
        <f aca="false">IF(ABS(C10-D10)&lt;0.0000001,"PASS","FAIL")</f>
        <v>PASS</v>
      </c>
    </row>
    <row r="11" customFormat="false" ht="15" hidden="false" customHeight="false" outlineLevel="0" collapsed="false">
      <c r="A11" s="10" t="s">
        <v>394</v>
      </c>
      <c r="B11" s="10" t="s">
        <v>42</v>
      </c>
      <c r="C11" s="12" t="n">
        <f aca="false">COUNTA('Correction Orders'!A5:A19)</f>
        <v>15</v>
      </c>
      <c r="D11" s="12" t="n">
        <v>15</v>
      </c>
      <c r="E11" s="10" t="str">
        <f aca="false">IF(ABS(C11-D11)&lt;0.0000001,"PASS","FAIL")</f>
        <v>PASS</v>
      </c>
    </row>
    <row r="12" customFormat="false" ht="15" hidden="false" customHeight="false" outlineLevel="0" collapsed="false">
      <c r="A12" s="10" t="s">
        <v>395</v>
      </c>
      <c r="B12" s="10" t="s">
        <v>396</v>
      </c>
      <c r="C12" s="12" t="n">
        <f aca="false">SUM('Correction Orders'!F5:F19)</f>
        <v>15</v>
      </c>
      <c r="D12" s="12" t="n">
        <v>15</v>
      </c>
      <c r="E12" s="10" t="str">
        <f aca="false">IF(ABS(C12-D12)&lt;0.0000001,"PASS","FAIL")</f>
        <v>PASS</v>
      </c>
    </row>
    <row r="13" customFormat="false" ht="15" hidden="false" customHeight="false" outlineLevel="0" collapsed="false">
      <c r="A13" s="10" t="s">
        <v>397</v>
      </c>
      <c r="B13" s="10" t="s">
        <v>398</v>
      </c>
      <c r="C13" s="12" t="n">
        <f aca="false">COUNTA('View Audit'!A5:A88)</f>
        <v>84</v>
      </c>
      <c r="D13" s="12" t="n">
        <v>84</v>
      </c>
      <c r="E13" s="10" t="str">
        <f aca="false">IF(ABS(C13-D13)&lt;0.0000001,"PASS","FAIL")</f>
        <v>PASS</v>
      </c>
    </row>
    <row r="14" customFormat="false" ht="15" hidden="false" customHeight="false" outlineLevel="0" collapsed="false">
      <c r="A14" s="10" t="s">
        <v>399</v>
      </c>
      <c r="B14" s="10" t="s">
        <v>400</v>
      </c>
      <c r="C14" s="12" t="n">
        <f aca="false">COUNTIF('View Audit'!E5:E88,"PASS")</f>
        <v>84</v>
      </c>
      <c r="D14" s="12" t="n">
        <v>84</v>
      </c>
      <c r="E14" s="10" t="str">
        <f aca="false">IF(ABS(C14-D14)&lt;0.0000001,"PASS","FAIL")</f>
        <v>PASS</v>
      </c>
    </row>
    <row r="15" customFormat="false" ht="15" hidden="false" customHeight="false" outlineLevel="0" collapsed="false">
      <c r="A15" s="10" t="s">
        <v>401</v>
      </c>
      <c r="B15" s="10" t="s">
        <v>402</v>
      </c>
      <c r="C15" s="12" t="n">
        <f aca="false">COUNTIF('View Audit'!E5:E88,"FAIL")</f>
        <v>0</v>
      </c>
      <c r="D15" s="12" t="n">
        <v>0</v>
      </c>
      <c r="E15" s="10" t="str">
        <f aca="false">IF(ABS(C15-D15)&lt;0.0000001,"PASS","FAIL")</f>
        <v>PASS</v>
      </c>
    </row>
    <row r="16" customFormat="false" ht="15" hidden="false" customHeight="false" outlineLevel="0" collapsed="false">
      <c r="A16" s="10" t="s">
        <v>403</v>
      </c>
      <c r="B16" s="10" t="s">
        <v>404</v>
      </c>
      <c r="C16" s="12" t="n">
        <f aca="false">SUM('Plate Register'!I5:I10)</f>
        <v>6</v>
      </c>
      <c r="D16" s="12" t="n">
        <v>6</v>
      </c>
      <c r="E16" s="10" t="str">
        <f aca="false">IF(ABS(C16-D16)&lt;0.0000001,"PASS","FAIL")</f>
        <v>PASS</v>
      </c>
    </row>
    <row r="17" customFormat="false" ht="15" hidden="false" customHeight="false" outlineLevel="0" collapsed="false">
      <c r="A17" s="10" t="s">
        <v>405</v>
      </c>
      <c r="B17" s="10" t="s">
        <v>406</v>
      </c>
      <c r="C17" s="12" t="n">
        <f aca="false">SUM('Plate Register'!J5:J10)</f>
        <v>6</v>
      </c>
      <c r="D17" s="12" t="n">
        <v>6</v>
      </c>
      <c r="E17" s="10" t="str">
        <f aca="false">IF(ABS(C17-D17)&lt;0.0000001,"PASS","FAIL")</f>
        <v>PASS</v>
      </c>
    </row>
    <row r="18" customFormat="false" ht="15" hidden="false" customHeight="false" outlineLevel="0" collapsed="false">
      <c r="A18" s="10" t="s">
        <v>407</v>
      </c>
      <c r="B18" s="10" t="s">
        <v>28</v>
      </c>
      <c r="C18" s="12" t="n">
        <f aca="false">SUM('Hypothesis Lineage'!K5:K22)</f>
        <v>0</v>
      </c>
      <c r="D18" s="12" t="n">
        <v>0</v>
      </c>
      <c r="E18" s="10" t="str">
        <f aca="false">IF(ABS(C18-D18)&lt;0.0000001,"PASS","FAIL")</f>
        <v>PASS</v>
      </c>
    </row>
    <row r="19" customFormat="false" ht="15" hidden="false" customHeight="false" outlineLevel="0" collapsed="false">
      <c r="A19" s="10" t="s">
        <v>408</v>
      </c>
      <c r="B19" s="10" t="s">
        <v>29</v>
      </c>
      <c r="C19" s="12" t="n">
        <f aca="false">SUM('Hypothesis Lineage'!L5:L22)</f>
        <v>0</v>
      </c>
      <c r="D19" s="12" t="n">
        <v>0</v>
      </c>
      <c r="E19" s="10" t="str">
        <f aca="false">IF(ABS(C19-D19)&lt;0.0000001,"PASS","FAIL")</f>
        <v>PASS</v>
      </c>
    </row>
    <row r="20" customFormat="false" ht="15" hidden="false" customHeight="false" outlineLevel="0" collapsed="false">
      <c r="A20" s="10" t="s">
        <v>409</v>
      </c>
      <c r="B20" s="10" t="s">
        <v>30</v>
      </c>
      <c r="C20" s="12" t="n">
        <f aca="false">Controls!B13</f>
        <v>0</v>
      </c>
      <c r="D20" s="12" t="n">
        <v>0</v>
      </c>
      <c r="E20" s="10" t="str">
        <f aca="false">IF(ABS(C20-D20)&lt;0.0000001,"PASS","FAIL")</f>
        <v>PASS</v>
      </c>
    </row>
    <row r="21" customFormat="false" ht="15" hidden="false" customHeight="false" outlineLevel="0" collapsed="false">
      <c r="A21" s="10" t="s">
        <v>410</v>
      </c>
      <c r="B21" s="10" t="s">
        <v>411</v>
      </c>
      <c r="C21" s="12" t="n">
        <f aca="false">Finance!D11</f>
        <v>3.58691281932057</v>
      </c>
      <c r="D21" s="12" t="n">
        <v>3.58691281932057</v>
      </c>
      <c r="E21" s="10" t="str">
        <f aca="false">IF(ABS(C21-D21)&lt;0.0000001,"PASS","FAIL")</f>
        <v>PASS</v>
      </c>
    </row>
    <row r="22" customFormat="false" ht="15" hidden="false" customHeight="false" outlineLevel="0" collapsed="false">
      <c r="A22" s="10" t="s">
        <v>412</v>
      </c>
      <c r="B22" s="10" t="s">
        <v>413</v>
      </c>
      <c r="C22" s="12" t="n">
        <f aca="false">Finance!F11</f>
        <v>0.538036922898085</v>
      </c>
      <c r="D22" s="12" t="n">
        <v>0.538036922898085</v>
      </c>
      <c r="E22" s="10" t="str">
        <f aca="false">IF(ABS(C22-D22)&lt;0.0000001,"PASS","FAIL")</f>
        <v>PASS</v>
      </c>
    </row>
    <row r="23" customFormat="false" ht="15" hidden="false" customHeight="false" outlineLevel="0" collapsed="false">
      <c r="A23" s="10" t="s">
        <v>414</v>
      </c>
      <c r="B23" s="10" t="s">
        <v>415</v>
      </c>
      <c r="C23" s="12" t="n">
        <f aca="false">Finance!G11</f>
        <v>0</v>
      </c>
      <c r="D23" s="12" t="n">
        <v>0</v>
      </c>
      <c r="E23" s="10" t="str">
        <f aca="false">IF(ABS(C23-D23)&lt;0.0000001,"PASS","FAIL")</f>
        <v>PASS</v>
      </c>
    </row>
    <row r="24" customFormat="false" ht="15" hidden="false" customHeight="false" outlineLevel="0" collapsed="false">
      <c r="A24" s="10" t="s">
        <v>416</v>
      </c>
      <c r="B24" s="10" t="s">
        <v>417</v>
      </c>
      <c r="C24" s="12" t="n">
        <f aca="false">Finance!H11</f>
        <v>0</v>
      </c>
      <c r="D24" s="12" t="n">
        <v>0</v>
      </c>
      <c r="E24" s="10" t="str">
        <f aca="false">IF(ABS(C24-D24)&lt;0.0000001,"PASS","FAIL")</f>
        <v>PASS</v>
      </c>
    </row>
    <row r="25" customFormat="false" ht="15" hidden="false" customHeight="false" outlineLevel="0" collapsed="false">
      <c r="A25" s="10" t="s">
        <v>418</v>
      </c>
      <c r="B25" s="10" t="s">
        <v>419</v>
      </c>
      <c r="C25" s="12" t="n">
        <f aca="false">Finance!I11</f>
        <v>0</v>
      </c>
      <c r="D25" s="12" t="n">
        <v>0</v>
      </c>
      <c r="E25" s="10" t="str">
        <f aca="false">IF(ABS(C25-D25)&lt;0.0000001,"PASS","FAIL")</f>
        <v>PASS</v>
      </c>
    </row>
    <row r="26" customFormat="false" ht="15" hidden="false" customHeight="false" outlineLevel="0" collapsed="false">
      <c r="A26" s="10" t="s">
        <v>420</v>
      </c>
      <c r="B26" s="10" t="s">
        <v>421</v>
      </c>
      <c r="C26" s="12" t="n">
        <f aca="false">COUNTIF(Finance!J5:J10,"HELD")</f>
        <v>6</v>
      </c>
      <c r="D26" s="12" t="n">
        <v>6</v>
      </c>
      <c r="E26" s="10" t="str">
        <f aca="false">IF(ABS(C26-D26)&lt;0.0000001,"PASS","FAIL")</f>
        <v>PASS</v>
      </c>
    </row>
    <row r="27" customFormat="false" ht="15" hidden="false" customHeight="false" outlineLevel="0" collapsed="false">
      <c r="A27" s="10" t="s">
        <v>422</v>
      </c>
      <c r="B27" s="10" t="s">
        <v>423</v>
      </c>
      <c r="C27" s="12" t="n">
        <f aca="false">SUM(Mutations!D5:D16)</f>
        <v>12</v>
      </c>
      <c r="D27" s="12" t="n">
        <v>12</v>
      </c>
      <c r="E27" s="10" t="str">
        <f aca="false">IF(ABS(C27-D27)&lt;0.0000001,"PASS","FAIL")</f>
        <v>PASS</v>
      </c>
    </row>
    <row r="28" customFormat="false" ht="15" hidden="false" customHeight="false" outlineLevel="0" collapsed="false">
      <c r="A28" s="10" t="s">
        <v>424</v>
      </c>
      <c r="B28" s="10" t="s">
        <v>425</v>
      </c>
      <c r="C28" s="12" t="n">
        <f aca="false">SUM(Mutations!E5:E16)</f>
        <v>12</v>
      </c>
      <c r="D28" s="12" t="n">
        <v>12</v>
      </c>
      <c r="E28" s="10" t="str">
        <f aca="false">IF(ABS(C28-D28)&lt;0.0000001,"PASS","FAIL")</f>
        <v>PASS</v>
      </c>
    </row>
    <row r="29" customFormat="false" ht="15" hidden="false" customHeight="false" outlineLevel="0" collapsed="false">
      <c r="A29" s="13" t="s">
        <v>426</v>
      </c>
      <c r="B29" s="13" t="s">
        <v>427</v>
      </c>
      <c r="C29" s="14" t="n">
        <f aca="false">SUM('Plate Register'!F5:H10)</f>
        <v>18</v>
      </c>
      <c r="D29" s="14" t="n">
        <v>18</v>
      </c>
      <c r="E29" s="13" t="str">
        <f aca="false">IF(ABS(C29-D29)&lt;0.0000001,"PASS","FAIL")</f>
        <v>PASS</v>
      </c>
    </row>
  </sheetData>
  <mergeCells count="1">
    <mergeCell ref="A2:E2"/>
  </mergeCells>
  <conditionalFormatting sqref="E5:E29">
    <cfRule type="containsText" priority="2" operator="containsText" aboveAverage="0" equalAverage="0" bottom="0" percent="0" rank="0" text="FAIL" dxfId="3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3"/>
  </cols>
  <sheetData>
    <row r="2" customFormat="false" ht="15" hidden="false" customHeight="false" outlineLevel="0" collapsed="false">
      <c r="A2" s="1" t="s">
        <v>428</v>
      </c>
      <c r="B2" s="1"/>
      <c r="C2" s="1"/>
      <c r="D2" s="1"/>
    </row>
    <row r="3" customFormat="false" ht="15" hidden="false" customHeight="false" outlineLevel="0" collapsed="false">
      <c r="A3" s="2"/>
      <c r="B3" s="2"/>
      <c r="C3" s="2"/>
      <c r="D3" s="2"/>
    </row>
    <row r="4" customFormat="false" ht="28" hidden="false" customHeight="true" outlineLevel="0" collapsed="false">
      <c r="A4" s="3" t="s">
        <v>429</v>
      </c>
      <c r="B4" s="4" t="s">
        <v>430</v>
      </c>
      <c r="C4" s="4" t="s">
        <v>431</v>
      </c>
      <c r="D4" s="5" t="s">
        <v>432</v>
      </c>
    </row>
    <row r="5" customFormat="false" ht="15" hidden="false" customHeight="false" outlineLevel="0" collapsed="false">
      <c r="A5" s="7" t="s">
        <v>433</v>
      </c>
      <c r="B5" s="7" t="s">
        <v>434</v>
      </c>
      <c r="C5" s="7" t="s">
        <v>435</v>
      </c>
      <c r="D5" s="7" t="s">
        <v>436</v>
      </c>
    </row>
    <row r="6" customFormat="false" ht="15" hidden="false" customHeight="false" outlineLevel="0" collapsed="false">
      <c r="A6" s="10" t="s">
        <v>437</v>
      </c>
      <c r="B6" s="10" t="s">
        <v>438</v>
      </c>
      <c r="C6" s="10" t="s">
        <v>439</v>
      </c>
      <c r="D6" s="10" t="s">
        <v>440</v>
      </c>
    </row>
    <row r="7" customFormat="false" ht="15" hidden="false" customHeight="false" outlineLevel="0" collapsed="false">
      <c r="A7" s="10" t="s">
        <v>441</v>
      </c>
      <c r="B7" s="10" t="s">
        <v>442</v>
      </c>
      <c r="C7" s="10" t="s">
        <v>443</v>
      </c>
      <c r="D7" s="10" t="s">
        <v>444</v>
      </c>
    </row>
    <row r="8" customFormat="false" ht="15" hidden="false" customHeight="false" outlineLevel="0" collapsed="false">
      <c r="A8" s="10" t="s">
        <v>445</v>
      </c>
      <c r="B8" s="10" t="s">
        <v>446</v>
      </c>
      <c r="C8" s="10" t="s">
        <v>447</v>
      </c>
      <c r="D8" s="10" t="s">
        <v>448</v>
      </c>
    </row>
    <row r="9" customFormat="false" ht="15" hidden="false" customHeight="false" outlineLevel="0" collapsed="false">
      <c r="A9" s="13" t="s">
        <v>449</v>
      </c>
      <c r="B9" s="13" t="s">
        <v>450</v>
      </c>
      <c r="C9" s="13" t="s">
        <v>451</v>
      </c>
      <c r="D9" s="13" t="s">
        <v>452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