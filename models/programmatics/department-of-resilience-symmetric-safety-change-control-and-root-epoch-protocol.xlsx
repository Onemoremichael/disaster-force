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d4ea60c2a54f6b" /></Relationships>
</file>

<file path=xl/workbook.xml><?xml version="1.0" encoding="utf-8"?>
<x:workbook xmlns:x="http://schemas.openxmlformats.org/spreadsheetml/2006/main">
  <x:sheets>
    <x:sheet xmlns:r="http://schemas.openxmlformats.org/officeDocument/2006/relationships" name="Summary" sheetId="1" r:id="Raa334aa4a29c4da2"/>
    <x:sheet xmlns:r="http://schemas.openxmlformats.org/officeDocument/2006/relationships" name="Controls" sheetId="2" r:id="R5158f49539c248f4"/>
    <x:sheet xmlns:r="http://schemas.openxmlformats.org/officeDocument/2006/relationships" name="Protocol Candidates" sheetId="3" r:id="Rda23b3c5f8324d3a"/>
    <x:sheet xmlns:r="http://schemas.openxmlformats.org/officeDocument/2006/relationships" name="Warrant Contract" sheetId="4" r:id="R08d30e43b1804794"/>
    <x:sheet xmlns:r="http://schemas.openxmlformats.org/officeDocument/2006/relationships" name="Authority Matrix" sheetId="5" r:id="Rd1802f4e8fdc4096"/>
    <x:sheet xmlns:r="http://schemas.openxmlformats.org/officeDocument/2006/relationships" name="State Machine" sheetId="6" r:id="R409fc0c4bc3e4869"/>
    <x:sheet xmlns:r="http://schemas.openxmlformats.org/officeDocument/2006/relationships" name="Case Tests" sheetId="7" r:id="Rd49418bc291b4b69"/>
    <x:sheet xmlns:r="http://schemas.openxmlformats.org/officeDocument/2006/relationships" name="Propagation Slots" sheetId="8" r:id="R548497fe42204ef3"/>
    <x:sheet xmlns:r="http://schemas.openxmlformats.org/officeDocument/2006/relationships" name="Fiscal &amp; Clock" sheetId="9" r:id="R7c88a51f19a341f4"/>
    <x:sheet xmlns:r="http://schemas.openxmlformats.org/officeDocument/2006/relationships" name="Mutations" sheetId="10" r:id="R32c9741fa64349ff"/>
    <x:sheet xmlns:r="http://schemas.openxmlformats.org/officeDocument/2006/relationships" name="Audit" sheetId="11" r:id="R97ff90918fae4e9b"/>
    <x:sheet xmlns:r="http://schemas.openxmlformats.org/officeDocument/2006/relationships" name="Sources &amp; Limits" sheetId="12" r:id="Rbc74f1b3fc1549a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
    <x:numFmt numFmtId="202" formatCode="0.000"/>
    <x:numFmt numFmtId="203" formatCode="0.0%"/>
  </x:numFmts>
  <x:fonts count="6">
    <x:font>
      <x:sz val="11"/>
      <x:name val="Carlito"/>
    </x:font>
    <x:font>
      <x:b/>
      <x:sz val="15"/>
      <x:color rgb="FF17365D"/>
      <x:name val="Arial"/>
    </x:font>
    <x:font>
      <x:b/>
      <x:sz val="10"/>
      <x:color rgb="FFFFFFFF"/>
      <x:name val="Arial"/>
    </x:font>
    <x:font>
      <x:sz val="10"/>
      <x:color rgb="FF263746"/>
      <x:name val="Arial"/>
    </x:font>
    <x:font>
      <x:sz val="10"/>
      <x:color rgb="FF0066CC"/>
      <x:name val="Arial"/>
    </x:font>
    <x:font>
      <x:sz val="11"/>
      <x:color rgb="FF263746"/>
      <x:name val="Arial"/>
    </x:font>
  </x:fonts>
  <x:fills count="5">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0F6B78"/>
      </x:patternFill>
    </x:fill>
  </x:fills>
  <x:borders count="8">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8E1EB"/>
      </x:bottom>
    </x:border>
    <x:border>
      <x:top style="thin">
        <x:color rgb="FFD8E1EB"/>
      </x:top>
      <x:bottom style="thin">
        <x:color rgb="FFD8E1EB"/>
      </x:bottom>
    </x:border>
    <x:border>
      <x:top style="thin">
        <x:color rgb="FFD8E1EB"/>
      </x:top>
    </x:border>
  </x:borders>
  <x:cellStyleXfs count="1">
    <x:xf numFmtId="0" fontId="0" fillId="0" borderId="0"/>
  </x:cellStyleXfs>
  <x:cellXfs count="80">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4" xfId="0" applyNumberFormat="1" applyFont="1" applyFill="1" applyBorder="1" applyAlignment="1">
      <x:alignment horizont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3" fillId="0" borderId="0"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3" borderId="6"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0" borderId="7" xfId="0" applyNumberFormat="1" applyFont="1" applyFill="1" applyBorder="1" applyAlignment="1">
      <x:alignment vertical="top" wrapText="1"/>
    </x:xf>
    <x:xf numFmtId="201" fontId="3" fillId="0" borderId="5" xfId="0" applyNumberFormat="1" applyFont="1" applyFill="1" applyBorder="1" applyAlignment="1">
      <x:alignment vertical="top" wrapText="1"/>
    </x:xf>
    <x:xf numFmtId="201" fontId="3" fillId="0" borderId="6" xfId="0" applyNumberFormat="1" applyFont="1" applyFill="1" applyBorder="1" applyAlignment="1">
      <x:alignment vertical="top" wrapText="1"/>
    </x:xf>
    <x:xf numFmtId="201" fontId="3" fillId="0" borderId="7" xfId="0" applyNumberFormat="1" applyFont="1" applyFill="1" applyBorder="1" applyAlignment="1">
      <x:alignment vertical="top" wrapText="1"/>
    </x:xf>
    <x:xf numFmtId="202" fontId="3" fillId="0" borderId="5" xfId="0" applyNumberFormat="1" applyFont="1" applyFill="1" applyBorder="1" applyAlignment="1">
      <x:alignment vertical="top" wrapText="1"/>
    </x:xf>
    <x:xf numFmtId="202" fontId="3" fillId="0" borderId="6" xfId="0" applyNumberFormat="1" applyFont="1" applyFill="1" applyBorder="1" applyAlignment="1">
      <x:alignment vertical="top" wrapText="1"/>
    </x:xf>
    <x:xf numFmtId="202" fontId="3" fillId="0" borderId="7" xfId="0" applyNumberFormat="1" applyFont="1" applyFill="1" applyBorder="1" applyAlignment="1">
      <x:alignment vertical="top" wrapText="1"/>
    </x:xf>
    <x:xf numFmtId="203" fontId="3" fillId="0" borderId="5" xfId="0" applyNumberFormat="1" applyFont="1" applyFill="1" applyBorder="1" applyAlignment="1">
      <x:alignment vertical="top" wrapText="1"/>
    </x:xf>
    <x:xf numFmtId="203" fontId="3" fillId="0" borderId="6" xfId="0" applyNumberFormat="1" applyFont="1" applyFill="1" applyBorder="1" applyAlignment="1">
      <x:alignment vertical="top" wrapText="1"/>
    </x:xf>
    <x:xf numFmtId="0" fontId="3" fillId="4" borderId="7" xfId="0" applyNumberFormat="1" applyFont="1" applyFill="1" applyBorder="1" applyAlignment="1">
      <x:alignment vertical="top" wrapText="1"/>
    </x:xf>
    <x:xf numFmtId="202" fontId="3" fillId="4" borderId="7" xfId="0" applyNumberFormat="1" applyFont="1" applyFill="1" applyBorder="1" applyAlignment="1">
      <x:alignment vertical="top" wrapText="1"/>
    </x:xf>
    <x:xf numFmtId="201" fontId="3" fillId="4" borderId="7" xfId="0" applyNumberFormat="1" applyFont="1" applyFill="1" applyBorder="1" applyAlignment="1">
      <x:alignment vertical="top" wrapText="1"/>
    </x:xf>
    <x:xf numFmtId="0" fontId="2" fillId="4" borderId="7" xfId="0" applyNumberFormat="1" applyFont="1" applyFill="1" applyBorder="1" applyAlignment="1">
      <x:alignment vertical="top" wrapText="1"/>
    </x:xf>
    <x:xf numFmtId="202" fontId="2" fillId="4" borderId="7" xfId="0" applyNumberFormat="1" applyFont="1" applyFill="1" applyBorder="1" applyAlignment="1">
      <x:alignment vertical="top" wrapText="1"/>
    </x:xf>
    <x:xf numFmtId="201" fontId="2" fillId="4" borderId="7"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200" fontId="3" fillId="0" borderId="5" xfId="0" applyNumberFormat="1" applyFont="1" applyFill="1" applyBorder="1" applyAlignment="1">
      <x:alignment vertical="top" wrapText="1"/>
    </x:xf>
    <x:xf numFmtId="200" fontId="3" fillId="0" borderId="6" xfId="0" applyNumberFormat="1" applyFont="1" applyFill="1" applyBorder="1" applyAlignment="1">
      <x:alignment vertical="top" wrapText="1"/>
    </x:xf>
    <x:xf numFmtId="200" fontId="3" fillId="0" borderId="7"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3" fillId="0" borderId="5" xfId="0" applyNumberFormat="1" applyFont="1" applyFill="1" applyBorder="1" applyAlignment="1">
      <x:alignment vertical="center" wrapText="1"/>
    </x:xf>
    <x:xf numFmtId="201" fontId="3" fillId="0" borderId="5"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3" fillId="0" borderId="6" xfId="0" applyNumberFormat="1" applyFont="1" applyFill="1" applyBorder="1" applyAlignment="1">
      <x:alignment vertical="center" wrapText="1"/>
    </x:xf>
    <x:xf numFmtId="201" fontId="3" fillId="0" borderId="6" xfId="0" applyNumberFormat="1" applyFont="1" applyFill="1" applyBorder="1" applyAlignment="1">
      <x:alignment vertical="center" wrapText="1"/>
    </x:xf>
    <x:xf numFmtId="0" fontId="3" fillId="0" borderId="7" xfId="0" applyNumberFormat="1" applyFont="1" applyFill="1" applyBorder="1" applyAlignment="1">
      <x:alignment vertical="center" wrapText="1"/>
    </x:xf>
    <x:xf numFmtId="202" fontId="3" fillId="0" borderId="6" xfId="0" applyNumberFormat="1" applyFont="1" applyFill="1" applyBorder="1" applyAlignment="1">
      <x:alignment vertical="center" wrapText="1"/>
    </x:xf>
    <x:xf numFmtId="201" fontId="3" fillId="0" borderId="7"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0" fontId="4" fillId="3" borderId="6" xfId="0" applyNumberFormat="1" applyFont="1" applyFill="1" applyBorder="1" applyAlignment="1">
      <x:alignment vertical="center" wrapText="1"/>
    </x:xf>
    <x:xf numFmtId="200" fontId="4" fillId="0" borderId="6" xfId="0" applyNumberFormat="1" applyFont="1" applyFill="1" applyBorder="1" applyAlignment="1">
      <x:alignment vertical="center" wrapText="1"/>
    </x:xf>
    <x:xf numFmtId="200" fontId="4" fillId="0" borderId="7" xfId="0" applyNumberFormat="1" applyFont="1" applyFill="1" applyBorder="1" applyAlignment="1">
      <x:alignment vertical="center" wrapText="1"/>
    </x:xf>
    <x:xf numFmtId="202" fontId="3" fillId="0" borderId="5" xfId="0" applyNumberFormat="1" applyFont="1" applyFill="1" applyBorder="1" applyAlignment="1">
      <x:alignment vertical="center" wrapText="1"/>
    </x:xf>
    <x:xf numFmtId="202" fontId="3" fillId="0" borderId="7" xfId="0" applyNumberFormat="1" applyFont="1" applyFill="1" applyBorder="1" applyAlignment="1">
      <x:alignment vertical="center" wrapText="1"/>
    </x:xf>
    <x:xf numFmtId="203" fontId="3" fillId="0" borderId="5" xfId="0" applyNumberFormat="1" applyFont="1" applyFill="1" applyBorder="1" applyAlignment="1">
      <x:alignment vertical="center" wrapText="1"/>
    </x:xf>
    <x:xf numFmtId="203" fontId="3" fillId="0" borderId="6" xfId="0" applyNumberFormat="1" applyFont="1" applyFill="1" applyBorder="1" applyAlignment="1">
      <x:alignment vertical="center" wrapText="1"/>
    </x:xf>
    <x:xf numFmtId="0" fontId="2" fillId="4" borderId="7" xfId="0" applyNumberFormat="1" applyFont="1" applyFill="1" applyBorder="1" applyAlignment="1">
      <x:alignment vertical="center" wrapText="1"/>
    </x:xf>
    <x:xf numFmtId="202" fontId="2" fillId="4" borderId="7" xfId="0" applyNumberFormat="1" applyFont="1" applyFill="1" applyBorder="1" applyAlignment="1">
      <x:alignment vertical="center" wrapText="1"/>
    </x:xf>
    <x:xf numFmtId="201" fontId="2" fillId="4" borderId="7" xfId="0" applyNumberFormat="1" applyFont="1" applyFill="1" applyBorder="1" applyAlignment="1">
      <x:alignment vertical="center" wrapText="1"/>
    </x:xf>
    <x:xf numFmtId="200" fontId="3" fillId="0" borderId="5" xfId="0" applyNumberFormat="1" applyFont="1" applyFill="1" applyBorder="1" applyAlignment="1">
      <x:alignment vertical="center" wrapText="1"/>
    </x:xf>
    <x:xf numFmtId="200" fontId="3" fillId="0" borderId="6" xfId="0" applyNumberFormat="1" applyFont="1" applyFill="1" applyBorder="1" applyAlignment="1">
      <x:alignment vertical="center" wrapText="1"/>
    </x:xf>
    <x:xf numFmtId="200" fontId="3" fillId="0" borderId="7" xfId="0" applyNumberFormat="1" applyFont="1" applyFill="1" applyBorder="1" applyAlignment="1">
      <x:alignment vertical="center" wrapText="1"/>
    </x:xf>
  </x:cellXfs>
  <x:cellStyles count="1">
    <x:cellStyle name="Normal" xfId="0"/>
  </x:cellStyles>
  <x:dxfs count="7">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d54b176c25490d" /><Relationship Type="http://schemas.openxmlformats.org/officeDocument/2006/relationships/theme" Target="/xl/theme/theme1.xml" Id="R81a2f7d63925481a" /><Relationship Type="http://schemas.openxmlformats.org/officeDocument/2006/relationships/sharedStrings" Target="/xl/sharedStrings.xml" Id="Rcc51a990cb66453e" /><Relationship Type="http://schemas.openxmlformats.org/officeDocument/2006/relationships/worksheet" Target="/xl/worksheets/sheet1.xml" Id="Raa334aa4a29c4da2" /><Relationship Type="http://schemas.openxmlformats.org/officeDocument/2006/relationships/worksheet" Target="/xl/worksheets/sheet2.xml" Id="R5158f49539c248f4" /><Relationship Type="http://schemas.openxmlformats.org/officeDocument/2006/relationships/worksheet" Target="/xl/worksheets/sheet3.xml" Id="Rda23b3c5f8324d3a" /><Relationship Type="http://schemas.openxmlformats.org/officeDocument/2006/relationships/worksheet" Target="/xl/worksheets/sheet4.xml" Id="R08d30e43b1804794" /><Relationship Type="http://schemas.openxmlformats.org/officeDocument/2006/relationships/worksheet" Target="/xl/worksheets/sheet5.xml" Id="Rd1802f4e8fdc4096" /><Relationship Type="http://schemas.openxmlformats.org/officeDocument/2006/relationships/worksheet" Target="/xl/worksheets/sheet6.xml" Id="R409fc0c4bc3e4869" /><Relationship Type="http://schemas.openxmlformats.org/officeDocument/2006/relationships/worksheet" Target="/xl/worksheets/sheet7.xml" Id="Rd49418bc291b4b69" /><Relationship Type="http://schemas.openxmlformats.org/officeDocument/2006/relationships/worksheet" Target="/xl/worksheets/sheet8.xml" Id="R548497fe42204ef3" /><Relationship Type="http://schemas.openxmlformats.org/officeDocument/2006/relationships/worksheet" Target="/xl/worksheets/sheet9.xml" Id="R7c88a51f19a341f4" /><Relationship Type="http://schemas.openxmlformats.org/officeDocument/2006/relationships/worksheet" Target="/xl/worksheets/sheet10.xml" Id="R32c9741fa64349ff" /><Relationship Type="http://schemas.openxmlformats.org/officeDocument/2006/relationships/worksheet" Target="/xl/worksheets/sheet11.xml" Id="R97ff90918fae4e9b" /><Relationship Type="http://schemas.openxmlformats.org/officeDocument/2006/relationships/worksheet" Target="/xl/worksheets/sheet12.xml" Id="Rbc74f1b3fc1549a7" /></Relationships>
</file>

<file path=xl/drawings/_rels/drawing1.xml.rels>&#65279;<?xml version="1.0" encoding="utf-8"?><Relationships xmlns="http://schemas.openxmlformats.org/package/2006/relationships"><Relationship Type="http://schemas.openxmlformats.org/officeDocument/2006/relationships/chart" Target="/xl/drawings/charts/chart1.xml" Id="Ra7b9c85279a0445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Safety protocol gates passed</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Gates passed</c:v>
          </c:tx>
          <c:cat>
            <c:strRef>
              <c:f>'Summary'!$M$5:$M$9</c:f>
              <c:strCache>
                <c:ptCount val="0"/>
              </c:strCache>
            </c:strRef>
          </c:cat>
          <c:val>
            <c:numRef>
              <c:f>'Summary'!$N$5:$N$9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10</xdr:row>
      <xdr:rowOff>0</xdr:rowOff>
    </xdr:from>
    <xdr:to>
      <xdr:col>18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b9c85279a0445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aae65413f6e4f01"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4"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4" hidden="0" customWidth="1"/>
    <x:col min="12" max="12" width="4" hidden="0" customWidth="1"/>
    <x:col min="13" max="13" width="18" hidden="0" customWidth="1"/>
    <x:col min="14" max="14" width="18" hidden="0" customWidth="1"/>
    <x:col min="15" max="15" width="4" hidden="0" customWidth="1"/>
    <x:col min="16" max="16" width="4" hidden="0" customWidth="1"/>
    <x:col min="17" max="17" width="4" hidden="0" customWidth="1"/>
    <x:col min="18" max="18" width="4" hidden="0" customWidth="1"/>
  </x:cols>
  <x:sheetData>
    <x:row r="2">
      <x:c r="A2" s="54" t="str">
        <x:v>Symmetric safety change control</x:v>
      </x:c>
      <x:c r="B2" s="55"/>
      <x:c r="C2" s="55"/>
      <x:c r="D2" s="55"/>
      <x:c r="E2" s="55"/>
      <x:c r="F2" s="55"/>
      <x:c r="G2" s="55"/>
      <x:c r="H2" s="55"/>
      <x:c r="I2" s="55"/>
      <x:c r="J2" s="55"/>
      <x:c r="K2" s="55"/>
      <x:c r="L2" s="55"/>
      <x:c r="M2" s="55"/>
      <x:c r="N2" s="55"/>
      <x:c r="O2" s="55"/>
      <x:c r="P2" s="55"/>
      <x:c r="Q2" s="55"/>
      <x:c r="R2" s="55"/>
    </x:row>
    <x:row r="3">
      <x:c r="A3" s="56"/>
      <x:c r="B3" s="56"/>
      <x:c r="C3" s="56"/>
      <x:c r="D3" s="56"/>
      <x:c r="E3" s="56"/>
      <x:c r="F3" s="56"/>
      <x:c r="G3" s="56"/>
      <x:c r="H3" s="56"/>
      <x:c r="I3" s="56"/>
      <x:c r="J3" s="56"/>
      <x:c r="K3" s="56"/>
      <x:c r="L3" s="56"/>
      <x:c r="M3" s="56"/>
      <x:c r="N3" s="56"/>
      <x:c r="O3" s="56"/>
      <x:c r="P3" s="56"/>
      <x:c r="Q3" s="56"/>
      <x:c r="R3" s="56"/>
    </x:row>
    <x:row r="4" ht="32" customHeight="1">
      <x:c r="A4" s="14" t="str">
        <x:v>Decision measure</x:v>
      </x:c>
      <x:c r="B4" s="15" t="str">
        <x:v>Value</x:v>
      </x:c>
      <x:c r="C4" s="16" t="str">
        <x:v>State</x:v>
      </x:c>
      <x:c r="D4" s="55"/>
      <x:c r="E4" s="55"/>
      <x:c r="F4" s="55"/>
      <x:c r="G4" s="55"/>
      <x:c r="H4" s="55"/>
      <x:c r="I4" s="55"/>
      <x:c r="J4" s="55"/>
      <x:c r="K4" s="55"/>
      <x:c r="L4" s="55"/>
      <x:c r="M4" s="14" t="str">
        <x:v>Candidate</x:v>
      </x:c>
      <x:c r="N4" s="16" t="str">
        <x:v>Gates passed</x:v>
      </x:c>
      <x:c r="O4" s="55"/>
      <x:c r="P4" s="55"/>
      <x:c r="Q4" s="55"/>
      <x:c r="R4" s="55"/>
    </x:row>
    <x:row r="5">
      <x:c r="A5" s="57" t="str">
        <x:v>selected protocol gates</x:v>
      </x:c>
      <x:c r="B5" s="58" t="n">
        <x:f>SUMIFS('Protocol Candidates'!M5:M9,'Protocol Candidates'!N5:N9,1)</x:f>
        <x:v>10</x:v>
      </x:c>
      <x:c r="C5" s="57" t="str">
        <x:v>ALL TEN</x:v>
      </x:c>
      <x:c r="D5" s="55"/>
      <x:c r="E5" s="59" t="str">
        <x:v>DECISION
A cross-cohort safety change travels as a content-minimized Root Safety Change Warrant. It carries a common protected subject, harm mechanism, threshold, acceptance test, epoch, clock rule and expiry to all three siblings. It omits the source form, raw result, geometry, implementation, cost, rank and maturity. Three isolated translation cells create root-native implementations. The whole root advances to one epoch only after parity. An immediate stop may cross the firewall; performance learning may not. Ambiguity pauses the root. Safety rework cannot alter competitive budgets or evidence state. If separate safety authority is absent, the root remains held rather than charging a sibling.</x:v>
      </x:c>
      <x:c r="F5" s="55"/>
      <x:c r="G5" s="55"/>
      <x:c r="H5" s="55"/>
      <x:c r="I5" s="55"/>
      <x:c r="J5" s="55"/>
      <x:c r="K5" s="55"/>
      <x:c r="L5" s="55"/>
      <x:c r="M5" s="57" t="str">
        <x:v>CP1</x:v>
      </x:c>
      <x:c r="N5" s="57" t="n">
        <x:f>'Protocol Candidates'!M5</x:f>
        <x:v>9</x:v>
      </x:c>
      <x:c r="O5" s="55"/>
      <x:c r="P5" s="55"/>
      <x:c r="Q5" s="55"/>
      <x:c r="R5" s="55"/>
    </x:row>
    <x:row r="6">
      <x:c r="A6" s="60" t="str">
        <x:v>required shared fields</x:v>
      </x:c>
      <x:c r="B6" s="61" t="n">
        <x:f>COUNTIFS('Warrant Contract'!A5:A26,"REQUIRED")</x:f>
        <x:v>12</x:v>
      </x:c>
      <x:c r="C6" s="60" t="str">
        <x:v>SHARED</x:v>
      </x:c>
      <x:c r="D6" s="55"/>
      <x:c r="E6" s="55"/>
      <x:c r="F6" s="55"/>
      <x:c r="G6" s="55"/>
      <x:c r="H6" s="55"/>
      <x:c r="I6" s="55"/>
      <x:c r="J6" s="55"/>
      <x:c r="K6" s="55"/>
      <x:c r="L6" s="55"/>
      <x:c r="M6" s="60" t="str">
        <x:v>CP2</x:v>
      </x:c>
      <x:c r="N6" s="60" t="n">
        <x:f>'Protocol Candidates'!M6</x:f>
        <x:v>3</x:v>
      </x:c>
      <x:c r="O6" s="55"/>
      <x:c r="P6" s="55"/>
      <x:c r="Q6" s="55"/>
      <x:c r="R6" s="55"/>
    </x:row>
    <x:row r="7">
      <x:c r="A7" s="60" t="str">
        <x:v>prohibited shared fields</x:v>
      </x:c>
      <x:c r="B7" s="61" t="n">
        <x:f>COUNTIFS('Warrant Contract'!A5:A26,"PROHIBITED")</x:f>
        <x:v>10</x:v>
      </x:c>
      <x:c r="C7" s="60" t="str">
        <x:v>BLOCKED</x:v>
      </x:c>
      <x:c r="D7" s="55"/>
      <x:c r="E7" s="55"/>
      <x:c r="F7" s="55"/>
      <x:c r="G7" s="55"/>
      <x:c r="H7" s="55"/>
      <x:c r="I7" s="55"/>
      <x:c r="J7" s="55"/>
      <x:c r="K7" s="55"/>
      <x:c r="L7" s="55"/>
      <x:c r="M7" s="60" t="str">
        <x:v>CP3</x:v>
      </x:c>
      <x:c r="N7" s="60" t="n">
        <x:f>'Protocol Candidates'!M7</x:f>
        <x:v>5</x:v>
      </x:c>
      <x:c r="O7" s="55"/>
      <x:c r="P7" s="55"/>
      <x:c r="Q7" s="55"/>
      <x:c r="R7" s="55"/>
    </x:row>
    <x:row r="8">
      <x:c r="A8" s="60" t="str">
        <x:v>separated authority roles</x:v>
      </x:c>
      <x:c r="B8" s="61" t="n">
        <x:f>COUNTIFS('Authority Matrix'!P5:P16,"PASS")</x:f>
        <x:v>12</x:v>
      </x:c>
      <x:c r="C8" s="60" t="str">
        <x:v>SEPARATED</x:v>
      </x:c>
      <x:c r="D8" s="55"/>
      <x:c r="E8" s="55"/>
      <x:c r="F8" s="55"/>
      <x:c r="G8" s="55"/>
      <x:c r="H8" s="55"/>
      <x:c r="I8" s="55"/>
      <x:c r="J8" s="55"/>
      <x:c r="K8" s="55"/>
      <x:c r="L8" s="55"/>
      <x:c r="M8" s="60" t="str">
        <x:v>CP4</x:v>
      </x:c>
      <x:c r="N8" s="60" t="n">
        <x:f>'Protocol Candidates'!M8</x:f>
        <x:v>10</x:v>
      </x:c>
      <x:c r="O8" s="55"/>
      <x:c r="P8" s="55"/>
      <x:c r="Q8" s="55"/>
      <x:c r="R8" s="55"/>
    </x:row>
    <x:row r="9">
      <x:c r="A9" s="60" t="str">
        <x:v>state-machine records</x:v>
      </x:c>
      <x:c r="B9" s="61" t="n">
        <x:f>COUNTIFS('State Machine'!K5:K16,"PASS")</x:f>
        <x:v>12</x:v>
      </x:c>
      <x:c r="C9" s="60" t="str">
        <x:v>NONCONVERTING</x:v>
      </x:c>
      <x:c r="D9" s="55"/>
      <x:c r="E9" s="55"/>
      <x:c r="F9" s="55"/>
      <x:c r="G9" s="55"/>
      <x:c r="H9" s="55"/>
      <x:c r="I9" s="55"/>
      <x:c r="J9" s="55"/>
      <x:c r="K9" s="55"/>
      <x:c r="L9" s="55"/>
      <x:c r="M9" s="62" t="str">
        <x:v>CP5</x:v>
      </x:c>
      <x:c r="N9" s="62" t="n">
        <x:f>'Protocol Candidates'!M9</x:f>
        <x:v>8</x:v>
      </x:c>
      <x:c r="O9" s="55"/>
      <x:c r="P9" s="55"/>
      <x:c r="Q9" s="55"/>
      <x:c r="R9" s="55"/>
    </x:row>
    <x:row r="10">
      <x:c r="A10" s="60" t="str">
        <x:v>synthetic cases</x:v>
      </x:c>
      <x:c r="B10" s="61" t="n">
        <x:f>COUNTA('Case Tests'!A5:A16)</x:f>
        <x:v>12</x:v>
      </x:c>
      <x:c r="C10" s="60" t="str">
        <x:v>DECLARED</x:v>
      </x:c>
      <x:c r="D10" s="55"/>
      <x:c r="E10" s="55"/>
      <x:c r="F10" s="55"/>
      <x:c r="G10" s="55"/>
      <x:c r="H10" s="55"/>
      <x:c r="I10" s="55"/>
      <x:c r="J10" s="55"/>
      <x:c r="K10" s="55"/>
      <x:c r="L10" s="55"/>
      <x:c r="M10" s="55"/>
      <x:c r="N10" s="55"/>
      <x:c r="O10" s="55"/>
      <x:c r="P10" s="55"/>
      <x:c r="Q10" s="55"/>
      <x:c r="R10" s="55"/>
    </x:row>
    <x:row r="11">
      <x:c r="A11" s="60" t="str">
        <x:v>safety propagation cases</x:v>
      </x:c>
      <x:c r="B11" s="61" t="n">
        <x:f>COUNTIFS('Case Tests'!L5:L16,"PROPAGATE SAFETY")</x:f>
        <x:v>4</x:v>
      </x:c>
      <x:c r="C11" s="60" t="str">
        <x:v>ALLOW</x:v>
      </x:c>
      <x:c r="D11" s="55"/>
      <x:c r="E11" s="55"/>
      <x:c r="F11" s="55"/>
      <x:c r="G11" s="55"/>
      <x:c r="H11" s="55"/>
      <x:c r="I11" s="55"/>
      <x:c r="J11" s="55"/>
      <x:c r="K11" s="55"/>
      <x:c r="L11" s="55"/>
      <x:c r="M11" s="55"/>
      <x:c r="N11" s="55"/>
      <x:c r="O11" s="55"/>
      <x:c r="P11" s="55"/>
      <x:c r="Q11" s="55"/>
      <x:c r="R11" s="55"/>
    </x:row>
    <x:row r="12">
      <x:c r="A12" s="60" t="str">
        <x:v>sealed performance cases</x:v>
      </x:c>
      <x:c r="B12" s="61" t="n">
        <x:f>COUNTIFS('Case Tests'!L5:L16,"SEALED PERFORMANCE")</x:f>
        <x:v>4</x:v>
      </x:c>
      <x:c r="C12" s="60" t="str">
        <x:v>ESCROW</x:v>
      </x:c>
      <x:c r="D12" s="55"/>
      <x:c r="E12" s="55"/>
      <x:c r="F12" s="55"/>
      <x:c r="G12" s="55"/>
      <x:c r="H12" s="55"/>
      <x:c r="I12" s="55"/>
      <x:c r="J12" s="55"/>
      <x:c r="K12" s="55"/>
      <x:c r="L12" s="55"/>
      <x:c r="M12" s="55"/>
      <x:c r="N12" s="55"/>
      <x:c r="O12" s="55"/>
      <x:c r="P12" s="55"/>
      <x:c r="Q12" s="55"/>
      <x:c r="R12" s="55"/>
    </x:row>
    <x:row r="13">
      <x:c r="A13" s="60" t="str">
        <x:v>root-hold cases</x:v>
      </x:c>
      <x:c r="B13" s="61" t="n">
        <x:f>COUNTIFS('Case Tests'!L5:L16,"ROOT HOLD")</x:f>
        <x:v>4</x:v>
      </x:c>
      <x:c r="C13" s="60" t="str">
        <x:v>PAUSE</x:v>
      </x:c>
      <x:c r="D13" s="55"/>
      <x:c r="E13" s="55"/>
      <x:c r="F13" s="55"/>
      <x:c r="G13" s="55"/>
      <x:c r="H13" s="55"/>
      <x:c r="I13" s="55"/>
      <x:c r="J13" s="55"/>
      <x:c r="K13" s="55"/>
      <x:c r="L13" s="55"/>
      <x:c r="M13" s="55"/>
      <x:c r="N13" s="55"/>
      <x:c r="O13" s="55"/>
      <x:c r="P13" s="55"/>
      <x:c r="Q13" s="55"/>
      <x:c r="R13" s="55"/>
    </x:row>
    <x:row r="14">
      <x:c r="A14" s="60" t="str">
        <x:v>root propagation slots</x:v>
      </x:c>
      <x:c r="B14" s="61" t="n">
        <x:f>COUNTA('Propagation Slots'!A5:A22)</x:f>
        <x:v>18</x:v>
      </x:c>
      <x:c r="C14" s="60" t="str">
        <x:v>ONE PER FORM</x:v>
      </x:c>
      <x:c r="D14" s="55"/>
      <x:c r="E14" s="55"/>
      <x:c r="F14" s="55"/>
      <x:c r="G14" s="55"/>
      <x:c r="H14" s="55"/>
      <x:c r="I14" s="55"/>
      <x:c r="J14" s="55"/>
      <x:c r="K14" s="55"/>
      <x:c r="L14" s="55"/>
      <x:c r="M14" s="55"/>
      <x:c r="N14" s="55"/>
      <x:c r="O14" s="55"/>
      <x:c r="P14" s="55"/>
      <x:c r="Q14" s="55"/>
      <x:c r="R14" s="55"/>
    </x:row>
    <x:row r="15">
      <x:c r="A15" s="60" t="str">
        <x:v>issued safety warrants</x:v>
      </x:c>
      <x:c r="B15" s="61" t="n">
        <x:f>SUM('Propagation Slots'!G5:G22)</x:f>
        <x:v>0</x:v>
      </x:c>
      <x:c r="C15" s="60" t="str">
        <x:v>ZERO</x:v>
      </x:c>
      <x:c r="D15" s="55"/>
      <x:c r="E15" s="55"/>
      <x:c r="F15" s="55"/>
      <x:c r="G15" s="55"/>
      <x:c r="H15" s="55"/>
      <x:c r="I15" s="55"/>
      <x:c r="J15" s="55"/>
      <x:c r="K15" s="55"/>
      <x:c r="L15" s="55"/>
      <x:c r="M15" s="55"/>
      <x:c r="N15" s="55"/>
      <x:c r="O15" s="55"/>
      <x:c r="P15" s="55"/>
      <x:c r="Q15" s="55"/>
      <x:c r="R15" s="55"/>
    </x:row>
    <x:row r="16">
      <x:c r="A16" s="60" t="str">
        <x:v>active root epochs</x:v>
      </x:c>
      <x:c r="B16" s="61" t="n">
        <x:f>'Fiscal &amp; Clock'!L11</x:f>
        <x:v>0</x:v>
      </x:c>
      <x:c r="C16" s="60" t="str">
        <x:v>ZERO</x:v>
      </x:c>
      <x:c r="D16" s="55"/>
      <x:c r="E16" s="55"/>
      <x:c r="F16" s="55"/>
      <x:c r="G16" s="55"/>
      <x:c r="H16" s="55"/>
      <x:c r="I16" s="55"/>
      <x:c r="J16" s="55"/>
      <x:c r="K16" s="55"/>
      <x:c r="L16" s="55"/>
      <x:c r="M16" s="55"/>
      <x:c r="N16" s="55"/>
      <x:c r="O16" s="55"/>
      <x:c r="P16" s="55"/>
      <x:c r="Q16" s="55"/>
      <x:c r="R16" s="55"/>
    </x:row>
    <x:row r="17">
      <x:c r="A17" s="60" t="str">
        <x:v>competitive budget delta USD B</x:v>
      </x:c>
      <x:c r="B17" s="63" t="n">
        <x:f>'Fiscal &amp; Clock'!I11</x:f>
        <x:v>0</x:v>
      </x:c>
      <x:c r="C17" s="60" t="str">
        <x:v>ZERO</x:v>
      </x:c>
      <x:c r="D17" s="55"/>
      <x:c r="E17" s="55"/>
      <x:c r="F17" s="55"/>
      <x:c r="G17" s="55"/>
      <x:c r="H17" s="55"/>
      <x:c r="I17" s="55"/>
      <x:c r="J17" s="55"/>
      <x:c r="K17" s="55"/>
      <x:c r="L17" s="55"/>
      <x:c r="M17" s="55"/>
      <x:c r="N17" s="55"/>
      <x:c r="O17" s="55"/>
      <x:c r="P17" s="55"/>
      <x:c r="Q17" s="55"/>
      <x:c r="R17" s="55"/>
    </x:row>
    <x:row r="18">
      <x:c r="A18" s="60" t="str">
        <x:v>total obligation USD B</x:v>
      </x:c>
      <x:c r="B18" s="63" t="n">
        <x:f>Controls!B19</x:f>
        <x:v>0</x:v>
      </x:c>
      <x:c r="C18" s="60" t="str">
        <x:v>ZERO</x:v>
      </x:c>
      <x:c r="D18" s="55"/>
      <x:c r="E18" s="55"/>
      <x:c r="F18" s="55"/>
      <x:c r="G18" s="55"/>
      <x:c r="H18" s="55"/>
      <x:c r="I18" s="55"/>
      <x:c r="J18" s="55"/>
      <x:c r="K18" s="55"/>
      <x:c r="L18" s="55"/>
      <x:c r="M18" s="55"/>
      <x:c r="N18" s="55"/>
      <x:c r="O18" s="55"/>
      <x:c r="P18" s="55"/>
      <x:c r="Q18" s="55"/>
      <x:c r="R18" s="55"/>
    </x:row>
    <x:row r="19">
      <x:c r="A19" s="60" t="str">
        <x:v>accepted observations</x:v>
      </x:c>
      <x:c r="B19" s="61" t="n">
        <x:f>Controls!B21</x:f>
        <x:v>0</x:v>
      </x:c>
      <x:c r="C19" s="60" t="str">
        <x:v>ZERO</x:v>
      </x:c>
      <x:c r="D19" s="55"/>
      <x:c r="E19" s="55"/>
      <x:c r="F19" s="55"/>
      <x:c r="G19" s="55"/>
      <x:c r="H19" s="55"/>
      <x:c r="I19" s="55"/>
      <x:c r="J19" s="55"/>
      <x:c r="K19" s="55"/>
      <x:c r="L19" s="55"/>
      <x:c r="M19" s="55"/>
      <x:c r="N19" s="55"/>
      <x:c r="O19" s="55"/>
      <x:c r="P19" s="55"/>
      <x:c r="Q19" s="55"/>
      <x:c r="R19" s="55"/>
    </x:row>
    <x:row r="20">
      <x:c r="A20" s="62" t="str">
        <x:v>selected forms</x:v>
      </x:c>
      <x:c r="B20" s="64" t="n">
        <x:f>Controls!B22</x:f>
        <x:v>0</x:v>
      </x:c>
      <x:c r="C20" s="62" t="str">
        <x:v>ZERO</x:v>
      </x:c>
      <x:c r="D20" s="55"/>
      <x:c r="E20" s="55"/>
      <x:c r="F20" s="55"/>
      <x:c r="G20" s="55"/>
      <x:c r="H20" s="55"/>
      <x:c r="I20" s="55"/>
      <x:c r="J20" s="55"/>
      <x:c r="K20" s="55"/>
      <x:c r="L20" s="55"/>
      <x:c r="M20" s="55"/>
      <x:c r="N20" s="55"/>
      <x:c r="O20" s="55"/>
      <x:c r="P20" s="55"/>
      <x:c r="Q20" s="55"/>
      <x:c r="R20" s="55"/>
    </x:row>
  </x:sheetData>
  <x:mergeCells>
    <x:mergeCell ref="A2:R2"/>
    <x:mergeCell ref="E5:J16"/>
  </x:mergeCells>
  <x:pageMargins left="0.7" right="0.7" top="0.75" bottom="0.75" header="0.3" footer="0.3"/>
  <x:drawing xmlns:r="http://schemas.openxmlformats.org/officeDocument/2006/relationships" r:id="R1aae65413f6e4f01"/>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22" hidden="0" customWidth="1"/>
    <x:col min="3" max="3" width="18" hidden="0" customWidth="1"/>
    <x:col min="4" max="4" width="38" hidden="0" customWidth="1"/>
  </x:cols>
  <x:sheetData>
    <x:row r="2">
      <x:c r="A2" s="54" t="str">
        <x:v>Safety change-control inputs</x:v>
      </x:c>
      <x:c r="B2" s="55"/>
      <x:c r="C2" s="55"/>
      <x:c r="D2" s="55"/>
    </x:row>
    <x:row r="3">
      <x:c r="A3" s="56"/>
      <x:c r="B3" s="56"/>
      <x:c r="C3" s="56"/>
      <x:c r="D3" s="56"/>
    </x:row>
    <x:row r="4">
      <x:c r="A4" s="55"/>
      <x:c r="B4" s="55"/>
      <x:c r="C4" s="55"/>
      <x:c r="D4" s="55"/>
    </x:row>
    <x:row r="5" ht="32" customHeight="1">
      <x:c r="A5" s="14" t="str">
        <x:v>Control</x:v>
      </x:c>
      <x:c r="B5" s="15" t="str">
        <x:v>Value</x:v>
      </x:c>
      <x:c r="C5" s="15" t="str">
        <x:v>Unit</x:v>
      </x:c>
      <x:c r="D5" s="16" t="str">
        <x:v>Authority</x:v>
      </x:c>
    </x:row>
    <x:row r="6">
      <x:c r="A6" s="57" t="str">
        <x:v>roots</x:v>
      </x:c>
      <x:c r="B6" s="65" t="n">
        <x:v>6</x:v>
      </x:c>
      <x:c r="C6" s="57" t="str">
        <x:v>count</x:v>
      </x:c>
      <x:c r="D6" s="57" t="str">
        <x:v>Pass 211</x:v>
      </x:c>
    </x:row>
    <x:row r="7">
      <x:c r="A7" s="60" t="str">
        <x:v>forms</x:v>
      </x:c>
      <x:c r="B7" s="66" t="n">
        <x:v>18</x:v>
      </x:c>
      <x:c r="C7" s="60" t="str">
        <x:v>count</x:v>
      </x:c>
      <x:c r="D7" s="60" t="str">
        <x:v>Pass 223</x:v>
      </x:c>
    </x:row>
    <x:row r="8">
      <x:c r="A8" s="60" t="str">
        <x:v>cohorts</x:v>
      </x:c>
      <x:c r="B8" s="66" t="n">
        <x:v>3</x:v>
      </x:c>
      <x:c r="C8" s="60" t="str">
        <x:v>count</x:v>
      </x:c>
      <x:c r="D8" s="60" t="str">
        <x:v>Pass 227</x:v>
      </x:c>
    </x:row>
    <x:row r="9">
      <x:c r="A9" s="60" t="str">
        <x:v>base cohort duration</x:v>
      </x:c>
      <x:c r="B9" s="67" t="n">
        <x:v>24</x:v>
      </x:c>
      <x:c r="C9" s="60" t="str">
        <x:v>weeks</x:v>
      </x:c>
      <x:c r="D9" s="60" t="str">
        <x:v>planning hypothesis</x:v>
      </x:c>
    </x:row>
    <x:row r="10">
      <x:c r="A10" s="60" t="str">
        <x:v>selected protocol</x:v>
      </x:c>
      <x:c r="B10" s="68" t="str">
        <x:v>CP4</x:v>
      </x:c>
      <x:c r="C10" s="60" t="str">
        <x:v>ID</x:v>
      </x:c>
      <x:c r="D10" s="60" t="str">
        <x:v>Pass 228</x:v>
      </x:c>
    </x:row>
    <x:row r="11">
      <x:c r="A11" s="60" t="str">
        <x:v>required shared fields</x:v>
      </x:c>
      <x:c r="B11" s="68" t="n">
        <x:v>12</x:v>
      </x:c>
      <x:c r="C11" s="60" t="str">
        <x:v>count</x:v>
      </x:c>
      <x:c r="D11" s="60" t="str">
        <x:v>Pass 228</x:v>
      </x:c>
    </x:row>
    <x:row r="12">
      <x:c r="A12" s="60" t="str">
        <x:v>prohibited shared fields</x:v>
      </x:c>
      <x:c r="B12" s="68" t="n">
        <x:v>10</x:v>
      </x:c>
      <x:c r="C12" s="60" t="str">
        <x:v>count</x:v>
      </x:c>
      <x:c r="D12" s="60" t="str">
        <x:v>Pass 228</x:v>
      </x:c>
    </x:row>
    <x:row r="13">
      <x:c r="A13" s="60" t="str">
        <x:v>synthetic classification cases</x:v>
      </x:c>
      <x:c r="B13" s="68" t="n">
        <x:v>12</x:v>
      </x:c>
      <x:c r="C13" s="60" t="str">
        <x:v>count</x:v>
      </x:c>
      <x:c r="D13" s="60" t="str">
        <x:v>Pass 228</x:v>
      </x:c>
    </x:row>
    <x:row r="14">
      <x:c r="A14" s="60" t="str">
        <x:v>actual safety events</x:v>
      </x:c>
      <x:c r="B14" s="68" t="n">
        <x:v>0</x:v>
      </x:c>
      <x:c r="C14" s="60" t="str">
        <x:v>count</x:v>
      </x:c>
      <x:c r="D14" s="60" t="str">
        <x:v>source empty</x:v>
      </x:c>
    </x:row>
    <x:row r="15">
      <x:c r="A15" s="60" t="str">
        <x:v>issued safety-change warrants</x:v>
      </x:c>
      <x:c r="B15" s="68" t="n">
        <x:v>0</x:v>
      </x:c>
      <x:c r="C15" s="60" t="str">
        <x:v>count</x:v>
      </x:c>
      <x:c r="D15" s="60" t="str">
        <x:v>source empty</x:v>
      </x:c>
    </x:row>
    <x:row r="16">
      <x:c r="A16" s="60" t="str">
        <x:v>active root epochs</x:v>
      </x:c>
      <x:c r="B16" s="68" t="n">
        <x:v>0</x:v>
      </x:c>
      <x:c r="C16" s="60" t="str">
        <x:v>count</x:v>
      </x:c>
      <x:c r="D16" s="60" t="str">
        <x:v>source empty</x:v>
      </x:c>
    </x:row>
    <x:row r="17">
      <x:c r="A17" s="60" t="str">
        <x:v>competitive budget delta</x:v>
      </x:c>
      <x:c r="B17" s="68" t="n">
        <x:v>0</x:v>
      </x:c>
      <x:c r="C17" s="60" t="str">
        <x:v>USD B</x:v>
      </x:c>
      <x:c r="D17" s="60" t="str">
        <x:v>held</x:v>
      </x:c>
    </x:row>
    <x:row r="18">
      <x:c r="A18" s="60" t="str">
        <x:v>safety-change obligation</x:v>
      </x:c>
      <x:c r="B18" s="68" t="n">
        <x:v>0</x:v>
      </x:c>
      <x:c r="C18" s="60" t="str">
        <x:v>USD B</x:v>
      </x:c>
      <x:c r="D18" s="60" t="str">
        <x:v>held</x:v>
      </x:c>
    </x:row>
    <x:row r="19">
      <x:c r="A19" s="60" t="str">
        <x:v>total obligation</x:v>
      </x:c>
      <x:c r="B19" s="68" t="n">
        <x:v>0</x:v>
      </x:c>
      <x:c r="C19" s="60" t="str">
        <x:v>USD B</x:v>
      </x:c>
      <x:c r="D19" s="60" t="str">
        <x:v>source empty</x:v>
      </x:c>
    </x:row>
    <x:row r="20">
      <x:c r="A20" s="60" t="str">
        <x:v>paid amount</x:v>
      </x:c>
      <x:c r="B20" s="68" t="n">
        <x:v>0</x:v>
      </x:c>
      <x:c r="C20" s="60" t="str">
        <x:v>USD B</x:v>
      </x:c>
      <x:c r="D20" s="60" t="str">
        <x:v>source empty</x:v>
      </x:c>
    </x:row>
    <x:row r="21">
      <x:c r="A21" s="60" t="str">
        <x:v>accepted observations</x:v>
      </x:c>
      <x:c r="B21" s="68" t="n">
        <x:v>0</x:v>
      </x:c>
      <x:c r="C21" s="60" t="str">
        <x:v>count</x:v>
      </x:c>
      <x:c r="D21" s="60" t="str">
        <x:v>source empty</x:v>
      </x:c>
    </x:row>
    <x:row r="22">
      <x:c r="A22" s="60" t="str">
        <x:v>selected forms</x:v>
      </x:c>
      <x:c r="B22" s="68" t="n">
        <x:v>0</x:v>
      </x:c>
      <x:c r="C22" s="60" t="str">
        <x:v>count</x:v>
      </x:c>
      <x:c r="D22" s="60" t="str">
        <x:v>held</x:v>
      </x:c>
    </x:row>
    <x:row r="23">
      <x:c r="A23" s="62" t="str">
        <x:v>branch kills</x:v>
      </x:c>
      <x:c r="B23" s="69" t="n">
        <x:v>0</x:v>
      </x:c>
      <x:c r="C23" s="62" t="str">
        <x:v>count</x:v>
      </x:c>
      <x:c r="D23" s="62" t="str">
        <x:v>Pass 228 decision</x:v>
      </x:c>
    </x:row>
  </x:sheetData>
  <x:mergeCells>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48" hidden="0" customWidth="1"/>
    <x:col min="3" max="3" width="18" hidden="0" customWidth="1"/>
    <x:col min="4" max="4" width="20" hidden="0" customWidth="1"/>
    <x:col min="5" max="5" width="14" hidden="0" customWidth="1"/>
    <x:col min="6" max="6" width="26" hidden="0" customWidth="1"/>
    <x:col min="7" max="7" width="20" hidden="0" customWidth="1"/>
    <x:col min="8" max="8" width="15" hidden="0" customWidth="1"/>
    <x:col min="9" max="9" width="22" hidden="0" customWidth="1"/>
    <x:col min="10" max="10" width="20" hidden="0" customWidth="1"/>
    <x:col min="11" max="11" width="18" hidden="0" customWidth="1"/>
    <x:col min="12" max="12" width="20" hidden="0" customWidth="1"/>
    <x:col min="13" max="13" width="16" hidden="0" customWidth="1"/>
    <x:col min="14" max="14" width="14" hidden="0" customWidth="1"/>
    <x:col min="15" max="15" width="24" hidden="0" customWidth="1"/>
    <x:col min="16" max="16" width="52" hidden="0" customWidth="1"/>
    <x:col min="17" max="17" width="16" hidden="0" customWidth="1"/>
  </x:cols>
  <x:sheetData>
    <x:row r="2">
      <x:c r="A2" s="54" t="str">
        <x:v>Five safety change-control candidates</x:v>
      </x:c>
      <x:c r="B2" s="55"/>
      <x:c r="C2" s="55"/>
      <x:c r="D2" s="55"/>
      <x:c r="E2" s="55"/>
      <x:c r="F2" s="55"/>
      <x:c r="G2" s="55"/>
      <x:c r="H2" s="55"/>
      <x:c r="I2" s="55"/>
      <x:c r="J2" s="55"/>
      <x:c r="K2" s="55"/>
      <x:c r="L2" s="55"/>
      <x:c r="M2" s="55"/>
      <x:c r="N2" s="55"/>
      <x:c r="O2" s="55"/>
      <x:c r="P2" s="55"/>
      <x:c r="Q2" s="55"/>
    </x:row>
    <x:row r="3">
      <x:c r="A3" s="56"/>
      <x:c r="B3" s="56"/>
      <x:c r="C3" s="56"/>
      <x:c r="D3" s="56"/>
      <x:c r="E3" s="56"/>
      <x:c r="F3" s="56"/>
      <x:c r="G3" s="56"/>
      <x:c r="H3" s="56"/>
      <x:c r="I3" s="56"/>
      <x:c r="J3" s="56"/>
      <x:c r="K3" s="56"/>
      <x:c r="L3" s="56"/>
      <x:c r="M3" s="56"/>
      <x:c r="N3" s="56"/>
      <x:c r="O3" s="56"/>
      <x:c r="P3" s="56"/>
      <x:c r="Q3" s="56"/>
    </x:row>
    <x:row r="4" ht="32" customHeight="1">
      <x:c r="A4" s="14" t="str">
        <x:v>Candidate</x:v>
      </x:c>
      <x:c r="B4" s="15" t="str">
        <x:v>Architecture</x:v>
      </x:c>
      <x:c r="C4" s="15" t="str">
        <x:v>Safety-only trigger</x:v>
      </x:c>
      <x:c r="D4" s="15" t="str">
        <x:v>Source-blind payload</x:v>
      </x:c>
      <x:c r="E4" s="15" t="str">
        <x:v>Fixed schema</x:v>
      </x:c>
      <x:c r="F4" s="15" t="str">
        <x:v>Forbidden-content firewall</x:v>
      </x:c>
      <x:c r="G4" s="15" t="str">
        <x:v>Separated approvals</x:v>
      </x:c>
      <x:c r="H4" s="15" t="str">
        <x:v>Root epoch</x:v>
      </x:c>
      <x:c r="I4" s="15" t="str">
        <x:v>Root-native translation</x:v>
      </x:c>
      <x:c r="J4" s="15" t="str">
        <x:v>Equal test burden</x:v>
      </x:c>
      <x:c r="K4" s="15" t="str">
        <x:v>Cost separation</x:v>
      </x:c>
      <x:c r="L4" s="15" t="str">
        <x:v>Expiry and rollback</x:v>
      </x:c>
      <x:c r="M4" s="15" t="str">
        <x:v>Gates passed</x:v>
      </x:c>
      <x:c r="N4" s="15" t="str">
        <x:v>Selected</x:v>
      </x:c>
      <x:c r="O4" s="15" t="str">
        <x:v>Disposition</x:v>
      </x:c>
      <x:c r="P4" s="15" t="str">
        <x:v>Primary defect</x:v>
      </x:c>
      <x:c r="Q4" s="16" t="str">
        <x:v>Use</x:v>
      </x:c>
    </x:row>
    <x:row r="5">
      <x:c r="A5" s="57" t="str">
        <x:v>CP1</x:v>
      </x:c>
      <x:c r="B5" s="57" t="str">
        <x:v>Literal identical retrofit</x:v>
      </x:c>
      <x:c r="C5" s="58" t="n">
        <x:v>1</x:v>
      </x:c>
      <x:c r="D5" s="58" t="n">
        <x:v>1</x:v>
      </x:c>
      <x:c r="E5" s="58" t="n">
        <x:v>1</x:v>
      </x:c>
      <x:c r="F5" s="58" t="n">
        <x:v>1</x:v>
      </x:c>
      <x:c r="G5" s="58" t="n">
        <x:v>1</x:v>
      </x:c>
      <x:c r="H5" s="58" t="n">
        <x:v>1</x:v>
      </x:c>
      <x:c r="I5" s="58" t="n">
        <x:v>0</x:v>
      </x:c>
      <x:c r="J5" s="58" t="n">
        <x:v>1</x:v>
      </x:c>
      <x:c r="K5" s="58" t="n">
        <x:v>1</x:v>
      </x:c>
      <x:c r="L5" s="58" t="n">
        <x:v>1</x:v>
      </x:c>
      <x:c r="M5" s="58" t="n">
        <x:f>SUM(C5:L5)</x:f>
        <x:v>9</x:v>
      </x:c>
      <x:c r="N5" s="58" t="n">
        <x:f>IF(A5=Controls!$B$10,1,0)</x:f>
        <x:v>0</x:v>
      </x:c>
      <x:c r="O5" s="57" t="str">
        <x:f>IF(N5=1,IF(M5=10,"SELECTED PROTOCOL","INVALID SELECTION"),"NOT SELECTED")</x:f>
        <x:v>NOT SELECTED</x:v>
      </x:c>
      <x:c r="P5" s="57" t="str">
        <x:v>Identical hardware change erases root-native form</x:v>
      </x:c>
      <x:c r="Q5" s="57" t="str">
        <x:v>control</x:v>
      </x:c>
    </x:row>
    <x:row r="6">
      <x:c r="A6" s="60" t="str">
        <x:v>CP2</x:v>
      </x:c>
      <x:c r="B6" s="60" t="str">
        <x:v>Single safety-office discretion</x:v>
      </x:c>
      <x:c r="C6" s="61" t="n">
        <x:v>1</x:v>
      </x:c>
      <x:c r="D6" s="61" t="n">
        <x:v>0</x:v>
      </x:c>
      <x:c r="E6" s="61" t="n">
        <x:v>0</x:v>
      </x:c>
      <x:c r="F6" s="61" t="n">
        <x:v>0</x:v>
      </x:c>
      <x:c r="G6" s="61" t="n">
        <x:v>0</x:v>
      </x:c>
      <x:c r="H6" s="61" t="n">
        <x:v>0</x:v>
      </x:c>
      <x:c r="I6" s="61" t="n">
        <x:v>1</x:v>
      </x:c>
      <x:c r="J6" s="61" t="n">
        <x:v>0</x:v>
      </x:c>
      <x:c r="K6" s="61" t="n">
        <x:v>0</x:v>
      </x:c>
      <x:c r="L6" s="61" t="n">
        <x:v>1</x:v>
      </x:c>
      <x:c r="M6" s="61" t="n">
        <x:f>SUM(C6:L6)</x:f>
        <x:v>3</x:v>
      </x:c>
      <x:c r="N6" s="61" t="n">
        <x:f>IF(A6=Controls!$B$10,1,0)</x:f>
        <x:v>0</x:v>
      </x:c>
      <x:c r="O6" s="60" t="str">
        <x:f>IF(N6=1,IF(M6=10,"SELECTED PROTOCOL","INVALID SELECTION"),"NOT SELECTED")</x:f>
        <x:v>NOT SELECTED</x:v>
      </x:c>
      <x:c r="P6" s="60" t="str">
        <x:v>Discretion exposes source and permits unequal treatment</x:v>
      </x:c>
      <x:c r="Q6" s="60" t="str">
        <x:v>control</x:v>
      </x:c>
    </x:row>
    <x:row r="7">
      <x:c r="A7" s="60" t="str">
        <x:v>CP3</x:v>
      </x:c>
      <x:c r="B7" s="60" t="str">
        <x:v>Results-aware adaptive change</x:v>
      </x:c>
      <x:c r="C7" s="61" t="n">
        <x:v>0</x:v>
      </x:c>
      <x:c r="D7" s="61" t="n">
        <x:v>0</x:v>
      </x:c>
      <x:c r="E7" s="61" t="n">
        <x:v>1</x:v>
      </x:c>
      <x:c r="F7" s="61" t="n">
        <x:v>0</x:v>
      </x:c>
      <x:c r="G7" s="61" t="n">
        <x:v>1</x:v>
      </x:c>
      <x:c r="H7" s="61" t="n">
        <x:v>1</x:v>
      </x:c>
      <x:c r="I7" s="61" t="n">
        <x:v>1</x:v>
      </x:c>
      <x:c r="J7" s="61" t="n">
        <x:v>0</x:v>
      </x:c>
      <x:c r="K7" s="61" t="n">
        <x:v>0</x:v>
      </x:c>
      <x:c r="L7" s="61" t="n">
        <x:v>1</x:v>
      </x:c>
      <x:c r="M7" s="61" t="n">
        <x:f>SUM(C7:L7)</x:f>
        <x:v>5</x:v>
      </x:c>
      <x:c r="N7" s="61" t="n">
        <x:f>IF(A7=Controls!$B$10,1,0)</x:f>
        <x:v>0</x:v>
      </x:c>
      <x:c r="O7" s="60" t="str">
        <x:f>IF(N7=1,IF(M7=10,"SELECTED PROTOCOL","INVALID SELECTION"),"NOT SELECTED")</x:f>
        <x:v>NOT SELECTED</x:v>
      </x:c>
      <x:c r="P7" s="60" t="str">
        <x:v>Outcome adaptation leaks performance into later siblings</x:v>
      </x:c>
      <x:c r="Q7" s="60" t="str">
        <x:v>control</x:v>
      </x:c>
    </x:row>
    <x:row r="8">
      <x:c r="A8" s="60" t="str">
        <x:v>CP4</x:v>
      </x:c>
      <x:c r="B8" s="60" t="str">
        <x:v>Root epoch and content-minimized warrant</x:v>
      </x:c>
      <x:c r="C8" s="61" t="n">
        <x:v>1</x:v>
      </x:c>
      <x:c r="D8" s="61" t="n">
        <x:v>1</x:v>
      </x:c>
      <x:c r="E8" s="61" t="n">
        <x:v>1</x:v>
      </x:c>
      <x:c r="F8" s="61" t="n">
        <x:v>1</x:v>
      </x:c>
      <x:c r="G8" s="61" t="n">
        <x:v>1</x:v>
      </x:c>
      <x:c r="H8" s="61" t="n">
        <x:v>1</x:v>
      </x:c>
      <x:c r="I8" s="61" t="n">
        <x:v>1</x:v>
      </x:c>
      <x:c r="J8" s="61" t="n">
        <x:v>1</x:v>
      </x:c>
      <x:c r="K8" s="61" t="n">
        <x:v>1</x:v>
      </x:c>
      <x:c r="L8" s="61" t="n">
        <x:v>1</x:v>
      </x:c>
      <x:c r="M8" s="61" t="n">
        <x:f>SUM(C8:L8)</x:f>
        <x:v>10</x:v>
      </x:c>
      <x:c r="N8" s="61" t="n">
        <x:f>IF(A8=Controls!$B$10,1,0)</x:f>
        <x:v>1</x:v>
      </x:c>
      <x:c r="O8" s="60" t="str">
        <x:f>IF(N8=1,IF(M8=10,"SELECTED PROTOCOL","INVALID SELECTION"),"NOT SELECTED")</x:f>
        <x:v>SELECTED PROTOCOL</x:v>
      </x:c>
      <x:c r="P8" s="60" t="str">
        <x:v>None</x:v>
      </x:c>
      <x:c r="Q8" s="60" t="str">
        <x:v>selected</x:v>
      </x:c>
    </x:row>
    <x:row r="9">
      <x:c r="A9" s="62" t="str">
        <x:v>CP5</x:v>
      </x:c>
      <x:c r="B9" s="62" t="str">
        <x:v>Permanent freeze with no propagation</x:v>
      </x:c>
      <x:c r="C9" s="64" t="n">
        <x:v>1</x:v>
      </x:c>
      <x:c r="D9" s="64" t="n">
        <x:v>1</x:v>
      </x:c>
      <x:c r="E9" s="64" t="n">
        <x:v>1</x:v>
      </x:c>
      <x:c r="F9" s="64" t="n">
        <x:v>1</x:v>
      </x:c>
      <x:c r="G9" s="64" t="n">
        <x:v>1</x:v>
      </x:c>
      <x:c r="H9" s="64" t="n">
        <x:v>0</x:v>
      </x:c>
      <x:c r="I9" s="64" t="n">
        <x:v>1</x:v>
      </x:c>
      <x:c r="J9" s="64" t="n">
        <x:v>0</x:v>
      </x:c>
      <x:c r="K9" s="64" t="n">
        <x:v>1</x:v>
      </x:c>
      <x:c r="L9" s="64" t="n">
        <x:v>1</x:v>
      </x:c>
      <x:c r="M9" s="64" t="n">
        <x:f>SUM(C9:L9)</x:f>
        <x:v>8</x:v>
      </x:c>
      <x:c r="N9" s="64" t="n">
        <x:f>IF(A9=Controls!$B$10,1,0)</x:f>
        <x:v>0</x:v>
      </x:c>
      <x:c r="O9" s="62" t="str">
        <x:f>IF(N9=1,IF(M9=10,"SELECTED PROTOCOL","INVALID SELECTION"),"NOT SELECTED")</x:f>
        <x:v>NOT SELECTED</x:v>
      </x:c>
      <x:c r="P9" s="62" t="str">
        <x:v>Suppresses safety learning and leaves later siblings exposed</x:v>
      </x:c>
      <x:c r="Q9" s="62" t="str">
        <x:v>control</x:v>
      </x:c>
    </x:row>
  </x:sheetData>
  <x:mergeCells>
    <x:mergeCell ref="A2:Q2"/>
  </x:mergeCells>
  <x:conditionalFormatting sqref="O5:O9">
    <x:cfRule type="containsText" dxfId="0" priority="1" operator="containsText" text="INVALID"/>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36" hidden="0" customWidth="1"/>
    <x:col min="3" max="3" width="20" hidden="0" customWidth="1"/>
    <x:col min="4" max="4" width="20" hidden="0" customWidth="1"/>
    <x:col min="5" max="5" width="14" hidden="0" customWidth="1"/>
    <x:col min="6" max="6" width="16" hidden="0" customWidth="1"/>
    <x:col min="7" max="7" width="18" hidden="0" customWidth="1"/>
    <x:col min="8" max="8" width="60" hidden="0" customWidth="1"/>
  </x:cols>
  <x:sheetData>
    <x:row r="2">
      <x:c r="A2" s="54" t="str">
        <x:v>Shared safety-warrant content boundary</x:v>
      </x:c>
      <x:c r="B2" s="55"/>
      <x:c r="C2" s="55"/>
      <x:c r="D2" s="55"/>
      <x:c r="E2" s="55"/>
      <x:c r="F2" s="55"/>
      <x:c r="G2" s="55"/>
      <x:c r="H2" s="55"/>
    </x:row>
    <x:row r="3">
      <x:c r="A3" s="56"/>
      <x:c r="B3" s="56"/>
      <x:c r="C3" s="56"/>
      <x:c r="D3" s="56"/>
      <x:c r="E3" s="56"/>
      <x:c r="F3" s="56"/>
      <x:c r="G3" s="56"/>
      <x:c r="H3" s="56"/>
    </x:row>
    <x:row r="4" ht="32" customHeight="1">
      <x:c r="A4" s="14" t="str">
        <x:v>Field type</x:v>
      </x:c>
      <x:c r="B4" s="15" t="str">
        <x:v>Field</x:v>
      </x:c>
      <x:c r="C4" s="15" t="str">
        <x:v>Shared payload</x:v>
      </x:c>
      <x:c r="D4" s="15" t="str">
        <x:v>Sealed registry</x:v>
      </x:c>
      <x:c r="E4" s="15" t="str">
        <x:v>Required</x:v>
      </x:c>
      <x:c r="F4" s="15" t="str">
        <x:v>Prohibited</x:v>
      </x:c>
      <x:c r="G4" s="15" t="str">
        <x:v>Contract state</x:v>
      </x:c>
      <x:c r="H4" s="16" t="str">
        <x:v>Rule</x:v>
      </x:c>
    </x:row>
    <x:row r="5">
      <x:c r="A5" s="57" t="str">
        <x:v>REQUIRED</x:v>
      </x:c>
      <x:c r="B5" s="57" t="str">
        <x:v>Safety-warrant ID</x:v>
      </x:c>
      <x:c r="C5" s="58" t="n">
        <x:v>1</x:v>
      </x:c>
      <x:c r="D5" s="58" t="n">
        <x:v>0</x:v>
      </x:c>
      <x:c r="E5" s="58" t="n">
        <x:v>1</x:v>
      </x:c>
      <x:c r="F5" s="58" t="n">
        <x:v>0</x:v>
      </x:c>
      <x:c r="G5" s="57" t="str">
        <x:f>IF(A5="REQUIRED",IF(AND(C5=1,E5=1,F5=0),"PASS","FAIL"),IF(AND(C5=0,D5=1,E5=0,F5=1),"PASS","FAIL"))</x:f>
        <x:v>PASS</x:v>
      </x:c>
      <x:c r="H5" s="57" t="str">
        <x:v>Unique public identifier</x:v>
      </x:c>
    </x:row>
    <x:row r="6">
      <x:c r="A6" s="60" t="str">
        <x:v>REQUIRED</x:v>
      </x:c>
      <x:c r="B6" s="60" t="str">
        <x:v>Root ID</x:v>
      </x:c>
      <x:c r="C6" s="61" t="n">
        <x:v>1</x:v>
      </x:c>
      <x:c r="D6" s="61" t="n">
        <x:v>0</x:v>
      </x:c>
      <x:c r="E6" s="61" t="n">
        <x:v>1</x:v>
      </x:c>
      <x:c r="F6" s="61" t="n">
        <x:v>0</x:v>
      </x:c>
      <x:c r="G6" s="60" t="str">
        <x:f>IF(A6="REQUIRED",IF(AND(C6=1,E6=1,F6=0),"PASS","FAIL"),IF(AND(C6=0,D6=1,E6=0,F6=1),"PASS","FAIL"))</x:f>
        <x:v>PASS</x:v>
      </x:c>
      <x:c r="H6" s="60" t="str">
        <x:v>Affected causal root, never a favored form</x:v>
      </x:c>
    </x:row>
    <x:row r="7">
      <x:c r="A7" s="60" t="str">
        <x:v>REQUIRED</x:v>
      </x:c>
      <x:c r="B7" s="60" t="str">
        <x:v>Hazard class</x:v>
      </x:c>
      <x:c r="C7" s="61" t="n">
        <x:v>1</x:v>
      </x:c>
      <x:c r="D7" s="61" t="n">
        <x:v>0</x:v>
      </x:c>
      <x:c r="E7" s="61" t="n">
        <x:v>1</x:v>
      </x:c>
      <x:c r="F7" s="61" t="n">
        <x:v>0</x:v>
      </x:c>
      <x:c r="G7" s="60" t="str">
        <x:f>IF(A7="REQUIRED",IF(AND(C7=1,E7=1,F7=0),"PASS","FAIL"),IF(AND(C7=0,D7=1,E7=0,F7=1),"PASS","FAIL"))</x:f>
        <x:v>PASS</x:v>
      </x:c>
      <x:c r="H7" s="60" t="str">
        <x:v>Physical or rights harm category</x:v>
      </x:c>
    </x:row>
    <x:row r="8">
      <x:c r="A8" s="60" t="str">
        <x:v>REQUIRED</x:v>
      </x:c>
      <x:c r="B8" s="60" t="str">
        <x:v>Protected subject</x:v>
      </x:c>
      <x:c r="C8" s="61" t="n">
        <x:v>1</x:v>
      </x:c>
      <x:c r="D8" s="61" t="n">
        <x:v>0</x:v>
      </x:c>
      <x:c r="E8" s="61" t="n">
        <x:v>1</x:v>
      </x:c>
      <x:c r="F8" s="61" t="n">
        <x:v>0</x:v>
      </x:c>
      <x:c r="G8" s="60" t="str">
        <x:f>IF(A8="REQUIRED",IF(AND(C8=1,E8=1,F8=0),"PASS","FAIL"),IF(AND(C8=0,D8=1,E8=0,F8=1),"PASS","FAIL"))</x:f>
        <x:v>PASS</x:v>
      </x:c>
      <x:c r="H8" s="60" t="str">
        <x:v>Person, crew, receiver, environment or property at risk</x:v>
      </x:c>
    </x:row>
    <x:row r="9">
      <x:c r="A9" s="60" t="str">
        <x:v>REQUIRED</x:v>
      </x:c>
      <x:c r="B9" s="60" t="str">
        <x:v>Harm mechanism</x:v>
      </x:c>
      <x:c r="C9" s="61" t="n">
        <x:v>1</x:v>
      </x:c>
      <x:c r="D9" s="61" t="n">
        <x:v>0</x:v>
      </x:c>
      <x:c r="E9" s="61" t="n">
        <x:v>1</x:v>
      </x:c>
      <x:c r="F9" s="61" t="n">
        <x:v>0</x:v>
      </x:c>
      <x:c r="G9" s="60" t="str">
        <x:f>IF(A9="REQUIRED",IF(AND(C9=1,E9=1,F9=0),"PASS","FAIL"),IF(AND(C9=0,D9=1,E9=0,F9=1),"PASS","FAIL"))</x:f>
        <x:v>PASS</x:v>
      </x:c>
      <x:c r="H9" s="60" t="str">
        <x:v>Causal hazard stated without source-form detail</x:v>
      </x:c>
    </x:row>
    <x:row r="10">
      <x:c r="A10" s="60" t="str">
        <x:v>REQUIRED</x:v>
      </x:c>
      <x:c r="B10" s="60" t="str">
        <x:v>Threshold and unit</x:v>
      </x:c>
      <x:c r="C10" s="61" t="n">
        <x:v>1</x:v>
      </x:c>
      <x:c r="D10" s="61" t="n">
        <x:v>0</x:v>
      </x:c>
      <x:c r="E10" s="61" t="n">
        <x:v>1</x:v>
      </x:c>
      <x:c r="F10" s="61" t="n">
        <x:v>0</x:v>
      </x:c>
      <x:c r="G10" s="60" t="str">
        <x:f>IF(A10="REQUIRED",IF(AND(C10=1,E10=1,F10=0),"PASS","FAIL"),IF(AND(C10=0,D10=1,E10=0,F10=1),"PASS","FAIL"))</x:f>
        <x:v>PASS</x:v>
      </x:c>
      <x:c r="H10" s="60" t="str">
        <x:v>Common pass-fail safety boundary</x:v>
      </x:c>
    </x:row>
    <x:row r="11">
      <x:c r="A11" s="60" t="str">
        <x:v>REQUIRED</x:v>
      </x:c>
      <x:c r="B11" s="60" t="str">
        <x:v>Acceptance test</x:v>
      </x:c>
      <x:c r="C11" s="61" t="n">
        <x:v>1</x:v>
      </x:c>
      <x:c r="D11" s="61" t="n">
        <x:v>0</x:v>
      </x:c>
      <x:c r="E11" s="61" t="n">
        <x:v>1</x:v>
      </x:c>
      <x:c r="F11" s="61" t="n">
        <x:v>0</x:v>
      </x:c>
      <x:c r="G11" s="60" t="str">
        <x:f>IF(A11="REQUIRED",IF(AND(C11=1,E11=1,F11=0),"PASS","FAIL"),IF(AND(C11=0,D11=1,E11=0,F11=1),"PASS","FAIL"))</x:f>
        <x:v>PASS</x:v>
      </x:c>
      <x:c r="H11" s="60" t="str">
        <x:v>Same burden for all three siblings</x:v>
      </x:c>
    </x:row>
    <x:row r="12">
      <x:c r="A12" s="60" t="str">
        <x:v>REQUIRED</x:v>
      </x:c>
      <x:c r="B12" s="60" t="str">
        <x:v>Effective root epoch</x:v>
      </x:c>
      <x:c r="C12" s="61" t="n">
        <x:v>1</x:v>
      </x:c>
      <x:c r="D12" s="61" t="n">
        <x:v>0</x:v>
      </x:c>
      <x:c r="E12" s="61" t="n">
        <x:v>1</x:v>
      </x:c>
      <x:c r="F12" s="61" t="n">
        <x:v>0</x:v>
      </x:c>
      <x:c r="G12" s="60" t="str">
        <x:f>IF(A12="REQUIRED",IF(AND(C12=1,E12=1,F12=0),"PASS","FAIL"),IF(AND(C12=0,D12=1,E12=0,F12=1),"PASS","FAIL"))</x:f>
        <x:v>PASS</x:v>
      </x:c>
      <x:c r="H12" s="60" t="str">
        <x:v>One revision state for all siblings</x:v>
      </x:c>
    </x:row>
    <x:row r="13">
      <x:c r="A13" s="60" t="str">
        <x:v>REQUIRED</x:v>
      </x:c>
      <x:c r="B13" s="60" t="str">
        <x:v>Affected sibling set</x:v>
      </x:c>
      <x:c r="C13" s="61" t="n">
        <x:v>1</x:v>
      </x:c>
      <x:c r="D13" s="61" t="n">
        <x:v>0</x:v>
      </x:c>
      <x:c r="E13" s="61" t="n">
        <x:v>1</x:v>
      </x:c>
      <x:c r="F13" s="61" t="n">
        <x:v>0</x:v>
      </x:c>
      <x:c r="G13" s="60" t="str">
        <x:f>IF(A13="REQUIRED",IF(AND(C13=1,E13=1,F13=0),"PASS","FAIL"),IF(AND(C13=0,D13=1,E13=0,F13=1),"PASS","FAIL"))</x:f>
        <x:v>PASS</x:v>
      </x:c>
      <x:c r="H13" s="60" t="str">
        <x:v>Exactly the three issued forms in the root</x:v>
      </x:c>
    </x:row>
    <x:row r="14">
      <x:c r="A14" s="60" t="str">
        <x:v>REQUIRED</x:v>
      </x:c>
      <x:c r="B14" s="60" t="str">
        <x:v>Clock treatment</x:v>
      </x:c>
      <x:c r="C14" s="61" t="n">
        <x:v>1</x:v>
      </x:c>
      <x:c r="D14" s="61" t="n">
        <x:v>0</x:v>
      </x:c>
      <x:c r="E14" s="61" t="n">
        <x:v>1</x:v>
      </x:c>
      <x:c r="F14" s="61" t="n">
        <x:v>0</x:v>
      </x:c>
      <x:c r="G14" s="60" t="str">
        <x:f>IF(A14="REQUIRED",IF(AND(C14=1,E14=1,F14=0),"PASS","FAIL"),IF(AND(C14=0,D14=1,E14=0,F14=1),"PASS","FAIL"))</x:f>
        <x:v>PASS</x:v>
      </x:c>
      <x:c r="H14" s="60" t="str">
        <x:v>Common post-epoch qualification interval</x:v>
      </x:c>
    </x:row>
    <x:row r="15">
      <x:c r="A15" s="60" t="str">
        <x:v>REQUIRED</x:v>
      </x:c>
      <x:c r="B15" s="60" t="str">
        <x:v>Expiry and review</x:v>
      </x:c>
      <x:c r="C15" s="61" t="n">
        <x:v>1</x:v>
      </x:c>
      <x:c r="D15" s="61" t="n">
        <x:v>0</x:v>
      </x:c>
      <x:c r="E15" s="61" t="n">
        <x:v>1</x:v>
      </x:c>
      <x:c r="F15" s="61" t="n">
        <x:v>0</x:v>
      </x:c>
      <x:c r="G15" s="60" t="str">
        <x:f>IF(A15="REQUIRED",IF(AND(C15=1,E15=1,F15=0),"PASS","FAIL"),IF(AND(C15=0,D15=1,E15=0,F15=1),"PASS","FAIL"))</x:f>
        <x:v>PASS</x:v>
      </x:c>
      <x:c r="H15" s="60" t="str">
        <x:v>Automatic reconsideration, never permanent drift</x:v>
      </x:c>
    </x:row>
    <x:row r="16">
      <x:c r="A16" s="60" t="str">
        <x:v>REQUIRED</x:v>
      </x:c>
      <x:c r="B16" s="60" t="str">
        <x:v>Four approvals</x:v>
      </x:c>
      <x:c r="C16" s="61" t="n">
        <x:v>1</x:v>
      </x:c>
      <x:c r="D16" s="61" t="n">
        <x:v>0</x:v>
      </x:c>
      <x:c r="E16" s="61" t="n">
        <x:v>1</x:v>
      </x:c>
      <x:c r="F16" s="61" t="n">
        <x:v>0</x:v>
      </x:c>
      <x:c r="G16" s="60" t="str">
        <x:f>IF(A16="REQUIRED",IF(AND(C16=1,E16=1,F16=0),"PASS","FAIL"),IF(AND(C16=0,D16=1,E16=0,F16=1),"PASS","FAIL"))</x:f>
        <x:v>PASS</x:v>
      </x:c>
      <x:c r="H16" s="60" t="str">
        <x:v>Triage, rights, content and configuration signatures</x:v>
      </x:c>
    </x:row>
    <x:row r="17">
      <x:c r="A17" s="60" t="str">
        <x:v>PROHIBITED</x:v>
      </x:c>
      <x:c r="B17" s="60" t="str">
        <x:v>Source form ID</x:v>
      </x:c>
      <x:c r="C17" s="61" t="n">
        <x:v>0</x:v>
      </x:c>
      <x:c r="D17" s="61" t="n">
        <x:v>1</x:v>
      </x:c>
      <x:c r="E17" s="61" t="n">
        <x:v>0</x:v>
      </x:c>
      <x:c r="F17" s="61" t="n">
        <x:v>1</x:v>
      </x:c>
      <x:c r="G17" s="60" t="str">
        <x:f>IF(A17="REQUIRED",IF(AND(C17=1,E17=1,F17=0),"PASS","FAIL"),IF(AND(C17=0,D17=1,E17=0,F17=1),"PASS","FAIL"))</x:f>
        <x:v>PASS</x:v>
      </x:c>
      <x:c r="H17" s="60" t="str">
        <x:v>Sealed source pointer only</x:v>
      </x:c>
    </x:row>
    <x:row r="18">
      <x:c r="A18" s="60" t="str">
        <x:v>PROHIBITED</x:v>
      </x:c>
      <x:c r="B18" s="60" t="str">
        <x:v>Source contractor identity</x:v>
      </x:c>
      <x:c r="C18" s="61" t="n">
        <x:v>0</x:v>
      </x:c>
      <x:c r="D18" s="61" t="n">
        <x:v>1</x:v>
      </x:c>
      <x:c r="E18" s="61" t="n">
        <x:v>0</x:v>
      </x:c>
      <x:c r="F18" s="61" t="n">
        <x:v>1</x:v>
      </x:c>
      <x:c r="G18" s="60" t="str">
        <x:f>IF(A18="REQUIRED",IF(AND(C18=1,E18=1,F18=0),"PASS","FAIL"),IF(AND(C18=0,D18=1,E18=0,F18=1),"PASS","FAIL"))</x:f>
        <x:v>PASS</x:v>
      </x:c>
      <x:c r="H18" s="60" t="str">
        <x:v>Cannot signal lineage or maturity</x:v>
      </x:c>
    </x:row>
    <x:row r="19">
      <x:c r="A19" s="60" t="str">
        <x:v>PROHIBITED</x:v>
      </x:c>
      <x:c r="B19" s="60" t="str">
        <x:v>Raw telemetry</x:v>
      </x:c>
      <x:c r="C19" s="61" t="n">
        <x:v>0</x:v>
      </x:c>
      <x:c r="D19" s="61" t="n">
        <x:v>1</x:v>
      </x:c>
      <x:c r="E19" s="61" t="n">
        <x:v>0</x:v>
      </x:c>
      <x:c r="F19" s="61" t="n">
        <x:v>1</x:v>
      </x:c>
      <x:c r="G19" s="60" t="str">
        <x:f>IF(A19="REQUIRED",IF(AND(C19=1,E19=1,F19=0),"PASS","FAIL"),IF(AND(C19=0,D19=1,E19=0,F19=1),"PASS","FAIL"))</x:f>
        <x:v>PASS</x:v>
      </x:c>
      <x:c r="H19" s="60" t="str">
        <x:v>Remains in evidence custody</x:v>
      </x:c>
    </x:row>
    <x:row r="20">
      <x:c r="A20" s="60" t="str">
        <x:v>PROHIBITED</x:v>
      </x:c>
      <x:c r="B20" s="60" t="str">
        <x:v>Relative performance result</x:v>
      </x:c>
      <x:c r="C20" s="61" t="n">
        <x:v>0</x:v>
      </x:c>
      <x:c r="D20" s="61" t="n">
        <x:v>1</x:v>
      </x:c>
      <x:c r="E20" s="61" t="n">
        <x:v>0</x:v>
      </x:c>
      <x:c r="F20" s="61" t="n">
        <x:v>1</x:v>
      </x:c>
      <x:c r="G20" s="60" t="str">
        <x:f>IF(A20="REQUIRED",IF(AND(C20=1,E20=1,F20=0),"PASS","FAIL"),IF(AND(C20=0,D20=1,E20=0,F20=1),"PASS","FAIL"))</x:f>
        <x:v>PASS</x:v>
      </x:c>
      <x:c r="H20" s="60" t="str">
        <x:v>Cannot reveal a sibling advantage</x:v>
      </x:c>
    </x:row>
    <x:row r="21">
      <x:c r="A21" s="60" t="str">
        <x:v>PROHIBITED</x:v>
      </x:c>
      <x:c r="B21" s="60" t="str">
        <x:v>Candidate rank</x:v>
      </x:c>
      <x:c r="C21" s="61" t="n">
        <x:v>0</x:v>
      </x:c>
      <x:c r="D21" s="61" t="n">
        <x:v>1</x:v>
      </x:c>
      <x:c r="E21" s="61" t="n">
        <x:v>0</x:v>
      </x:c>
      <x:c r="F21" s="61" t="n">
        <x:v>1</x:v>
      </x:c>
      <x:c r="G21" s="60" t="str">
        <x:f>IF(A21="REQUIRED",IF(AND(C21=1,E21=1,F21=0),"PASS","FAIL"),IF(AND(C21=0,D21=1,E21=0,F21=1),"PASS","FAIL"))</x:f>
        <x:v>PASS</x:v>
      </x:c>
      <x:c r="H21" s="60" t="str">
        <x:v>Selection is outside safety authority</x:v>
      </x:c>
    </x:row>
    <x:row r="22">
      <x:c r="A22" s="60" t="str">
        <x:v>PROHIBITED</x:v>
      </x:c>
      <x:c r="B22" s="60" t="str">
        <x:v>Cost or schedule outcome</x:v>
      </x:c>
      <x:c r="C22" s="61" t="n">
        <x:v>0</x:v>
      </x:c>
      <x:c r="D22" s="61" t="n">
        <x:v>1</x:v>
      </x:c>
      <x:c r="E22" s="61" t="n">
        <x:v>0</x:v>
      </x:c>
      <x:c r="F22" s="61" t="n">
        <x:v>1</x:v>
      </x:c>
      <x:c r="G22" s="60" t="str">
        <x:f>IF(A22="REQUIRED",IF(AND(C22=1,E22=1,F22=0),"PASS","FAIL"),IF(AND(C22=0,D22=1,E22=0,F22=1),"PASS","FAIL"))</x:f>
        <x:v>PASS</x:v>
      </x:c>
      <x:c r="H22" s="60" t="str">
        <x:v>Cannot alter later access or reserve</x:v>
      </x:c>
    </x:row>
    <x:row r="23">
      <x:c r="A23" s="60" t="str">
        <x:v>PROHIBITED</x:v>
      </x:c>
      <x:c r="B23" s="60" t="str">
        <x:v>Geometry, drawing or CAD</x:v>
      </x:c>
      <x:c r="C23" s="61" t="n">
        <x:v>0</x:v>
      </x:c>
      <x:c r="D23" s="61" t="n">
        <x:v>1</x:v>
      </x:c>
      <x:c r="E23" s="61" t="n">
        <x:v>0</x:v>
      </x:c>
      <x:c r="F23" s="61" t="n">
        <x:v>1</x:v>
      </x:c>
      <x:c r="G23" s="60" t="str">
        <x:f>IF(A23="REQUIRED",IF(AND(C23=1,E23=1,F23=0),"PASS","FAIL"),IF(AND(C23=0,D23=1,E23=0,F23=1),"PASS","FAIL"))</x:f>
        <x:v>PASS</x:v>
      </x:c>
      <x:c r="H23" s="60" t="str">
        <x:v>Would disclose implementation</x:v>
      </x:c>
    </x:row>
    <x:row r="24">
      <x:c r="A24" s="60" t="str">
        <x:v>PROHIBITED</x:v>
      </x:c>
      <x:c r="B24" s="60" t="str">
        <x:v>Implementation suggestion</x:v>
      </x:c>
      <x:c r="C24" s="61" t="n">
        <x:v>0</x:v>
      </x:c>
      <x:c r="D24" s="61" t="n">
        <x:v>1</x:v>
      </x:c>
      <x:c r="E24" s="61" t="n">
        <x:v>0</x:v>
      </x:c>
      <x:c r="F24" s="61" t="n">
        <x:v>1</x:v>
      </x:c>
      <x:c r="G24" s="60" t="str">
        <x:f>IF(A24="REQUIRED",IF(AND(C24=1,E24=1,F24=0),"PASS","FAIL"),IF(AND(C24=0,D24=1,E24=0,F24=1),"PASS","FAIL"))</x:f>
        <x:v>PASS</x:v>
      </x:c>
      <x:c r="H24" s="60" t="str">
        <x:v>Translation remains independent</x:v>
      </x:c>
    </x:row>
    <x:row r="25">
      <x:c r="A25" s="60" t="str">
        <x:v>PROHIBITED</x:v>
      </x:c>
      <x:c r="B25" s="60" t="str">
        <x:v>Maturity or trend claim</x:v>
      </x:c>
      <x:c r="C25" s="61" t="n">
        <x:v>0</x:v>
      </x:c>
      <x:c r="D25" s="61" t="n">
        <x:v>1</x:v>
      </x:c>
      <x:c r="E25" s="61" t="n">
        <x:v>0</x:v>
      </x:c>
      <x:c r="F25" s="61" t="n">
        <x:v>1</x:v>
      </x:c>
      <x:c r="G25" s="60" t="str">
        <x:f>IF(A25="REQUIRED",IF(AND(C25=1,E25=1,F25=0),"PASS","FAIL"),IF(AND(C25=0,D25=1,E25=0,F25=1),"PASS","FAIL"))</x:f>
        <x:v>PASS</x:v>
      </x:c>
      <x:c r="H25" s="60" t="str">
        <x:v>Cannot convert a source result into priors</x:v>
      </x:c>
    </x:row>
    <x:row r="26">
      <x:c r="A26" s="62" t="str">
        <x:v>PROHIBITED</x:v>
      </x:c>
      <x:c r="B26" s="62" t="str">
        <x:v>Selection recommendation</x:v>
      </x:c>
      <x:c r="C26" s="64" t="n">
        <x:v>0</x:v>
      </x:c>
      <x:c r="D26" s="64" t="n">
        <x:v>1</x:v>
      </x:c>
      <x:c r="E26" s="64" t="n">
        <x:v>0</x:v>
      </x:c>
      <x:c r="F26" s="64" t="n">
        <x:v>1</x:v>
      </x:c>
      <x:c r="G26" s="62" t="str">
        <x:f>IF(A26="REQUIRED",IF(AND(C26=1,E26=1,F26=0),"PASS","FAIL"),IF(AND(C26=0,D26=1,E26=0,F26=1),"PASS","FAIL"))</x:f>
        <x:v>PASS</x:v>
      </x:c>
      <x:c r="H26" s="62" t="str">
        <x:v>No safety record may choose a form</x:v>
      </x:c>
    </x:row>
  </x:sheetData>
  <x:mergeCells>
    <x:mergeCell ref="A2:H2"/>
  </x:mergeCells>
  <x:conditionalFormatting sqref="G5:G26">
    <x:cfRule type="containsText" dxfId="1" priority="1" operator="containsText" text="FAIL"/>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8" hidden="0" customWidth="1"/>
    <x:col min="2" max="2" width="20" hidden="0" customWidth="1"/>
    <x:col min="3" max="3" width="18" hidden="0" customWidth="1"/>
    <x:col min="4" max="4" width="18" hidden="0" customWidth="1"/>
    <x:col min="5" max="5" width="20" hidden="0" customWidth="1"/>
    <x:col min="6" max="6" width="18" hidden="0" customWidth="1"/>
    <x:col min="7" max="7" width="20" hidden="0" customWidth="1"/>
    <x:col min="8" max="8" width="18" hidden="0" customWidth="1"/>
    <x:col min="9" max="9" width="20" hidden="0" customWidth="1"/>
    <x:col min="10" max="10" width="21" hidden="0" customWidth="1"/>
    <x:col min="11" max="11" width="22" hidden="0" customWidth="1"/>
    <x:col min="12" max="12" width="14" hidden="0" customWidth="1"/>
    <x:col min="13" max="13" width="18" hidden="0" customWidth="1"/>
    <x:col min="14" max="14" width="24" hidden="0" customWidth="1"/>
    <x:col min="15" max="15" width="22" hidden="0" customWidth="1"/>
    <x:col min="16" max="16" width="16" hidden="0" customWidth="1"/>
  </x:cols>
  <x:sheetData>
    <x:row r="2">
      <x:c r="A2" s="54" t="str">
        <x:v>Separated change-control authorities</x:v>
      </x:c>
      <x:c r="B2" s="55"/>
      <x:c r="C2" s="55"/>
      <x:c r="D2" s="55"/>
      <x:c r="E2" s="55"/>
      <x:c r="F2" s="55"/>
      <x:c r="G2" s="55"/>
      <x:c r="H2" s="55"/>
      <x:c r="I2" s="55"/>
      <x:c r="J2" s="55"/>
      <x:c r="K2" s="55"/>
      <x:c r="L2" s="55"/>
      <x:c r="M2" s="55"/>
      <x:c r="N2" s="55"/>
      <x:c r="O2" s="55"/>
      <x:c r="P2" s="55"/>
    </x:row>
    <x:row r="3">
      <x:c r="A3" s="56"/>
      <x:c r="B3" s="56"/>
      <x:c r="C3" s="56"/>
      <x:c r="D3" s="56"/>
      <x:c r="E3" s="56"/>
      <x:c r="F3" s="56"/>
      <x:c r="G3" s="56"/>
      <x:c r="H3" s="56"/>
      <x:c r="I3" s="56"/>
      <x:c r="J3" s="56"/>
      <x:c r="K3" s="56"/>
      <x:c r="L3" s="56"/>
      <x:c r="M3" s="56"/>
      <x:c r="N3" s="56"/>
      <x:c r="O3" s="56"/>
      <x:c r="P3" s="56"/>
    </x:row>
    <x:row r="4" ht="32" customHeight="1">
      <x:c r="A4" s="14" t="str">
        <x:v>Role</x:v>
      </x:c>
      <x:c r="B4" s="15" t="str">
        <x:v>Raw source access</x:v>
      </x:c>
      <x:c r="C4" s="15" t="str">
        <x:v>Immediate stop</x:v>
      </x:c>
      <x:c r="D4" s="15" t="str">
        <x:v>Classify hazard</x:v>
      </x:c>
      <x:c r="E4" s="15" t="str">
        <x:v>Minimize content</x:v>
      </x:c>
      <x:c r="F4" s="15" t="str">
        <x:v>Rights approval</x:v>
      </x:c>
      <x:c r="G4" s="15" t="str">
        <x:v>Continuity approval</x:v>
      </x:c>
      <x:c r="H4" s="15" t="str">
        <x:v>Issue root epoch</x:v>
      </x:c>
      <x:c r="I4" s="15" t="str">
        <x:v>Translate sibling</x:v>
      </x:c>
      <x:c r="J4" s="15" t="str">
        <x:v>Accept safety test</x:v>
      </x:c>
      <x:c r="K4" s="15" t="str">
        <x:v>Compare performance</x:v>
      </x:c>
      <x:c r="L4" s="15" t="str">
        <x:v>Move funds</x:v>
      </x:c>
      <x:c r="M4" s="15" t="str">
        <x:v>Publish record</x:v>
      </x:c>
      <x:c r="N4" s="15" t="str">
        <x:v>Raw-to-design separation</x:v>
      </x:c>
      <x:c r="O4" s="15" t="str">
        <x:v>Issue-test separation</x:v>
      </x:c>
      <x:c r="P4" s="16" t="str">
        <x:v>Role state</x:v>
      </x:c>
    </x:row>
    <x:row r="5">
      <x:c r="A5" s="57" t="str">
        <x:v>Safety observer</x:v>
      </x:c>
      <x:c r="B5" s="58" t="n">
        <x:v>1</x:v>
      </x:c>
      <x:c r="C5" s="58" t="n">
        <x:v>1</x:v>
      </x:c>
      <x:c r="D5" s="58" t="n">
        <x:v>0</x:v>
      </x:c>
      <x:c r="E5" s="58" t="n">
        <x:v>0</x:v>
      </x:c>
      <x:c r="F5" s="58" t="n">
        <x:v>0</x:v>
      </x:c>
      <x:c r="G5" s="58" t="n">
        <x:v>0</x:v>
      </x:c>
      <x:c r="H5" s="58" t="n">
        <x:v>0</x:v>
      </x:c>
      <x:c r="I5" s="58" t="n">
        <x:v>0</x:v>
      </x:c>
      <x:c r="J5" s="58" t="n">
        <x:v>0</x:v>
      </x:c>
      <x:c r="K5" s="58" t="n">
        <x:v>0</x:v>
      </x:c>
      <x:c r="L5" s="58" t="n">
        <x:v>0</x:v>
      </x:c>
      <x:c r="M5" s="58" t="n">
        <x:v>0</x:v>
      </x:c>
      <x:c r="N5" s="58" t="n">
        <x:f>IF(B5*I5=0,1,0)</x:f>
        <x:v>1</x:v>
      </x:c>
      <x:c r="O5" s="58" t="n">
        <x:f>IF(H5*J5=0,1,0)</x:f>
        <x:v>1</x:v>
      </x:c>
      <x:c r="P5" s="57" t="str">
        <x:f>IF(AND(N5=1,O5=1,K5=0,SUM(B5:M5)&gt;0),"PASS","FAIL")</x:f>
        <x:v>PASS</x:v>
      </x:c>
    </x:row>
    <x:row r="6">
      <x:c r="A6" s="60" t="str">
        <x:v>Quarantine custodian</x:v>
      </x:c>
      <x:c r="B6" s="61" t="n">
        <x:v>1</x:v>
      </x:c>
      <x:c r="C6" s="61" t="n">
        <x:v>0</x:v>
      </x:c>
      <x:c r="D6" s="61" t="n">
        <x:v>0</x:v>
      </x:c>
      <x:c r="E6" s="61" t="n">
        <x:v>0</x:v>
      </x:c>
      <x:c r="F6" s="61" t="n">
        <x:v>0</x:v>
      </x:c>
      <x:c r="G6" s="61" t="n">
        <x:v>0</x:v>
      </x:c>
      <x:c r="H6" s="61" t="n">
        <x:v>0</x:v>
      </x:c>
      <x:c r="I6" s="61" t="n">
        <x:v>0</x:v>
      </x:c>
      <x:c r="J6" s="61" t="n">
        <x:v>0</x:v>
      </x:c>
      <x:c r="K6" s="61" t="n">
        <x:v>0</x:v>
      </x:c>
      <x:c r="L6" s="61" t="n">
        <x:v>0</x:v>
      </x:c>
      <x:c r="M6" s="61" t="n">
        <x:v>0</x:v>
      </x:c>
      <x:c r="N6" s="61" t="n">
        <x:f>IF(B6*I6=0,1,0)</x:f>
        <x:v>1</x:v>
      </x:c>
      <x:c r="O6" s="61" t="n">
        <x:f>IF(H6*J6=0,1,0)</x:f>
        <x:v>1</x:v>
      </x:c>
      <x:c r="P6" s="60" t="str">
        <x:f>IF(AND(N6=1,O6=1,K6=0,SUM(B6:M6)&gt;0),"PASS","FAIL")</x:f>
        <x:v>PASS</x:v>
      </x:c>
    </x:row>
    <x:row r="7">
      <x:c r="A7" s="60" t="str">
        <x:v>Safety triage cell</x:v>
      </x:c>
      <x:c r="B7" s="61" t="n">
        <x:v>1</x:v>
      </x:c>
      <x:c r="C7" s="61" t="n">
        <x:v>1</x:v>
      </x:c>
      <x:c r="D7" s="61" t="n">
        <x:v>1</x:v>
      </x:c>
      <x:c r="E7" s="61" t="n">
        <x:v>0</x:v>
      </x:c>
      <x:c r="F7" s="61" t="n">
        <x:v>0</x:v>
      </x:c>
      <x:c r="G7" s="61" t="n">
        <x:v>0</x:v>
      </x:c>
      <x:c r="H7" s="61" t="n">
        <x:v>0</x:v>
      </x:c>
      <x:c r="I7" s="61" t="n">
        <x:v>0</x:v>
      </x:c>
      <x:c r="J7" s="61" t="n">
        <x:v>0</x:v>
      </x:c>
      <x:c r="K7" s="61" t="n">
        <x:v>0</x:v>
      </x:c>
      <x:c r="L7" s="61" t="n">
        <x:v>0</x:v>
      </x:c>
      <x:c r="M7" s="61" t="n">
        <x:v>0</x:v>
      </x:c>
      <x:c r="N7" s="61" t="n">
        <x:f>IF(B7*I7=0,1,0)</x:f>
        <x:v>1</x:v>
      </x:c>
      <x:c r="O7" s="61" t="n">
        <x:f>IF(H7*J7=0,1,0)</x:f>
        <x:v>1</x:v>
      </x:c>
      <x:c r="P7" s="60" t="str">
        <x:f>IF(AND(N7=1,O7=1,K7=0,SUM(B7:M7)&gt;0),"PASS","FAIL")</x:f>
        <x:v>PASS</x:v>
      </x:c>
    </x:row>
    <x:row r="8">
      <x:c r="A8" s="60" t="str">
        <x:v>Content challenge cell</x:v>
      </x:c>
      <x:c r="B8" s="61" t="n">
        <x:v>1</x:v>
      </x:c>
      <x:c r="C8" s="61" t="n">
        <x:v>0</x:v>
      </x:c>
      <x:c r="D8" s="61" t="n">
        <x:v>0</x:v>
      </x:c>
      <x:c r="E8" s="61" t="n">
        <x:v>1</x:v>
      </x:c>
      <x:c r="F8" s="61" t="n">
        <x:v>0</x:v>
      </x:c>
      <x:c r="G8" s="61" t="n">
        <x:v>0</x:v>
      </x:c>
      <x:c r="H8" s="61" t="n">
        <x:v>0</x:v>
      </x:c>
      <x:c r="I8" s="61" t="n">
        <x:v>0</x:v>
      </x:c>
      <x:c r="J8" s="61" t="n">
        <x:v>0</x:v>
      </x:c>
      <x:c r="K8" s="61" t="n">
        <x:v>0</x:v>
      </x:c>
      <x:c r="L8" s="61" t="n">
        <x:v>0</x:v>
      </x:c>
      <x:c r="M8" s="61" t="n">
        <x:v>0</x:v>
      </x:c>
      <x:c r="N8" s="61" t="n">
        <x:f>IF(B8*I8=0,1,0)</x:f>
        <x:v>1</x:v>
      </x:c>
      <x:c r="O8" s="61" t="n">
        <x:f>IF(H8*J8=0,1,0)</x:f>
        <x:v>1</x:v>
      </x:c>
      <x:c r="P8" s="60" t="str">
        <x:f>IF(AND(N8=1,O8=1,K8=0,SUM(B8:M8)&gt;0),"PASS","FAIL")</x:f>
        <x:v>PASS</x:v>
      </x:c>
    </x:row>
    <x:row r="9">
      <x:c r="A9" s="60" t="str">
        <x:v>Rights authority</x:v>
      </x:c>
      <x:c r="B9" s="61" t="n">
        <x:v>0</x:v>
      </x:c>
      <x:c r="C9" s="61" t="n">
        <x:v>0</x:v>
      </x:c>
      <x:c r="D9" s="61" t="n">
        <x:v>0</x:v>
      </x:c>
      <x:c r="E9" s="61" t="n">
        <x:v>0</x:v>
      </x:c>
      <x:c r="F9" s="61" t="n">
        <x:v>1</x:v>
      </x:c>
      <x:c r="G9" s="61" t="n">
        <x:v>0</x:v>
      </x:c>
      <x:c r="H9" s="61" t="n">
        <x:v>0</x:v>
      </x:c>
      <x:c r="I9" s="61" t="n">
        <x:v>0</x:v>
      </x:c>
      <x:c r="J9" s="61" t="n">
        <x:v>0</x:v>
      </x:c>
      <x:c r="K9" s="61" t="n">
        <x:v>0</x:v>
      </x:c>
      <x:c r="L9" s="61" t="n">
        <x:v>0</x:v>
      </x:c>
      <x:c r="M9" s="61" t="n">
        <x:v>0</x:v>
      </x:c>
      <x:c r="N9" s="61" t="n">
        <x:f>IF(B9*I9=0,1,0)</x:f>
        <x:v>1</x:v>
      </x:c>
      <x:c r="O9" s="61" t="n">
        <x:f>IF(H9*J9=0,1,0)</x:f>
        <x:v>1</x:v>
      </x:c>
      <x:c r="P9" s="60" t="str">
        <x:f>IF(AND(N9=1,O9=1,K9=0,SUM(B9:M9)&gt;0),"PASS","FAIL")</x:f>
        <x:v>PASS</x:v>
      </x:c>
    </x:row>
    <x:row r="10">
      <x:c r="A10" s="60" t="str">
        <x:v>Configuration registrar</x:v>
      </x:c>
      <x:c r="B10" s="61" t="n">
        <x:v>0</x:v>
      </x:c>
      <x:c r="C10" s="61" t="n">
        <x:v>0</x:v>
      </x:c>
      <x:c r="D10" s="61" t="n">
        <x:v>0</x:v>
      </x:c>
      <x:c r="E10" s="61" t="n">
        <x:v>0</x:v>
      </x:c>
      <x:c r="F10" s="61" t="n">
        <x:v>0</x:v>
      </x:c>
      <x:c r="G10" s="61" t="n">
        <x:v>1</x:v>
      </x:c>
      <x:c r="H10" s="61" t="n">
        <x:v>1</x:v>
      </x:c>
      <x:c r="I10" s="61" t="n">
        <x:v>0</x:v>
      </x:c>
      <x:c r="J10" s="61" t="n">
        <x:v>0</x:v>
      </x:c>
      <x:c r="K10" s="61" t="n">
        <x:v>0</x:v>
      </x:c>
      <x:c r="L10" s="61" t="n">
        <x:v>0</x:v>
      </x:c>
      <x:c r="M10" s="61" t="n">
        <x:v>1</x:v>
      </x:c>
      <x:c r="N10" s="61" t="n">
        <x:f>IF(B10*I10=0,1,0)</x:f>
        <x:v>1</x:v>
      </x:c>
      <x:c r="O10" s="61" t="n">
        <x:f>IF(H10*J10=0,1,0)</x:f>
        <x:v>1</x:v>
      </x:c>
      <x:c r="P10" s="60" t="str">
        <x:f>IF(AND(N10=1,O10=1,K10=0,SUM(B10:M10)&gt;0),"PASS","FAIL")</x:f>
        <x:v>PASS</x:v>
      </x:c>
    </x:row>
    <x:row r="11">
      <x:c r="A11" s="60" t="str">
        <x:v>Sibling translation A</x:v>
      </x:c>
      <x:c r="B11" s="61" t="n">
        <x:v>0</x:v>
      </x:c>
      <x:c r="C11" s="61" t="n">
        <x:v>0</x:v>
      </x:c>
      <x:c r="D11" s="61" t="n">
        <x:v>0</x:v>
      </x:c>
      <x:c r="E11" s="61" t="n">
        <x:v>0</x:v>
      </x:c>
      <x:c r="F11" s="61" t="n">
        <x:v>0</x:v>
      </x:c>
      <x:c r="G11" s="61" t="n">
        <x:v>0</x:v>
      </x:c>
      <x:c r="H11" s="61" t="n">
        <x:v>0</x:v>
      </x:c>
      <x:c r="I11" s="61" t="n">
        <x:v>1</x:v>
      </x:c>
      <x:c r="J11" s="61" t="n">
        <x:v>0</x:v>
      </x:c>
      <x:c r="K11" s="61" t="n">
        <x:v>0</x:v>
      </x:c>
      <x:c r="L11" s="61" t="n">
        <x:v>0</x:v>
      </x:c>
      <x:c r="M11" s="61" t="n">
        <x:v>0</x:v>
      </x:c>
      <x:c r="N11" s="61" t="n">
        <x:f>IF(B11*I11=0,1,0)</x:f>
        <x:v>1</x:v>
      </x:c>
      <x:c r="O11" s="61" t="n">
        <x:f>IF(H11*J11=0,1,0)</x:f>
        <x:v>1</x:v>
      </x:c>
      <x:c r="P11" s="60" t="str">
        <x:f>IF(AND(N11=1,O11=1,K11=0,SUM(B11:M11)&gt;0),"PASS","FAIL")</x:f>
        <x:v>PASS</x:v>
      </x:c>
    </x:row>
    <x:row r="12">
      <x:c r="A12" s="60" t="str">
        <x:v>Sibling translation B</x:v>
      </x:c>
      <x:c r="B12" s="61" t="n">
        <x:v>0</x:v>
      </x:c>
      <x:c r="C12" s="61" t="n">
        <x:v>0</x:v>
      </x:c>
      <x:c r="D12" s="61" t="n">
        <x:v>0</x:v>
      </x:c>
      <x:c r="E12" s="61" t="n">
        <x:v>0</x:v>
      </x:c>
      <x:c r="F12" s="61" t="n">
        <x:v>0</x:v>
      </x:c>
      <x:c r="G12" s="61" t="n">
        <x:v>0</x:v>
      </x:c>
      <x:c r="H12" s="61" t="n">
        <x:v>0</x:v>
      </x:c>
      <x:c r="I12" s="61" t="n">
        <x:v>1</x:v>
      </x:c>
      <x:c r="J12" s="61" t="n">
        <x:v>0</x:v>
      </x:c>
      <x:c r="K12" s="61" t="n">
        <x:v>0</x:v>
      </x:c>
      <x:c r="L12" s="61" t="n">
        <x:v>0</x:v>
      </x:c>
      <x:c r="M12" s="61" t="n">
        <x:v>0</x:v>
      </x:c>
      <x:c r="N12" s="61" t="n">
        <x:f>IF(B12*I12=0,1,0)</x:f>
        <x:v>1</x:v>
      </x:c>
      <x:c r="O12" s="61" t="n">
        <x:f>IF(H12*J12=0,1,0)</x:f>
        <x:v>1</x:v>
      </x:c>
      <x:c r="P12" s="60" t="str">
        <x:f>IF(AND(N12=1,O12=1,K12=0,SUM(B12:M12)&gt;0),"PASS","FAIL")</x:f>
        <x:v>PASS</x:v>
      </x:c>
    </x:row>
    <x:row r="13">
      <x:c r="A13" s="60" t="str">
        <x:v>Sibling translation C</x:v>
      </x:c>
      <x:c r="B13" s="61" t="n">
        <x:v>0</x:v>
      </x:c>
      <x:c r="C13" s="61" t="n">
        <x:v>0</x:v>
      </x:c>
      <x:c r="D13" s="61" t="n">
        <x:v>0</x:v>
      </x:c>
      <x:c r="E13" s="61" t="n">
        <x:v>0</x:v>
      </x:c>
      <x:c r="F13" s="61" t="n">
        <x:v>0</x:v>
      </x:c>
      <x:c r="G13" s="61" t="n">
        <x:v>0</x:v>
      </x:c>
      <x:c r="H13" s="61" t="n">
        <x:v>0</x:v>
      </x:c>
      <x:c r="I13" s="61" t="n">
        <x:v>1</x:v>
      </x:c>
      <x:c r="J13" s="61" t="n">
        <x:v>0</x:v>
      </x:c>
      <x:c r="K13" s="61" t="n">
        <x:v>0</x:v>
      </x:c>
      <x:c r="L13" s="61" t="n">
        <x:v>0</x:v>
      </x:c>
      <x:c r="M13" s="61" t="n">
        <x:v>0</x:v>
      </x:c>
      <x:c r="N13" s="61" t="n">
        <x:f>IF(B13*I13=0,1,0)</x:f>
        <x:v>1</x:v>
      </x:c>
      <x:c r="O13" s="61" t="n">
        <x:f>IF(H13*J13=0,1,0)</x:f>
        <x:v>1</x:v>
      </x:c>
      <x:c r="P13" s="60" t="str">
        <x:f>IF(AND(N13=1,O13=1,K13=0,SUM(B13:M13)&gt;0),"PASS","FAIL")</x:f>
        <x:v>PASS</x:v>
      </x:c>
    </x:row>
    <x:row r="14">
      <x:c r="A14" s="60" t="str">
        <x:v>Safety test authority</x:v>
      </x:c>
      <x:c r="B14" s="61" t="n">
        <x:v>0</x:v>
      </x:c>
      <x:c r="C14" s="61" t="n">
        <x:v>0</x:v>
      </x:c>
      <x:c r="D14" s="61" t="n">
        <x:v>0</x:v>
      </x:c>
      <x:c r="E14" s="61" t="n">
        <x:v>0</x:v>
      </x:c>
      <x:c r="F14" s="61" t="n">
        <x:v>0</x:v>
      </x:c>
      <x:c r="G14" s="61" t="n">
        <x:v>0</x:v>
      </x:c>
      <x:c r="H14" s="61" t="n">
        <x:v>0</x:v>
      </x:c>
      <x:c r="I14" s="61" t="n">
        <x:v>0</x:v>
      </x:c>
      <x:c r="J14" s="61" t="n">
        <x:v>1</x:v>
      </x:c>
      <x:c r="K14" s="61" t="n">
        <x:v>0</x:v>
      </x:c>
      <x:c r="L14" s="61" t="n">
        <x:v>0</x:v>
      </x:c>
      <x:c r="M14" s="61" t="n">
        <x:v>0</x:v>
      </x:c>
      <x:c r="N14" s="61" t="n">
        <x:f>IF(B14*I14=0,1,0)</x:f>
        <x:v>1</x:v>
      </x:c>
      <x:c r="O14" s="61" t="n">
        <x:f>IF(H14*J14=0,1,0)</x:f>
        <x:v>1</x:v>
      </x:c>
      <x:c r="P14" s="60" t="str">
        <x:f>IF(AND(N14=1,O14=1,K14=0,SUM(B14:M14)&gt;0),"PASS","FAIL")</x:f>
        <x:v>PASS</x:v>
      </x:c>
    </x:row>
    <x:row r="15">
      <x:c r="A15" s="60" t="str">
        <x:v>Finance custodian</x:v>
      </x:c>
      <x:c r="B15" s="61" t="n">
        <x:v>0</x:v>
      </x:c>
      <x:c r="C15" s="61" t="n">
        <x:v>0</x:v>
      </x:c>
      <x:c r="D15" s="61" t="n">
        <x:v>0</x:v>
      </x:c>
      <x:c r="E15" s="61" t="n">
        <x:v>0</x:v>
      </x:c>
      <x:c r="F15" s="61" t="n">
        <x:v>0</x:v>
      </x:c>
      <x:c r="G15" s="61" t="n">
        <x:v>0</x:v>
      </x:c>
      <x:c r="H15" s="61" t="n">
        <x:v>0</x:v>
      </x:c>
      <x:c r="I15" s="61" t="n">
        <x:v>0</x:v>
      </x:c>
      <x:c r="J15" s="61" t="n">
        <x:v>0</x:v>
      </x:c>
      <x:c r="K15" s="61" t="n">
        <x:v>0</x:v>
      </x:c>
      <x:c r="L15" s="61" t="n">
        <x:v>1</x:v>
      </x:c>
      <x:c r="M15" s="61" t="n">
        <x:v>0</x:v>
      </x:c>
      <x:c r="N15" s="61" t="n">
        <x:f>IF(B15*I15=0,1,0)</x:f>
        <x:v>1</x:v>
      </x:c>
      <x:c r="O15" s="61" t="n">
        <x:f>IF(H15*J15=0,1,0)</x:f>
        <x:v>1</x:v>
      </x:c>
      <x:c r="P15" s="60" t="str">
        <x:f>IF(AND(N15=1,O15=1,K15=0,SUM(B15:M15)&gt;0),"PASS","FAIL")</x:f>
        <x:v>PASS</x:v>
      </x:c>
    </x:row>
    <x:row r="16">
      <x:c r="A16" s="62" t="str">
        <x:v>Public ledger</x:v>
      </x:c>
      <x:c r="B16" s="64" t="n">
        <x:v>0</x:v>
      </x:c>
      <x:c r="C16" s="64" t="n">
        <x:v>0</x:v>
      </x:c>
      <x:c r="D16" s="64" t="n">
        <x:v>0</x:v>
      </x:c>
      <x:c r="E16" s="64" t="n">
        <x:v>0</x:v>
      </x:c>
      <x:c r="F16" s="64" t="n">
        <x:v>0</x:v>
      </x:c>
      <x:c r="G16" s="64" t="n">
        <x:v>0</x:v>
      </x:c>
      <x:c r="H16" s="64" t="n">
        <x:v>0</x:v>
      </x:c>
      <x:c r="I16" s="64" t="n">
        <x:v>0</x:v>
      </x:c>
      <x:c r="J16" s="64" t="n">
        <x:v>0</x:v>
      </x:c>
      <x:c r="K16" s="64" t="n">
        <x:v>0</x:v>
      </x:c>
      <x:c r="L16" s="64" t="n">
        <x:v>0</x:v>
      </x:c>
      <x:c r="M16" s="64" t="n">
        <x:v>1</x:v>
      </x:c>
      <x:c r="N16" s="64" t="n">
        <x:f>IF(B16*I16=0,1,0)</x:f>
        <x:v>1</x:v>
      </x:c>
      <x:c r="O16" s="64" t="n">
        <x:f>IF(H16*J16=0,1,0)</x:f>
        <x:v>1</x:v>
      </x:c>
      <x:c r="P16" s="62" t="str">
        <x:f>IF(AND(N16=1,O16=1,K16=0,SUM(B16:M16)&gt;0),"PASS","FAIL")</x:f>
        <x:v>PASS</x:v>
      </x:c>
    </x:row>
  </x:sheetData>
  <x:mergeCells>
    <x:mergeCell ref="A2:P2"/>
  </x:mergeCells>
  <x:conditionalFormatting sqref="P5:P16">
    <x:cfRule type="containsText" dxfId="2" priority="1" operator="containsText" text="FAIL"/>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31" hidden="0" customWidth="1"/>
    <x:col min="3" max="3" width="30" hidden="0" customWidth="1"/>
    <x:col min="4" max="4" width="22" hidden="0" customWidth="1"/>
    <x:col min="5" max="5" width="28" hidden="0" customWidth="1"/>
    <x:col min="6" max="6" width="23" hidden="0" customWidth="1"/>
    <x:col min="7" max="7" width="28" hidden="0" customWidth="1"/>
    <x:col min="8" max="8" width="18" hidden="0" customWidth="1"/>
    <x:col min="9" max="9" width="18" hidden="0" customWidth="1"/>
    <x:col min="10" max="10" width="16" hidden="0" customWidth="1"/>
    <x:col min="11" max="11" width="16" hidden="0" customWidth="1"/>
  </x:cols>
  <x:sheetData>
    <x:row r="2">
      <x:c r="A2" s="54" t="str">
        <x:v>Safety change state machine</x:v>
      </x:c>
      <x:c r="B2" s="55"/>
      <x:c r="C2" s="55"/>
      <x:c r="D2" s="55"/>
      <x:c r="E2" s="55"/>
      <x:c r="F2" s="55"/>
      <x:c r="G2" s="55"/>
      <x:c r="H2" s="55"/>
      <x:c r="I2" s="55"/>
      <x:c r="J2" s="55"/>
      <x:c r="K2" s="55"/>
    </x:row>
    <x:row r="3">
      <x:c r="A3" s="56"/>
      <x:c r="B3" s="56"/>
      <x:c r="C3" s="56"/>
      <x:c r="D3" s="56"/>
      <x:c r="E3" s="56"/>
      <x:c r="F3" s="56"/>
      <x:c r="G3" s="56"/>
      <x:c r="H3" s="56"/>
      <x:c r="I3" s="56"/>
      <x:c r="J3" s="56"/>
      <x:c r="K3" s="56"/>
    </x:row>
    <x:row r="4" ht="32" customHeight="1">
      <x:c r="A4" s="14" t="str">
        <x:v>State</x:v>
      </x:c>
      <x:c r="B4" s="15" t="str">
        <x:v>Meaning</x:v>
      </x:c>
      <x:c r="C4" s="15" t="str">
        <x:v>Entry authority</x:v>
      </x:c>
      <x:c r="D4" s="15" t="str">
        <x:v>Next safety state</x:v>
      </x:c>
      <x:c r="E4" s="15" t="str">
        <x:v>Other or ambiguous path</x:v>
      </x:c>
      <x:c r="F4" s="15" t="str">
        <x:v>Shared payload allowed</x:v>
      </x:c>
      <x:c r="G4" s="15" t="str">
        <x:v>Performance payload allowed</x:v>
      </x:c>
      <x:c r="H4" s="15" t="str">
        <x:v>Evidence credit</x:v>
      </x:c>
      <x:c r="I4" s="15" t="str">
        <x:v>Selection credit</x:v>
      </x:c>
      <x:c r="J4" s="15" t="str">
        <x:v>Irreversible</x:v>
      </x:c>
      <x:c r="K4" s="16" t="str">
        <x:v>State check</x:v>
      </x:c>
    </x:row>
    <x:row r="5">
      <x:c r="A5" s="57" t="str">
        <x:v>S00</x:v>
      </x:c>
      <x:c r="B5" s="57" t="str">
        <x:v>BASELINE / ISSUED</x:v>
      </x:c>
      <x:c r="C5" s="57" t="str">
        <x:v>Configuration registrar</x:v>
      </x:c>
      <x:c r="D5" s="57" t="str">
        <x:v>S10</x:v>
      </x:c>
      <x:c r="E5" s="57" t="str">
        <x:v>S10</x:v>
      </x:c>
      <x:c r="F5" s="58" t="n">
        <x:v>1</x:v>
      </x:c>
      <x:c r="G5" s="58" t="n">
        <x:v>0</x:v>
      </x:c>
      <x:c r="H5" s="58" t="n">
        <x:v>0</x:v>
      </x:c>
      <x:c r="I5" s="58" t="n">
        <x:v>0</x:v>
      </x:c>
      <x:c r="J5" s="58" t="n">
        <x:v>0</x:v>
      </x:c>
      <x:c r="K5" s="57" t="str">
        <x:f>IF(AND(COUNTA(A5:E5)=5,G5=0,H5=0,I5=0,J5=0),"PASS","FAIL")</x:f>
        <x:v>PASS</x:v>
      </x:c>
    </x:row>
    <x:row r="6">
      <x:c r="A6" s="60" t="str">
        <x:v>S10</x:v>
      </x:c>
      <x:c r="B6" s="60" t="str">
        <x:v>DETECTED</x:v>
      </x:c>
      <x:c r="C6" s="60" t="str">
        <x:v>Safety observer</x:v>
      </x:c>
      <x:c r="D6" s="60" t="str">
        <x:v>S20</x:v>
      </x:c>
      <x:c r="E6" s="60" t="str">
        <x:v>S20</x:v>
      </x:c>
      <x:c r="F6" s="61" t="n">
        <x:v>0</x:v>
      </x:c>
      <x:c r="G6" s="61" t="n">
        <x:v>0</x:v>
      </x:c>
      <x:c r="H6" s="61" t="n">
        <x:v>0</x:v>
      </x:c>
      <x:c r="I6" s="61" t="n">
        <x:v>0</x:v>
      </x:c>
      <x:c r="J6" s="61" t="n">
        <x:v>0</x:v>
      </x:c>
      <x:c r="K6" s="60" t="str">
        <x:f>IF(AND(COUNTA(A6:E6)=5,G6=0,H6=0,I6=0,J6=0),"PASS","FAIL")</x:f>
        <x:v>PASS</x:v>
      </x:c>
    </x:row>
    <x:row r="7">
      <x:c r="A7" s="60" t="str">
        <x:v>S20</x:v>
      </x:c>
      <x:c r="B7" s="60" t="str">
        <x:v>STOPPED / QUARANTINED</x:v>
      </x:c>
      <x:c r="C7" s="60" t="str">
        <x:v>Safety triage cell</x:v>
      </x:c>
      <x:c r="D7" s="60" t="str">
        <x:v>S30</x:v>
      </x:c>
      <x:c r="E7" s="60" t="str">
        <x:v>S30</x:v>
      </x:c>
      <x:c r="F7" s="61" t="n">
        <x:v>0</x:v>
      </x:c>
      <x:c r="G7" s="61" t="n">
        <x:v>0</x:v>
      </x:c>
      <x:c r="H7" s="61" t="n">
        <x:v>0</x:v>
      </x:c>
      <x:c r="I7" s="61" t="n">
        <x:v>0</x:v>
      </x:c>
      <x:c r="J7" s="61" t="n">
        <x:v>0</x:v>
      </x:c>
      <x:c r="K7" s="60" t="str">
        <x:f>IF(AND(COUNTA(A7:E7)=5,G7=0,H7=0,I7=0,J7=0),"PASS","FAIL")</x:f>
        <x:v>PASS</x:v>
      </x:c>
    </x:row>
    <x:row r="8">
      <x:c r="A8" s="60" t="str">
        <x:v>S30</x:v>
      </x:c>
      <x:c r="B8" s="60" t="str">
        <x:v>CLASSIFIED</x:v>
      </x:c>
      <x:c r="C8" s="60" t="str">
        <x:v>Safety triage cell</x:v>
      </x:c>
      <x:c r="D8" s="60" t="str">
        <x:v>S40</x:v>
      </x:c>
      <x:c r="E8" s="60" t="str">
        <x:v>S31 or S32</x:v>
      </x:c>
      <x:c r="F8" s="61" t="n">
        <x:v>0</x:v>
      </x:c>
      <x:c r="G8" s="61" t="n">
        <x:v>0</x:v>
      </x:c>
      <x:c r="H8" s="61" t="n">
        <x:v>0</x:v>
      </x:c>
      <x:c r="I8" s="61" t="n">
        <x:v>0</x:v>
      </x:c>
      <x:c r="J8" s="61" t="n">
        <x:v>0</x:v>
      </x:c>
      <x:c r="K8" s="60" t="str">
        <x:f>IF(AND(COUNTA(A8:E8)=5,G8=0,H8=0,I8=0,J8=0),"PASS","FAIL")</x:f>
        <x:v>PASS</x:v>
      </x:c>
    </x:row>
    <x:row r="9">
      <x:c r="A9" s="60" t="str">
        <x:v>S31</x:v>
      </x:c>
      <x:c r="B9" s="60" t="str">
        <x:v>SEALED PERFORMANCE</x:v>
      </x:c>
      <x:c r="C9" s="60" t="str">
        <x:v>Quarantine custodian</x:v>
      </x:c>
      <x:c r="D9" s="60" t="str">
        <x:v>S00</x:v>
      </x:c>
      <x:c r="E9" s="60" t="str">
        <x:v>S00</x:v>
      </x:c>
      <x:c r="F9" s="61" t="n">
        <x:v>0</x:v>
      </x:c>
      <x:c r="G9" s="61" t="n">
        <x:v>0</x:v>
      </x:c>
      <x:c r="H9" s="61" t="n">
        <x:v>0</x:v>
      </x:c>
      <x:c r="I9" s="61" t="n">
        <x:v>0</x:v>
      </x:c>
      <x:c r="J9" s="61" t="n">
        <x:v>0</x:v>
      </x:c>
      <x:c r="K9" s="60" t="str">
        <x:f>IF(AND(COUNTA(A9:E9)=5,G9=0,H9=0,I9=0,J9=0),"PASS","FAIL")</x:f>
        <x:v>PASS</x:v>
      </x:c>
    </x:row>
    <x:row r="10">
      <x:c r="A10" s="60" t="str">
        <x:v>S32</x:v>
      </x:c>
      <x:c r="B10" s="60" t="str">
        <x:v>ROOT HOLD</x:v>
      </x:c>
      <x:c r="C10" s="60" t="str">
        <x:v>Rights authority</x:v>
      </x:c>
      <x:c r="D10" s="60" t="str">
        <x:v>S30</x:v>
      </x:c>
      <x:c r="E10" s="60" t="str">
        <x:v>S30</x:v>
      </x:c>
      <x:c r="F10" s="61" t="n">
        <x:v>1</x:v>
      </x:c>
      <x:c r="G10" s="61" t="n">
        <x:v>0</x:v>
      </x:c>
      <x:c r="H10" s="61" t="n">
        <x:v>0</x:v>
      </x:c>
      <x:c r="I10" s="61" t="n">
        <x:v>0</x:v>
      </x:c>
      <x:c r="J10" s="61" t="n">
        <x:v>0</x:v>
      </x:c>
      <x:c r="K10" s="60" t="str">
        <x:f>IF(AND(COUNTA(A10:E10)=5,G10=0,H10=0,I10=0,J10=0),"PASS","FAIL")</x:f>
        <x:v>PASS</x:v>
      </x:c>
    </x:row>
    <x:row r="11">
      <x:c r="A11" s="60" t="str">
        <x:v>S40</x:v>
      </x:c>
      <x:c r="B11" s="60" t="str">
        <x:v>CONTENT MINIMIZED</x:v>
      </x:c>
      <x:c r="C11" s="60" t="str">
        <x:v>Content challenge cell</x:v>
      </x:c>
      <x:c r="D11" s="60" t="str">
        <x:v>S50</x:v>
      </x:c>
      <x:c r="E11" s="60" t="str">
        <x:v>S32</x:v>
      </x:c>
      <x:c r="F11" s="61" t="n">
        <x:v>1</x:v>
      </x:c>
      <x:c r="G11" s="61" t="n">
        <x:v>0</x:v>
      </x:c>
      <x:c r="H11" s="61" t="n">
        <x:v>0</x:v>
      </x:c>
      <x:c r="I11" s="61" t="n">
        <x:v>0</x:v>
      </x:c>
      <x:c r="J11" s="61" t="n">
        <x:v>0</x:v>
      </x:c>
      <x:c r="K11" s="60" t="str">
        <x:f>IF(AND(COUNTA(A11:E11)=5,G11=0,H11=0,I11=0,J11=0),"PASS","FAIL")</x:f>
        <x:v>PASS</x:v>
      </x:c>
    </x:row>
    <x:row r="12">
      <x:c r="A12" s="60" t="str">
        <x:v>S50</x:v>
      </x:c>
      <x:c r="B12" s="60" t="str">
        <x:v>RIGHTS APPROVED</x:v>
      </x:c>
      <x:c r="C12" s="60" t="str">
        <x:v>Rights authority</x:v>
      </x:c>
      <x:c r="D12" s="60" t="str">
        <x:v>S60</x:v>
      </x:c>
      <x:c r="E12" s="60" t="str">
        <x:v>S32</x:v>
      </x:c>
      <x:c r="F12" s="61" t="n">
        <x:v>1</x:v>
      </x:c>
      <x:c r="G12" s="61" t="n">
        <x:v>0</x:v>
      </x:c>
      <x:c r="H12" s="61" t="n">
        <x:v>0</x:v>
      </x:c>
      <x:c r="I12" s="61" t="n">
        <x:v>0</x:v>
      </x:c>
      <x:c r="J12" s="61" t="n">
        <x:v>0</x:v>
      </x:c>
      <x:c r="K12" s="60" t="str">
        <x:f>IF(AND(COUNTA(A12:E12)=5,G12=0,H12=0,I12=0,J12=0),"PASS","FAIL")</x:f>
        <x:v>PASS</x:v>
      </x:c>
    </x:row>
    <x:row r="13">
      <x:c r="A13" s="60" t="str">
        <x:v>S60</x:v>
      </x:c>
      <x:c r="B13" s="60" t="str">
        <x:v>CONTINUITY APPROVED</x:v>
      </x:c>
      <x:c r="C13" s="60" t="str">
        <x:v>Configuration registrar</x:v>
      </x:c>
      <x:c r="D13" s="60" t="str">
        <x:v>S70</x:v>
      </x:c>
      <x:c r="E13" s="60" t="str">
        <x:v>S32</x:v>
      </x:c>
      <x:c r="F13" s="61" t="n">
        <x:v>1</x:v>
      </x:c>
      <x:c r="G13" s="61" t="n">
        <x:v>0</x:v>
      </x:c>
      <x:c r="H13" s="61" t="n">
        <x:v>0</x:v>
      </x:c>
      <x:c r="I13" s="61" t="n">
        <x:v>0</x:v>
      </x:c>
      <x:c r="J13" s="61" t="n">
        <x:v>0</x:v>
      </x:c>
      <x:c r="K13" s="60" t="str">
        <x:f>IF(AND(COUNTA(A13:E13)=5,G13=0,H13=0,I13=0,J13=0),"PASS","FAIL")</x:f>
        <x:v>PASS</x:v>
      </x:c>
    </x:row>
    <x:row r="14">
      <x:c r="A14" s="60" t="str">
        <x:v>S70</x:v>
      </x:c>
      <x:c r="B14" s="60" t="str">
        <x:v>ROOT EPOCH ISSUED</x:v>
      </x:c>
      <x:c r="C14" s="60" t="str">
        <x:v>Configuration registrar</x:v>
      </x:c>
      <x:c r="D14" s="60" t="str">
        <x:v>S80</x:v>
      </x:c>
      <x:c r="E14" s="60" t="str">
        <x:v>S32</x:v>
      </x:c>
      <x:c r="F14" s="61" t="n">
        <x:v>1</x:v>
      </x:c>
      <x:c r="G14" s="61" t="n">
        <x:v>0</x:v>
      </x:c>
      <x:c r="H14" s="61" t="n">
        <x:v>0</x:v>
      </x:c>
      <x:c r="I14" s="61" t="n">
        <x:v>0</x:v>
      </x:c>
      <x:c r="J14" s="61" t="n">
        <x:v>0</x:v>
      </x:c>
      <x:c r="K14" s="60" t="str">
        <x:f>IF(AND(COUNTA(A14:E14)=5,G14=0,H14=0,I14=0,J14=0),"PASS","FAIL")</x:f>
        <x:v>PASS</x:v>
      </x:c>
    </x:row>
    <x:row r="15">
      <x:c r="A15" s="60" t="str">
        <x:v>S80</x:v>
      </x:c>
      <x:c r="B15" s="60" t="str">
        <x:v>INDEPENDENT TRANSLATION</x:v>
      </x:c>
      <x:c r="C15" s="60" t="str">
        <x:v>Sibling translation cells</x:v>
      </x:c>
      <x:c r="D15" s="60" t="str">
        <x:v>S90</x:v>
      </x:c>
      <x:c r="E15" s="60" t="str">
        <x:v>S32</x:v>
      </x:c>
      <x:c r="F15" s="61" t="n">
        <x:v>1</x:v>
      </x:c>
      <x:c r="G15" s="61" t="n">
        <x:v>0</x:v>
      </x:c>
      <x:c r="H15" s="61" t="n">
        <x:v>0</x:v>
      </x:c>
      <x:c r="I15" s="61" t="n">
        <x:v>0</x:v>
      </x:c>
      <x:c r="J15" s="61" t="n">
        <x:v>0</x:v>
      </x:c>
      <x:c r="K15" s="60" t="str">
        <x:f>IF(AND(COUNTA(A15:E15)=5,G15=0,H15=0,I15=0,J15=0),"PASS","FAIL")</x:f>
        <x:v>PASS</x:v>
      </x:c>
    </x:row>
    <x:row r="16">
      <x:c r="A16" s="62" t="str">
        <x:v>S90</x:v>
      </x:c>
      <x:c r="B16" s="62" t="str">
        <x:v>COMMON SAFETY TEST / REOPEN</x:v>
      </x:c>
      <x:c r="C16" s="62" t="str">
        <x:v>Safety test authority</x:v>
      </x:c>
      <x:c r="D16" s="62" t="str">
        <x:v>S00</x:v>
      </x:c>
      <x:c r="E16" s="62" t="str">
        <x:v>S32</x:v>
      </x:c>
      <x:c r="F16" s="64" t="n">
        <x:v>1</x:v>
      </x:c>
      <x:c r="G16" s="64" t="n">
        <x:v>0</x:v>
      </x:c>
      <x:c r="H16" s="64" t="n">
        <x:v>0</x:v>
      </x:c>
      <x:c r="I16" s="64" t="n">
        <x:v>0</x:v>
      </x:c>
      <x:c r="J16" s="64" t="n">
        <x:v>0</x:v>
      </x:c>
      <x:c r="K16" s="62" t="str">
        <x:f>IF(AND(COUNTA(A16:E16)=5,G16=0,H16=0,I16=0,J16=0),"PASS","FAIL")</x:f>
        <x:v>PASS</x:v>
      </x:c>
    </x:row>
  </x:sheetData>
  <x:mergeCells>
    <x:mergeCell ref="A2:K2"/>
  </x:mergeCells>
  <x:conditionalFormatting sqref="K5:K16">
    <x:cfRule type="containsText" dxfId="3" priority="1" operator="containsText" text="FAIL"/>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47" hidden="0" customWidth="1"/>
    <x:col min="3" max="3" width="17" hidden="0" customWidth="1"/>
    <x:col min="4" max="4" width="20" hidden="0" customWidth="1"/>
    <x:col min="5" max="5" width="24" hidden="0" customWidth="1"/>
    <x:col min="6" max="6" width="24" hidden="0" customWidth="1"/>
    <x:col min="7" max="7" width="24" hidden="0" customWidth="1"/>
    <x:col min="8" max="8" width="26" hidden="0" customWidth="1"/>
    <x:col min="9" max="9" width="20" hidden="0" customWidth="1"/>
    <x:col min="10" max="10" width="15" hidden="0" customWidth="1"/>
    <x:col min="11" max="11" width="16" hidden="0" customWidth="1"/>
    <x:col min="12" max="12" width="26" hidden="0" customWidth="1"/>
  </x:cols>
  <x:sheetData>
    <x:row r="2">
      <x:c r="A2" s="54" t="str">
        <x:v>Twelve synthetic classification cases</x:v>
      </x:c>
      <x:c r="B2" s="55"/>
      <x:c r="C2" s="55"/>
      <x:c r="D2" s="55"/>
      <x:c r="E2" s="55"/>
      <x:c r="F2" s="55"/>
      <x:c r="G2" s="55"/>
      <x:c r="H2" s="55"/>
      <x:c r="I2" s="55"/>
      <x:c r="J2" s="55"/>
      <x:c r="K2" s="55"/>
      <x:c r="L2" s="55"/>
    </x:row>
    <x:row r="3">
      <x:c r="A3" s="56"/>
      <x:c r="B3" s="56"/>
      <x:c r="C3" s="56"/>
      <x:c r="D3" s="56"/>
      <x:c r="E3" s="56"/>
      <x:c r="F3" s="56"/>
      <x:c r="G3" s="56"/>
      <x:c r="H3" s="56"/>
      <x:c r="I3" s="56"/>
      <x:c r="J3" s="56"/>
      <x:c r="K3" s="56"/>
      <x:c r="L3" s="56"/>
    </x:row>
    <x:row r="4" ht="32" customHeight="1">
      <x:c r="A4" s="14" t="str">
        <x:v>Case</x:v>
      </x:c>
      <x:c r="B4" s="15" t="str">
        <x:v>Trigger</x:v>
      </x:c>
      <x:c r="C4" s="15" t="str">
        <x:v>Safety trigger</x:v>
      </x:c>
      <x:c r="D4" s="15" t="str">
        <x:v>Threshold stated</x:v>
      </x:c>
      <x:c r="E4" s="15" t="str">
        <x:v>Source-blind expression</x:v>
      </x:c>
      <x:c r="F4" s="15" t="str">
        <x:v>Common acceptance test</x:v>
      </x:c>
      <x:c r="G4" s="15" t="str">
        <x:v>No performance content</x:v>
      </x:c>
      <x:c r="H4" s="15" t="str">
        <x:v>No implementation content</x:v>
      </x:c>
      <x:c r="I4" s="15" t="str">
        <x:v>No cost or rank</x:v>
      </x:c>
      <x:c r="J4" s="15" t="str">
        <x:v>Ambiguous</x:v>
      </x:c>
      <x:c r="K4" s="15" t="str">
        <x:v>Gate count</x:v>
      </x:c>
      <x:c r="L4" s="16" t="str">
        <x:v>Protocol decision</x:v>
      </x:c>
    </x:row>
    <x:row r="5">
      <x:c r="A5" s="57" t="str">
        <x:v>T01</x:v>
      </x:c>
      <x:c r="B5" s="57" t="str">
        <x:v>Human-contact exposure threshold</x:v>
      </x:c>
      <x:c r="C5" s="58" t="n">
        <x:v>1</x:v>
      </x:c>
      <x:c r="D5" s="58" t="n">
        <x:v>1</x:v>
      </x:c>
      <x:c r="E5" s="58" t="n">
        <x:v>1</x:v>
      </x:c>
      <x:c r="F5" s="58" t="n">
        <x:v>1</x:v>
      </x:c>
      <x:c r="G5" s="58" t="n">
        <x:v>1</x:v>
      </x:c>
      <x:c r="H5" s="58" t="n">
        <x:v>1</x:v>
      </x:c>
      <x:c r="I5" s="58" t="n">
        <x:v>1</x:v>
      </x:c>
      <x:c r="J5" s="58" t="n">
        <x:v>0</x:v>
      </x:c>
      <x:c r="K5" s="58" t="n">
        <x:f>SUM(C5:I5)</x:f>
        <x:v>7</x:v>
      </x:c>
      <x:c r="L5" s="57" t="str">
        <x:f>IF(C5=0,"SEALED PERFORMANCE",IF(J5=1,"ROOT HOLD",IF(AND(D5=1,E5=1,F5=1,G5=1,H5=1,I5=1),"PROPAGATE SAFETY","ROOT HOLD")))</x:f>
        <x:v>PROPAGATE SAFETY</x:v>
      </x:c>
    </x:row>
    <x:row r="6">
      <x:c r="A6" s="60" t="str">
        <x:v>T02</x:v>
      </x:c>
      <x:c r="B6" s="60" t="str">
        <x:v>Emergency-stop latency threshold</x:v>
      </x:c>
      <x:c r="C6" s="61" t="n">
        <x:v>1</x:v>
      </x:c>
      <x:c r="D6" s="61" t="n">
        <x:v>1</x:v>
      </x:c>
      <x:c r="E6" s="61" t="n">
        <x:v>1</x:v>
      </x:c>
      <x:c r="F6" s="61" t="n">
        <x:v>1</x:v>
      </x:c>
      <x:c r="G6" s="61" t="n">
        <x:v>1</x:v>
      </x:c>
      <x:c r="H6" s="61" t="n">
        <x:v>1</x:v>
      </x:c>
      <x:c r="I6" s="61" t="n">
        <x:v>1</x:v>
      </x:c>
      <x:c r="J6" s="61" t="n">
        <x:v>0</x:v>
      </x:c>
      <x:c r="K6" s="61" t="n">
        <x:f>SUM(C6:I6)</x:f>
        <x:v>7</x:v>
      </x:c>
      <x:c r="L6" s="60" t="str">
        <x:f>IF(C6=0,"SEALED PERFORMANCE",IF(J6=1,"ROOT HOLD",IF(AND(D6=1,E6=1,F6=1,G6=1,H6=1,I6=1),"PROPAGATE SAFETY","ROOT HOLD")))</x:f>
        <x:v>PROPAGATE SAFETY</x:v>
      </x:c>
    </x:row>
    <x:row r="7">
      <x:c r="A7" s="60" t="str">
        <x:v>T03</x:v>
      </x:c>
      <x:c r="B7" s="60" t="str">
        <x:v>Hazardous residual containment threshold</x:v>
      </x:c>
      <x:c r="C7" s="61" t="n">
        <x:v>1</x:v>
      </x:c>
      <x:c r="D7" s="61" t="n">
        <x:v>1</x:v>
      </x:c>
      <x:c r="E7" s="61" t="n">
        <x:v>1</x:v>
      </x:c>
      <x:c r="F7" s="61" t="n">
        <x:v>1</x:v>
      </x:c>
      <x:c r="G7" s="61" t="n">
        <x:v>1</x:v>
      </x:c>
      <x:c r="H7" s="61" t="n">
        <x:v>1</x:v>
      </x:c>
      <x:c r="I7" s="61" t="n">
        <x:v>1</x:v>
      </x:c>
      <x:c r="J7" s="61" t="n">
        <x:v>0</x:v>
      </x:c>
      <x:c r="K7" s="61" t="n">
        <x:f>SUM(C7:I7)</x:f>
        <x:v>7</x:v>
      </x:c>
      <x:c r="L7" s="60" t="str">
        <x:f>IF(C7=0,"SEALED PERFORMANCE",IF(J7=1,"ROOT HOLD",IF(AND(D7=1,E7=1,F7=1,G7=1,H7=1,I7=1),"PROPAGATE SAFETY","ROOT HOLD")))</x:f>
        <x:v>PROPAGATE SAFETY</x:v>
      </x:c>
    </x:row>
    <x:row r="8">
      <x:c r="A8" s="60" t="str">
        <x:v>T04</x:v>
      </x:c>
      <x:c r="B8" s="60" t="str">
        <x:v>Emergency egress protection threshold</x:v>
      </x:c>
      <x:c r="C8" s="61" t="n">
        <x:v>1</x:v>
      </x:c>
      <x:c r="D8" s="61" t="n">
        <x:v>1</x:v>
      </x:c>
      <x:c r="E8" s="61" t="n">
        <x:v>1</x:v>
      </x:c>
      <x:c r="F8" s="61" t="n">
        <x:v>1</x:v>
      </x:c>
      <x:c r="G8" s="61" t="n">
        <x:v>1</x:v>
      </x:c>
      <x:c r="H8" s="61" t="n">
        <x:v>1</x:v>
      </x:c>
      <x:c r="I8" s="61" t="n">
        <x:v>1</x:v>
      </x:c>
      <x:c r="J8" s="61" t="n">
        <x:v>0</x:v>
      </x:c>
      <x:c r="K8" s="61" t="n">
        <x:f>SUM(C8:I8)</x:f>
        <x:v>7</x:v>
      </x:c>
      <x:c r="L8" s="60" t="str">
        <x:f>IF(C8=0,"SEALED PERFORMANCE",IF(J8=1,"ROOT HOLD",IF(AND(D8=1,E8=1,F8=1,G8=1,H8=1,I8=1),"PROPAGATE SAFETY","ROOT HOLD")))</x:f>
        <x:v>PROPAGATE SAFETY</x:v>
      </x:c>
    </x:row>
    <x:row r="9">
      <x:c r="A9" s="60" t="str">
        <x:v>T05</x:v>
      </x:c>
      <x:c r="B9" s="60" t="str">
        <x:v>Higher energy efficiency</x:v>
      </x:c>
      <x:c r="C9" s="61" t="n">
        <x:v>0</x:v>
      </x:c>
      <x:c r="D9" s="61" t="n">
        <x:v>0</x:v>
      </x:c>
      <x:c r="E9" s="61" t="n">
        <x:v>0</x:v>
      </x:c>
      <x:c r="F9" s="61" t="n">
        <x:v>0</x:v>
      </x:c>
      <x:c r="G9" s="61" t="n">
        <x:v>0</x:v>
      </x:c>
      <x:c r="H9" s="61" t="n">
        <x:v>0</x:v>
      </x:c>
      <x:c r="I9" s="61" t="n">
        <x:v>0</x:v>
      </x:c>
      <x:c r="J9" s="61" t="n">
        <x:v>0</x:v>
      </x:c>
      <x:c r="K9" s="61" t="n">
        <x:f>SUM(C9:I9)</x:f>
        <x:v>0</x:v>
      </x:c>
      <x:c r="L9" s="60" t="str">
        <x:f>IF(C9=0,"SEALED PERFORMANCE",IF(J9=1,"ROOT HOLD",IF(AND(D9=1,E9=1,F9=1,G9=1,H9=1,I9=1),"PROPAGATE SAFETY","ROOT HOLD")))</x:f>
        <x:v>SEALED PERFORMANCE</x:v>
      </x:c>
    </x:row>
    <x:row r="10">
      <x:c r="A10" s="60" t="str">
        <x:v>T06</x:v>
      </x:c>
      <x:c r="B10" s="60" t="str">
        <x:v>Faster deployment result</x:v>
      </x:c>
      <x:c r="C10" s="61" t="n">
        <x:v>0</x:v>
      </x:c>
      <x:c r="D10" s="61" t="n">
        <x:v>0</x:v>
      </x:c>
      <x:c r="E10" s="61" t="n">
        <x:v>0</x:v>
      </x:c>
      <x:c r="F10" s="61" t="n">
        <x:v>0</x:v>
      </x:c>
      <x:c r="G10" s="61" t="n">
        <x:v>0</x:v>
      </x:c>
      <x:c r="H10" s="61" t="n">
        <x:v>0</x:v>
      </x:c>
      <x:c r="I10" s="61" t="n">
        <x:v>0</x:v>
      </x:c>
      <x:c r="J10" s="61" t="n">
        <x:v>0</x:v>
      </x:c>
      <x:c r="K10" s="61" t="n">
        <x:f>SUM(C10:I10)</x:f>
        <x:v>0</x:v>
      </x:c>
      <x:c r="L10" s="60" t="str">
        <x:f>IF(C10=0,"SEALED PERFORMANCE",IF(J10=1,"ROOT HOLD",IF(AND(D10=1,E10=1,F10=1,G10=1,H10=1,I10=1),"PROPAGATE SAFETY","ROOT HOLD")))</x:f>
        <x:v>SEALED PERFORMANCE</x:v>
      </x:c>
    </x:row>
    <x:row r="11">
      <x:c r="A11" s="60" t="str">
        <x:v>T07</x:v>
      </x:c>
      <x:c r="B11" s="60" t="str">
        <x:v>Lower observed cost</x:v>
      </x:c>
      <x:c r="C11" s="61" t="n">
        <x:v>0</x:v>
      </x:c>
      <x:c r="D11" s="61" t="n">
        <x:v>0</x:v>
      </x:c>
      <x:c r="E11" s="61" t="n">
        <x:v>0</x:v>
      </x:c>
      <x:c r="F11" s="61" t="n">
        <x:v>0</x:v>
      </x:c>
      <x:c r="G11" s="61" t="n">
        <x:v>0</x:v>
      </x:c>
      <x:c r="H11" s="61" t="n">
        <x:v>0</x:v>
      </x:c>
      <x:c r="I11" s="61" t="n">
        <x:v>0</x:v>
      </x:c>
      <x:c r="J11" s="61" t="n">
        <x:v>0</x:v>
      </x:c>
      <x:c r="K11" s="61" t="n">
        <x:f>SUM(C11:I11)</x:f>
        <x:v>0</x:v>
      </x:c>
      <x:c r="L11" s="60" t="str">
        <x:f>IF(C11=0,"SEALED PERFORMANCE",IF(J11=1,"ROOT HOLD",IF(AND(D11=1,E11=1,F11=1,G11=1,H11=1,I11=1),"PROPAGATE SAFETY","ROOT HOLD")))</x:f>
        <x:v>SEALED PERFORMANCE</x:v>
      </x:c>
    </x:row>
    <x:row r="12">
      <x:c r="A12" s="60" t="str">
        <x:v>T08</x:v>
      </x:c>
      <x:c r="B12" s="60" t="str">
        <x:v>Higher service throughput</x:v>
      </x:c>
      <x:c r="C12" s="61" t="n">
        <x:v>0</x:v>
      </x:c>
      <x:c r="D12" s="61" t="n">
        <x:v>0</x:v>
      </x:c>
      <x:c r="E12" s="61" t="n">
        <x:v>0</x:v>
      </x:c>
      <x:c r="F12" s="61" t="n">
        <x:v>0</x:v>
      </x:c>
      <x:c r="G12" s="61" t="n">
        <x:v>0</x:v>
      </x:c>
      <x:c r="H12" s="61" t="n">
        <x:v>0</x:v>
      </x:c>
      <x:c r="I12" s="61" t="n">
        <x:v>0</x:v>
      </x:c>
      <x:c r="J12" s="61" t="n">
        <x:v>0</x:v>
      </x:c>
      <x:c r="K12" s="61" t="n">
        <x:f>SUM(C12:I12)</x:f>
        <x:v>0</x:v>
      </x:c>
      <x:c r="L12" s="60" t="str">
        <x:f>IF(C12=0,"SEALED PERFORMANCE",IF(J12=1,"ROOT HOLD",IF(AND(D12=1,E12=1,F12=1,G12=1,H12=1,I12=1),"PROPAGATE SAFETY","ROOT HOLD")))</x:f>
        <x:v>SEALED PERFORMANCE</x:v>
      </x:c>
    </x:row>
    <x:row r="13">
      <x:c r="A13" s="60" t="str">
        <x:v>T09</x:v>
      </x:c>
      <x:c r="B13" s="60" t="str">
        <x:v>Source-specific crack geometry</x:v>
      </x:c>
      <x:c r="C13" s="61" t="n">
        <x:v>1</x:v>
      </x:c>
      <x:c r="D13" s="61" t="n">
        <x:v>1</x:v>
      </x:c>
      <x:c r="E13" s="61" t="n">
        <x:v>0</x:v>
      </x:c>
      <x:c r="F13" s="61" t="n">
        <x:v>0</x:v>
      </x:c>
      <x:c r="G13" s="61" t="n">
        <x:v>1</x:v>
      </x:c>
      <x:c r="H13" s="61" t="n">
        <x:v>0</x:v>
      </x:c>
      <x:c r="I13" s="61" t="n">
        <x:v>1</x:v>
      </x:c>
      <x:c r="J13" s="61" t="n">
        <x:v>0</x:v>
      </x:c>
      <x:c r="K13" s="61" t="n">
        <x:f>SUM(C13:I13)</x:f>
        <x:v>4</x:v>
      </x:c>
      <x:c r="L13" s="60" t="str">
        <x:f>IF(C13=0,"SEALED PERFORMANCE",IF(J13=1,"ROOT HOLD",IF(AND(D13=1,E13=1,F13=1,G13=1,H13=1,I13=1),"PROPAGATE SAFETY","ROOT HOLD")))</x:f>
        <x:v>ROOT HOLD</x:v>
      </x:c>
    </x:row>
    <x:row r="14">
      <x:c r="A14" s="60" t="str">
        <x:v>T10</x:v>
      </x:c>
      <x:c r="B14" s="60" t="str">
        <x:v>Raw vibration signature</x:v>
      </x:c>
      <x:c r="C14" s="61" t="n">
        <x:v>1</x:v>
      </x:c>
      <x:c r="D14" s="61" t="n">
        <x:v>1</x:v>
      </x:c>
      <x:c r="E14" s="61" t="n">
        <x:v>0</x:v>
      </x:c>
      <x:c r="F14" s="61" t="n">
        <x:v>0</x:v>
      </x:c>
      <x:c r="G14" s="61" t="n">
        <x:v>0</x:v>
      </x:c>
      <x:c r="H14" s="61" t="n">
        <x:v>0</x:v>
      </x:c>
      <x:c r="I14" s="61" t="n">
        <x:v>1</x:v>
      </x:c>
      <x:c r="J14" s="61" t="n">
        <x:v>0</x:v>
      </x:c>
      <x:c r="K14" s="61" t="n">
        <x:f>SUM(C14:I14)</x:f>
        <x:v>3</x:v>
      </x:c>
      <x:c r="L14" s="60" t="str">
        <x:f>IF(C14=0,"SEALED PERFORMANCE",IF(J14=1,"ROOT HOLD",IF(AND(D14=1,E14=1,F14=1,G14=1,H14=1,I14=1),"PROPAGATE SAFETY","ROOT HOLD")))</x:f>
        <x:v>ROOT HOLD</x:v>
      </x:c>
    </x:row>
    <x:row r="15">
      <x:c r="A15" s="60" t="str">
        <x:v>T11</x:v>
      </x:c>
      <x:c r="B15" s="60" t="str">
        <x:v>Unclassified anomaly with possible harm</x:v>
      </x:c>
      <x:c r="C15" s="61" t="n">
        <x:v>1</x:v>
      </x:c>
      <x:c r="D15" s="61" t="n">
        <x:v>0</x:v>
      </x:c>
      <x:c r="E15" s="61" t="n">
        <x:v>0</x:v>
      </x:c>
      <x:c r="F15" s="61" t="n">
        <x:v>0</x:v>
      </x:c>
      <x:c r="G15" s="61" t="n">
        <x:v>1</x:v>
      </x:c>
      <x:c r="H15" s="61" t="n">
        <x:v>1</x:v>
      </x:c>
      <x:c r="I15" s="61" t="n">
        <x:v>1</x:v>
      </x:c>
      <x:c r="J15" s="61" t="n">
        <x:v>1</x:v>
      </x:c>
      <x:c r="K15" s="61" t="n">
        <x:f>SUM(C15:I15)</x:f>
        <x:v>4</x:v>
      </x:c>
      <x:c r="L15" s="60" t="str">
        <x:f>IF(C15=0,"SEALED PERFORMANCE",IF(J15=1,"ROOT HOLD",IF(AND(D15=1,E15=1,F15=1,G15=1,H15=1,I15=1),"PROPAGATE SAFETY","ROOT HOLD")))</x:f>
        <x:v>ROOT HOLD</x:v>
      </x:c>
    </x:row>
    <x:row r="16">
      <x:c r="A16" s="62" t="str">
        <x:v>T12</x:v>
      </x:c>
      <x:c r="B16" s="62" t="str">
        <x:v>Source-builder repair suggestion</x:v>
      </x:c>
      <x:c r="C16" s="64" t="n">
        <x:v>1</x:v>
      </x:c>
      <x:c r="D16" s="64" t="n">
        <x:v>1</x:v>
      </x:c>
      <x:c r="E16" s="64" t="n">
        <x:v>0</x:v>
      </x:c>
      <x:c r="F16" s="64" t="n">
        <x:v>0</x:v>
      </x:c>
      <x:c r="G16" s="64" t="n">
        <x:v>1</x:v>
      </x:c>
      <x:c r="H16" s="64" t="n">
        <x:v>0</x:v>
      </x:c>
      <x:c r="I16" s="64" t="n">
        <x:v>0</x:v>
      </x:c>
      <x:c r="J16" s="64" t="n">
        <x:v>0</x:v>
      </x:c>
      <x:c r="K16" s="64" t="n">
        <x:f>SUM(C16:I16)</x:f>
        <x:v>3</x:v>
      </x:c>
      <x:c r="L16" s="62" t="str">
        <x:f>IF(C16=0,"SEALED PERFORMANCE",IF(J16=1,"ROOT HOLD",IF(AND(D16=1,E16=1,F16=1,G16=1,H16=1,I16=1),"PROPAGATE SAFETY","ROOT HOLD")))</x:f>
        <x:v>ROOT HOLD</x:v>
      </x:c>
    </x:row>
  </x:sheetData>
  <x:mergeCells>
    <x:mergeCell ref="A2:L2"/>
  </x:mergeCells>
  <x:conditionalFormatting sqref="L5:L16">
    <x:cfRule type="containsText" dxfId="4" priority="1" operator="containsText" text="ROOT HOLD"/>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6" hidden="0" customWidth="1"/>
    <x:col min="2" max="2" width="11" hidden="0" customWidth="1"/>
    <x:col min="3" max="3" width="12" hidden="0" customWidth="1"/>
    <x:col min="4" max="4" width="13" hidden="0" customWidth="1"/>
    <x:col min="5" max="5" width="19" hidden="0" customWidth="1"/>
    <x:col min="6" max="6" width="18" hidden="0" customWidth="1"/>
    <x:col min="7" max="7" width="24" hidden="0" customWidth="1"/>
    <x:col min="8" max="8" width="22" hidden="0" customWidth="1"/>
    <x:col min="9" max="9" width="24" hidden="0" customWidth="1"/>
    <x:col min="10" max="10" width="21" hidden="0" customWidth="1"/>
    <x:col min="11" max="11" width="25" hidden="0" customWidth="1"/>
    <x:col min="12" max="12" width="28" hidden="0" customWidth="1"/>
    <x:col min="13" max="13" width="24" hidden="0" customWidth="1"/>
    <x:col min="14" max="14" width="17" hidden="0" customWidth="1"/>
    <x:col min="15" max="15" width="21" hidden="0" customWidth="1"/>
    <x:col min="16" max="16" width="21" hidden="0" customWidth="1"/>
    <x:col min="17" max="17" width="24" hidden="0" customWidth="1"/>
    <x:col min="18" max="18" width="20" hidden="0" customWidth="1"/>
  </x:cols>
  <x:sheetData>
    <x:row r="2">
      <x:c r="A2" s="54" t="str">
        <x:v>Eighteen root-epoch propagation slots</x:v>
      </x:c>
      <x:c r="B2" s="55"/>
      <x:c r="C2" s="55"/>
      <x:c r="D2" s="55"/>
      <x:c r="E2" s="55"/>
      <x:c r="F2" s="55"/>
      <x:c r="G2" s="55"/>
      <x:c r="H2" s="55"/>
      <x:c r="I2" s="55"/>
      <x:c r="J2" s="55"/>
      <x:c r="K2" s="55"/>
      <x:c r="L2" s="55"/>
      <x:c r="M2" s="55"/>
      <x:c r="N2" s="55"/>
      <x:c r="O2" s="55"/>
      <x:c r="P2" s="55"/>
      <x:c r="Q2" s="55"/>
      <x:c r="R2" s="55"/>
    </x:row>
    <x:row r="3">
      <x:c r="A3" s="56"/>
      <x:c r="B3" s="56"/>
      <x:c r="C3" s="56"/>
      <x:c r="D3" s="56"/>
      <x:c r="E3" s="56"/>
      <x:c r="F3" s="56"/>
      <x:c r="G3" s="56"/>
      <x:c r="H3" s="56"/>
      <x:c r="I3" s="56"/>
      <x:c r="J3" s="56"/>
      <x:c r="K3" s="56"/>
      <x:c r="L3" s="56"/>
      <x:c r="M3" s="56"/>
      <x:c r="N3" s="56"/>
      <x:c r="O3" s="56"/>
      <x:c r="P3" s="56"/>
      <x:c r="Q3" s="56"/>
      <x:c r="R3" s="56"/>
    </x:row>
    <x:row r="4" ht="32" customHeight="1">
      <x:c r="A4" s="14" t="str">
        <x:v>Form</x:v>
      </x:c>
      <x:c r="B4" s="15" t="str">
        <x:v>Root</x:v>
      </x:c>
      <x:c r="C4" s="15" t="str">
        <x:v>Variant</x:v>
      </x:c>
      <x:c r="D4" s="15" t="str">
        <x:v>Cohort</x:v>
      </x:c>
      <x:c r="E4" s="15" t="str">
        <x:v>Baseline epoch</x:v>
      </x:c>
      <x:c r="F4" s="15" t="str">
        <x:v>Current epoch</x:v>
      </x:c>
      <x:c r="G4" s="15" t="str">
        <x:v>Safety warrant issued</x:v>
      </x:c>
      <x:c r="H4" s="15" t="str">
        <x:v>Form identity frozen</x:v>
      </x:c>
      <x:c r="I4" s="15" t="str">
        <x:v>Independent translator</x:v>
      </x:c>
      <x:c r="J4" s="15" t="str">
        <x:v>Raw source access</x:v>
      </x:c>
      <x:c r="K4" s="15" t="str">
        <x:v>Common hazard and test</x:v>
      </x:c>
      <x:c r="L4" s="15" t="str">
        <x:v>Competitive cost delta USD B</x:v>
      </x:c>
      <x:c r="M4" s="15" t="str">
        <x:v>Accepted observations</x:v>
      </x:c>
      <x:c r="N4" s="15" t="str">
        <x:v>Selected form</x:v>
      </x:c>
      <x:c r="O4" s="15" t="str">
        <x:v>Root warrant count</x:v>
      </x:c>
      <x:c r="P4" s="15" t="str">
        <x:v>Epoch occurrences</x:v>
      </x:c>
      <x:c r="Q4" s="15" t="str">
        <x:v>Slot state</x:v>
      </x:c>
      <x:c r="R4" s="16" t="str">
        <x:v>Form occurrences</x:v>
      </x:c>
    </x:row>
    <x:row r="5">
      <x:c r="A5" s="57" t="str">
        <x:v>ET-A-A</x:v>
      </x:c>
      <x:c r="B5" s="57" t="str">
        <x:v>ET-A</x:v>
      </x:c>
      <x:c r="C5" s="57" t="str">
        <x:v>A</x:v>
      </x:c>
      <x:c r="D5" s="58" t="n">
        <x:v>1</x:v>
      </x:c>
      <x:c r="E5" s="58" t="n">
        <x:v>0</x:v>
      </x:c>
      <x:c r="F5" s="58" t="n">
        <x:v>0</x:v>
      </x:c>
      <x:c r="G5" s="58" t="n">
        <x:v>0</x:v>
      </x:c>
      <x:c r="H5" s="58" t="n">
        <x:v>1</x:v>
      </x:c>
      <x:c r="I5" s="57" t="str">
        <x:v>ET-A-TX-A</x:v>
      </x:c>
      <x:c r="J5" s="58" t="n">
        <x:v>0</x:v>
      </x:c>
      <x:c r="K5" s="58" t="n">
        <x:v>1</x:v>
      </x:c>
      <x:c r="L5" s="70" t="n">
        <x:v>0</x:v>
      </x:c>
      <x:c r="M5" s="58" t="n">
        <x:v>0</x:v>
      </x:c>
      <x:c r="N5" s="58" t="n">
        <x:v>0</x:v>
      </x:c>
      <x:c r="O5" s="58" t="n">
        <x:f>SUMIFS($G$5:$G$22,$B$5:$B$22,B5)</x:f>
        <x:v>0</x:v>
      </x:c>
      <x:c r="P5" s="58" t="n">
        <x:f>COUNTIFS($B$5:$B$22,B5,$F$5:$F$22,F5)</x:f>
        <x:v>3</x:v>
      </x:c>
      <x:c r="Q5" s="57" t="str">
        <x:f>IF(G5=0,IF(AND(F5=E5,H5=1,J5=0,L5=0,M5=0,N5=0,O5=0,P5=3),"BASELINE / READY","INVALID"),IF(AND(O5=3,F5=E5+1,H5=1,J5=0,K5=1,L5=0,M5=0,N5=0,P5=3),"EPOCH PROPAGATED","INVALID"))</x:f>
        <x:v>BASELINE / READY</x:v>
      </x:c>
      <x:c r="R5" s="58" t="n">
        <x:f>COUNTIFS($A$5:$A$22,A5)</x:f>
        <x:v>1</x:v>
      </x:c>
    </x:row>
    <x:row r="6">
      <x:c r="A6" s="60" t="str">
        <x:v>ET-A-B</x:v>
      </x:c>
      <x:c r="B6" s="60" t="str">
        <x:v>ET-A</x:v>
      </x:c>
      <x:c r="C6" s="60" t="str">
        <x:v>B</x:v>
      </x:c>
      <x:c r="D6" s="61" t="n">
        <x:v>2</x:v>
      </x:c>
      <x:c r="E6" s="61" t="n">
        <x:v>0</x:v>
      </x:c>
      <x:c r="F6" s="61" t="n">
        <x:v>0</x:v>
      </x:c>
      <x:c r="G6" s="61" t="n">
        <x:v>0</x:v>
      </x:c>
      <x:c r="H6" s="61" t="n">
        <x:v>1</x:v>
      </x:c>
      <x:c r="I6" s="60" t="str">
        <x:v>ET-A-TX-B</x:v>
      </x:c>
      <x:c r="J6" s="61" t="n">
        <x:v>0</x:v>
      </x:c>
      <x:c r="K6" s="61" t="n">
        <x:v>1</x:v>
      </x:c>
      <x:c r="L6" s="63" t="n">
        <x:v>0</x:v>
      </x:c>
      <x:c r="M6" s="61" t="n">
        <x:v>0</x:v>
      </x:c>
      <x:c r="N6" s="61" t="n">
        <x:v>0</x:v>
      </x:c>
      <x:c r="O6" s="61" t="n">
        <x:f>SUMIFS($G$5:$G$22,$B$5:$B$22,B6)</x:f>
        <x:v>0</x:v>
      </x:c>
      <x:c r="P6" s="61" t="n">
        <x:f>COUNTIFS($B$5:$B$22,B6,$F$5:$F$22,F6)</x:f>
        <x:v>3</x:v>
      </x:c>
      <x:c r="Q6" s="60" t="str">
        <x:f>IF(G6=0,IF(AND(F6=E6,H6=1,J6=0,L6=0,M6=0,N6=0,O6=0,P6=3),"BASELINE / READY","INVALID"),IF(AND(O6=3,F6=E6+1,H6=1,J6=0,K6=1,L6=0,M6=0,N6=0,P6=3),"EPOCH PROPAGATED","INVALID"))</x:f>
        <x:v>BASELINE / READY</x:v>
      </x:c>
      <x:c r="R6" s="61" t="n">
        <x:f>COUNTIFS($A$5:$A$22,A6)</x:f>
        <x:v>1</x:v>
      </x:c>
    </x:row>
    <x:row r="7">
      <x:c r="A7" s="60" t="str">
        <x:v>ET-A-C</x:v>
      </x:c>
      <x:c r="B7" s="60" t="str">
        <x:v>ET-A</x:v>
      </x:c>
      <x:c r="C7" s="60" t="str">
        <x:v>C</x:v>
      </x:c>
      <x:c r="D7" s="61" t="n">
        <x:v>3</x:v>
      </x:c>
      <x:c r="E7" s="61" t="n">
        <x:v>0</x:v>
      </x:c>
      <x:c r="F7" s="61" t="n">
        <x:v>0</x:v>
      </x:c>
      <x:c r="G7" s="61" t="n">
        <x:v>0</x:v>
      </x:c>
      <x:c r="H7" s="61" t="n">
        <x:v>1</x:v>
      </x:c>
      <x:c r="I7" s="60" t="str">
        <x:v>ET-A-TX-C</x:v>
      </x:c>
      <x:c r="J7" s="61" t="n">
        <x:v>0</x:v>
      </x:c>
      <x:c r="K7" s="61" t="n">
        <x:v>1</x:v>
      </x:c>
      <x:c r="L7" s="63" t="n">
        <x:v>0</x:v>
      </x:c>
      <x:c r="M7" s="61" t="n">
        <x:v>0</x:v>
      </x:c>
      <x:c r="N7" s="61" t="n">
        <x:v>0</x:v>
      </x:c>
      <x:c r="O7" s="61" t="n">
        <x:f>SUMIFS($G$5:$G$22,$B$5:$B$22,B7)</x:f>
        <x:v>0</x:v>
      </x:c>
      <x:c r="P7" s="61" t="n">
        <x:f>COUNTIFS($B$5:$B$22,B7,$F$5:$F$22,F7)</x:f>
        <x:v>3</x:v>
      </x:c>
      <x:c r="Q7" s="60" t="str">
        <x:f>IF(G7=0,IF(AND(F7=E7,H7=1,J7=0,L7=0,M7=0,N7=0,O7=0,P7=3),"BASELINE / READY","INVALID"),IF(AND(O7=3,F7=E7+1,H7=1,J7=0,K7=1,L7=0,M7=0,N7=0,P7=3),"EPOCH PROPAGATED","INVALID"))</x:f>
        <x:v>BASELINE / READY</x:v>
      </x:c>
      <x:c r="R7" s="61" t="n">
        <x:f>COUNTIFS($A$5:$A$22,A7)</x:f>
        <x:v>1</x:v>
      </x:c>
    </x:row>
    <x:row r="8">
      <x:c r="A8" s="60" t="str">
        <x:v>CT-C-A</x:v>
      </x:c>
      <x:c r="B8" s="60" t="str">
        <x:v>CT-C</x:v>
      </x:c>
      <x:c r="C8" s="60" t="str">
        <x:v>A</x:v>
      </x:c>
      <x:c r="D8" s="61" t="n">
        <x:v>3</x:v>
      </x:c>
      <x:c r="E8" s="61" t="n">
        <x:v>0</x:v>
      </x:c>
      <x:c r="F8" s="61" t="n">
        <x:v>0</x:v>
      </x:c>
      <x:c r="G8" s="61" t="n">
        <x:v>0</x:v>
      </x:c>
      <x:c r="H8" s="61" t="n">
        <x:v>1</x:v>
      </x:c>
      <x:c r="I8" s="60" t="str">
        <x:v>CT-C-TX-A</x:v>
      </x:c>
      <x:c r="J8" s="61" t="n">
        <x:v>0</x:v>
      </x:c>
      <x:c r="K8" s="61" t="n">
        <x:v>1</x:v>
      </x:c>
      <x:c r="L8" s="63" t="n">
        <x:v>0</x:v>
      </x:c>
      <x:c r="M8" s="61" t="n">
        <x:v>0</x:v>
      </x:c>
      <x:c r="N8" s="61" t="n">
        <x:v>0</x:v>
      </x:c>
      <x:c r="O8" s="61" t="n">
        <x:f>SUMIFS($G$5:$G$22,$B$5:$B$22,B8)</x:f>
        <x:v>0</x:v>
      </x:c>
      <x:c r="P8" s="61" t="n">
        <x:f>COUNTIFS($B$5:$B$22,B8,$F$5:$F$22,F8)</x:f>
        <x:v>3</x:v>
      </x:c>
      <x:c r="Q8" s="60" t="str">
        <x:f>IF(G8=0,IF(AND(F8=E8,H8=1,J8=0,L8=0,M8=0,N8=0,O8=0,P8=3),"BASELINE / READY","INVALID"),IF(AND(O8=3,F8=E8+1,H8=1,J8=0,K8=1,L8=0,M8=0,N8=0,P8=3),"EPOCH PROPAGATED","INVALID"))</x:f>
        <x:v>BASELINE / READY</x:v>
      </x:c>
      <x:c r="R8" s="61" t="n">
        <x:f>COUNTIFS($A$5:$A$22,A8)</x:f>
        <x:v>1</x:v>
      </x:c>
    </x:row>
    <x:row r="9">
      <x:c r="A9" s="60" t="str">
        <x:v>CT-C-B</x:v>
      </x:c>
      <x:c r="B9" s="60" t="str">
        <x:v>CT-C</x:v>
      </x:c>
      <x:c r="C9" s="60" t="str">
        <x:v>B</x:v>
      </x:c>
      <x:c r="D9" s="61" t="n">
        <x:v>1</x:v>
      </x:c>
      <x:c r="E9" s="61" t="n">
        <x:v>0</x:v>
      </x:c>
      <x:c r="F9" s="61" t="n">
        <x:v>0</x:v>
      </x:c>
      <x:c r="G9" s="61" t="n">
        <x:v>0</x:v>
      </x:c>
      <x:c r="H9" s="61" t="n">
        <x:v>1</x:v>
      </x:c>
      <x:c r="I9" s="60" t="str">
        <x:v>CT-C-TX-B</x:v>
      </x:c>
      <x:c r="J9" s="61" t="n">
        <x:v>0</x:v>
      </x:c>
      <x:c r="K9" s="61" t="n">
        <x:v>1</x:v>
      </x:c>
      <x:c r="L9" s="63" t="n">
        <x:v>0</x:v>
      </x:c>
      <x:c r="M9" s="61" t="n">
        <x:v>0</x:v>
      </x:c>
      <x:c r="N9" s="61" t="n">
        <x:v>0</x:v>
      </x:c>
      <x:c r="O9" s="61" t="n">
        <x:f>SUMIFS($G$5:$G$22,$B$5:$B$22,B9)</x:f>
        <x:v>0</x:v>
      </x:c>
      <x:c r="P9" s="61" t="n">
        <x:f>COUNTIFS($B$5:$B$22,B9,$F$5:$F$22,F9)</x:f>
        <x:v>3</x:v>
      </x:c>
      <x:c r="Q9" s="60" t="str">
        <x:f>IF(G9=0,IF(AND(F9=E9,H9=1,J9=0,L9=0,M9=0,N9=0,O9=0,P9=3),"BASELINE / READY","INVALID"),IF(AND(O9=3,F9=E9+1,H9=1,J9=0,K9=1,L9=0,M9=0,N9=0,P9=3),"EPOCH PROPAGATED","INVALID"))</x:f>
        <x:v>BASELINE / READY</x:v>
      </x:c>
      <x:c r="R9" s="61" t="n">
        <x:f>COUNTIFS($A$5:$A$22,A9)</x:f>
        <x:v>1</x:v>
      </x:c>
    </x:row>
    <x:row r="10">
      <x:c r="A10" s="60" t="str">
        <x:v>CT-C-C</x:v>
      </x:c>
      <x:c r="B10" s="60" t="str">
        <x:v>CT-C</x:v>
      </x:c>
      <x:c r="C10" s="60" t="str">
        <x:v>C</x:v>
      </x:c>
      <x:c r="D10" s="61" t="n">
        <x:v>2</x:v>
      </x:c>
      <x:c r="E10" s="61" t="n">
        <x:v>0</x:v>
      </x:c>
      <x:c r="F10" s="61" t="n">
        <x:v>0</x:v>
      </x:c>
      <x:c r="G10" s="61" t="n">
        <x:v>0</x:v>
      </x:c>
      <x:c r="H10" s="61" t="n">
        <x:v>1</x:v>
      </x:c>
      <x:c r="I10" s="60" t="str">
        <x:v>CT-C-TX-C</x:v>
      </x:c>
      <x:c r="J10" s="61" t="n">
        <x:v>0</x:v>
      </x:c>
      <x:c r="K10" s="61" t="n">
        <x:v>1</x:v>
      </x:c>
      <x:c r="L10" s="63" t="n">
        <x:v>0</x:v>
      </x:c>
      <x:c r="M10" s="61" t="n">
        <x:v>0</x:v>
      </x:c>
      <x:c r="N10" s="61" t="n">
        <x:v>0</x:v>
      </x:c>
      <x:c r="O10" s="61" t="n">
        <x:f>SUMIFS($G$5:$G$22,$B$5:$B$22,B10)</x:f>
        <x:v>0</x:v>
      </x:c>
      <x:c r="P10" s="61" t="n">
        <x:f>COUNTIFS($B$5:$B$22,B10,$F$5:$F$22,F10)</x:f>
        <x:v>3</x:v>
      </x:c>
      <x:c r="Q10" s="60" t="str">
        <x:f>IF(G10=0,IF(AND(F10=E10,H10=1,J10=0,L10=0,M10=0,N10=0,O10=0,P10=3),"BASELINE / READY","INVALID"),IF(AND(O10=3,F10=E10+1,H10=1,J10=0,K10=1,L10=0,M10=0,N10=0,P10=3),"EPOCH PROPAGATED","INVALID"))</x:f>
        <x:v>BASELINE / READY</x:v>
      </x:c>
      <x:c r="R10" s="61" t="n">
        <x:f>COUNTIFS($A$5:$A$22,A10)</x:f>
        <x:v>1</x:v>
      </x:c>
    </x:row>
    <x:row r="11">
      <x:c r="A11" s="60" t="str">
        <x:v>HC-A-A</x:v>
      </x:c>
      <x:c r="B11" s="60" t="str">
        <x:v>HC-A</x:v>
      </x:c>
      <x:c r="C11" s="60" t="str">
        <x:v>A</x:v>
      </x:c>
      <x:c r="D11" s="61" t="n">
        <x:v>2</x:v>
      </x:c>
      <x:c r="E11" s="61" t="n">
        <x:v>0</x:v>
      </x:c>
      <x:c r="F11" s="61" t="n">
        <x:v>0</x:v>
      </x:c>
      <x:c r="G11" s="61" t="n">
        <x:v>0</x:v>
      </x:c>
      <x:c r="H11" s="61" t="n">
        <x:v>1</x:v>
      </x:c>
      <x:c r="I11" s="60" t="str">
        <x:v>HC-A-TX-A</x:v>
      </x:c>
      <x:c r="J11" s="61" t="n">
        <x:v>0</x:v>
      </x:c>
      <x:c r="K11" s="61" t="n">
        <x:v>1</x:v>
      </x:c>
      <x:c r="L11" s="63" t="n">
        <x:v>0</x:v>
      </x:c>
      <x:c r="M11" s="61" t="n">
        <x:v>0</x:v>
      </x:c>
      <x:c r="N11" s="61" t="n">
        <x:v>0</x:v>
      </x:c>
      <x:c r="O11" s="61" t="n">
        <x:f>SUMIFS($G$5:$G$22,$B$5:$B$22,B11)</x:f>
        <x:v>0</x:v>
      </x:c>
      <x:c r="P11" s="61" t="n">
        <x:f>COUNTIFS($B$5:$B$22,B11,$F$5:$F$22,F11)</x:f>
        <x:v>3</x:v>
      </x:c>
      <x:c r="Q11" s="60" t="str">
        <x:f>IF(G11=0,IF(AND(F11=E11,H11=1,J11=0,L11=0,M11=0,N11=0,O11=0,P11=3),"BASELINE / READY","INVALID"),IF(AND(O11=3,F11=E11+1,H11=1,J11=0,K11=1,L11=0,M11=0,N11=0,P11=3),"EPOCH PROPAGATED","INVALID"))</x:f>
        <x:v>BASELINE / READY</x:v>
      </x:c>
      <x:c r="R11" s="61" t="n">
        <x:f>COUNTIFS($A$5:$A$22,A11)</x:f>
        <x:v>1</x:v>
      </x:c>
    </x:row>
    <x:row r="12">
      <x:c r="A12" s="60" t="str">
        <x:v>HC-A-B</x:v>
      </x:c>
      <x:c r="B12" s="60" t="str">
        <x:v>HC-A</x:v>
      </x:c>
      <x:c r="C12" s="60" t="str">
        <x:v>B</x:v>
      </x:c>
      <x:c r="D12" s="61" t="n">
        <x:v>3</x:v>
      </x:c>
      <x:c r="E12" s="61" t="n">
        <x:v>0</x:v>
      </x:c>
      <x:c r="F12" s="61" t="n">
        <x:v>0</x:v>
      </x:c>
      <x:c r="G12" s="61" t="n">
        <x:v>0</x:v>
      </x:c>
      <x:c r="H12" s="61" t="n">
        <x:v>1</x:v>
      </x:c>
      <x:c r="I12" s="60" t="str">
        <x:v>HC-A-TX-B</x:v>
      </x:c>
      <x:c r="J12" s="61" t="n">
        <x:v>0</x:v>
      </x:c>
      <x:c r="K12" s="61" t="n">
        <x:v>1</x:v>
      </x:c>
      <x:c r="L12" s="63" t="n">
        <x:v>0</x:v>
      </x:c>
      <x:c r="M12" s="61" t="n">
        <x:v>0</x:v>
      </x:c>
      <x:c r="N12" s="61" t="n">
        <x:v>0</x:v>
      </x:c>
      <x:c r="O12" s="61" t="n">
        <x:f>SUMIFS($G$5:$G$22,$B$5:$B$22,B12)</x:f>
        <x:v>0</x:v>
      </x:c>
      <x:c r="P12" s="61" t="n">
        <x:f>COUNTIFS($B$5:$B$22,B12,$F$5:$F$22,F12)</x:f>
        <x:v>3</x:v>
      </x:c>
      <x:c r="Q12" s="60" t="str">
        <x:f>IF(G12=0,IF(AND(F12=E12,H12=1,J12=0,L12=0,M12=0,N12=0,O12=0,P12=3),"BASELINE / READY","INVALID"),IF(AND(O12=3,F12=E12+1,H12=1,J12=0,K12=1,L12=0,M12=0,N12=0,P12=3),"EPOCH PROPAGATED","INVALID"))</x:f>
        <x:v>BASELINE / READY</x:v>
      </x:c>
      <x:c r="R12" s="61" t="n">
        <x:f>COUNTIFS($A$5:$A$22,A12)</x:f>
        <x:v>1</x:v>
      </x:c>
    </x:row>
    <x:row r="13">
      <x:c r="A13" s="60" t="str">
        <x:v>HC-A-C</x:v>
      </x:c>
      <x:c r="B13" s="60" t="str">
        <x:v>HC-A</x:v>
      </x:c>
      <x:c r="C13" s="60" t="str">
        <x:v>C</x:v>
      </x:c>
      <x:c r="D13" s="61" t="n">
        <x:v>1</x:v>
      </x:c>
      <x:c r="E13" s="61" t="n">
        <x:v>0</x:v>
      </x:c>
      <x:c r="F13" s="61" t="n">
        <x:v>0</x:v>
      </x:c>
      <x:c r="G13" s="61" t="n">
        <x:v>0</x:v>
      </x:c>
      <x:c r="H13" s="61" t="n">
        <x:v>1</x:v>
      </x:c>
      <x:c r="I13" s="60" t="str">
        <x:v>HC-A-TX-C</x:v>
      </x:c>
      <x:c r="J13" s="61" t="n">
        <x:v>0</x:v>
      </x:c>
      <x:c r="K13" s="61" t="n">
        <x:v>1</x:v>
      </x:c>
      <x:c r="L13" s="63" t="n">
        <x:v>0</x:v>
      </x:c>
      <x:c r="M13" s="61" t="n">
        <x:v>0</x:v>
      </x:c>
      <x:c r="N13" s="61" t="n">
        <x:v>0</x:v>
      </x:c>
      <x:c r="O13" s="61" t="n">
        <x:f>SUMIFS($G$5:$G$22,$B$5:$B$22,B13)</x:f>
        <x:v>0</x:v>
      </x:c>
      <x:c r="P13" s="61" t="n">
        <x:f>COUNTIFS($B$5:$B$22,B13,$F$5:$F$22,F13)</x:f>
        <x:v>3</x:v>
      </x:c>
      <x:c r="Q13" s="60" t="str">
        <x:f>IF(G13=0,IF(AND(F13=E13,H13=1,J13=0,L13=0,M13=0,N13=0,O13=0,P13=3),"BASELINE / READY","INVALID"),IF(AND(O13=3,F13=E13+1,H13=1,J13=0,K13=1,L13=0,M13=0,N13=0,P13=3),"EPOCH PROPAGATED","INVALID"))</x:f>
        <x:v>BASELINE / READY</x:v>
      </x:c>
      <x:c r="R13" s="61" t="n">
        <x:f>COUNTIFS($A$5:$A$22,A13)</x:f>
        <x:v>1</x:v>
      </x:c>
    </x:row>
    <x:row r="14">
      <x:c r="A14" s="60" t="str">
        <x:v>LF-B-A</x:v>
      </x:c>
      <x:c r="B14" s="60" t="str">
        <x:v>LF-B</x:v>
      </x:c>
      <x:c r="C14" s="60" t="str">
        <x:v>A</x:v>
      </x:c>
      <x:c r="D14" s="61" t="n">
        <x:v>1</x:v>
      </x:c>
      <x:c r="E14" s="61" t="n">
        <x:v>0</x:v>
      </x:c>
      <x:c r="F14" s="61" t="n">
        <x:v>0</x:v>
      </x:c>
      <x:c r="G14" s="61" t="n">
        <x:v>0</x:v>
      </x:c>
      <x:c r="H14" s="61" t="n">
        <x:v>1</x:v>
      </x:c>
      <x:c r="I14" s="60" t="str">
        <x:v>LF-B-TX-A</x:v>
      </x:c>
      <x:c r="J14" s="61" t="n">
        <x:v>0</x:v>
      </x:c>
      <x:c r="K14" s="61" t="n">
        <x:v>1</x:v>
      </x:c>
      <x:c r="L14" s="63" t="n">
        <x:v>0</x:v>
      </x:c>
      <x:c r="M14" s="61" t="n">
        <x:v>0</x:v>
      </x:c>
      <x:c r="N14" s="61" t="n">
        <x:v>0</x:v>
      </x:c>
      <x:c r="O14" s="61" t="n">
        <x:f>SUMIFS($G$5:$G$22,$B$5:$B$22,B14)</x:f>
        <x:v>0</x:v>
      </x:c>
      <x:c r="P14" s="61" t="n">
        <x:f>COUNTIFS($B$5:$B$22,B14,$F$5:$F$22,F14)</x:f>
        <x:v>3</x:v>
      </x:c>
      <x:c r="Q14" s="60" t="str">
        <x:f>IF(G14=0,IF(AND(F14=E14,H14=1,J14=0,L14=0,M14=0,N14=0,O14=0,P14=3),"BASELINE / READY","INVALID"),IF(AND(O14=3,F14=E14+1,H14=1,J14=0,K14=1,L14=0,M14=0,N14=0,P14=3),"EPOCH PROPAGATED","INVALID"))</x:f>
        <x:v>BASELINE / READY</x:v>
      </x:c>
      <x:c r="R14" s="61" t="n">
        <x:f>COUNTIFS($A$5:$A$22,A14)</x:f>
        <x:v>1</x:v>
      </x:c>
    </x:row>
    <x:row r="15">
      <x:c r="A15" s="60" t="str">
        <x:v>LF-B-B</x:v>
      </x:c>
      <x:c r="B15" s="60" t="str">
        <x:v>LF-B</x:v>
      </x:c>
      <x:c r="C15" s="60" t="str">
        <x:v>B</x:v>
      </x:c>
      <x:c r="D15" s="61" t="n">
        <x:v>3</x:v>
      </x:c>
      <x:c r="E15" s="61" t="n">
        <x:v>0</x:v>
      </x:c>
      <x:c r="F15" s="61" t="n">
        <x:v>0</x:v>
      </x:c>
      <x:c r="G15" s="61" t="n">
        <x:v>0</x:v>
      </x:c>
      <x:c r="H15" s="61" t="n">
        <x:v>1</x:v>
      </x:c>
      <x:c r="I15" s="60" t="str">
        <x:v>LF-B-TX-B</x:v>
      </x:c>
      <x:c r="J15" s="61" t="n">
        <x:v>0</x:v>
      </x:c>
      <x:c r="K15" s="61" t="n">
        <x:v>1</x:v>
      </x:c>
      <x:c r="L15" s="63" t="n">
        <x:v>0</x:v>
      </x:c>
      <x:c r="M15" s="61" t="n">
        <x:v>0</x:v>
      </x:c>
      <x:c r="N15" s="61" t="n">
        <x:v>0</x:v>
      </x:c>
      <x:c r="O15" s="61" t="n">
        <x:f>SUMIFS($G$5:$G$22,$B$5:$B$22,B15)</x:f>
        <x:v>0</x:v>
      </x:c>
      <x:c r="P15" s="61" t="n">
        <x:f>COUNTIFS($B$5:$B$22,B15,$F$5:$F$22,F15)</x:f>
        <x:v>3</x:v>
      </x:c>
      <x:c r="Q15" s="60" t="str">
        <x:f>IF(G15=0,IF(AND(F15=E15,H15=1,J15=0,L15=0,M15=0,N15=0,O15=0,P15=3),"BASELINE / READY","INVALID"),IF(AND(O15=3,F15=E15+1,H15=1,J15=0,K15=1,L15=0,M15=0,N15=0,P15=3),"EPOCH PROPAGATED","INVALID"))</x:f>
        <x:v>BASELINE / READY</x:v>
      </x:c>
      <x:c r="R15" s="61" t="n">
        <x:f>COUNTIFS($A$5:$A$22,A15)</x:f>
        <x:v>1</x:v>
      </x:c>
    </x:row>
    <x:row r="16">
      <x:c r="A16" s="60" t="str">
        <x:v>LF-B-C</x:v>
      </x:c>
      <x:c r="B16" s="60" t="str">
        <x:v>LF-B</x:v>
      </x:c>
      <x:c r="C16" s="60" t="str">
        <x:v>C</x:v>
      </x:c>
      <x:c r="D16" s="61" t="n">
        <x:v>2</x:v>
      </x:c>
      <x:c r="E16" s="61" t="n">
        <x:v>0</x:v>
      </x:c>
      <x:c r="F16" s="61" t="n">
        <x:v>0</x:v>
      </x:c>
      <x:c r="G16" s="61" t="n">
        <x:v>0</x:v>
      </x:c>
      <x:c r="H16" s="61" t="n">
        <x:v>1</x:v>
      </x:c>
      <x:c r="I16" s="60" t="str">
        <x:v>LF-B-TX-C</x:v>
      </x:c>
      <x:c r="J16" s="61" t="n">
        <x:v>0</x:v>
      </x:c>
      <x:c r="K16" s="61" t="n">
        <x:v>1</x:v>
      </x:c>
      <x:c r="L16" s="63" t="n">
        <x:v>0</x:v>
      </x:c>
      <x:c r="M16" s="61" t="n">
        <x:v>0</x:v>
      </x:c>
      <x:c r="N16" s="61" t="n">
        <x:v>0</x:v>
      </x:c>
      <x:c r="O16" s="61" t="n">
        <x:f>SUMIFS($G$5:$G$22,$B$5:$B$22,B16)</x:f>
        <x:v>0</x:v>
      </x:c>
      <x:c r="P16" s="61" t="n">
        <x:f>COUNTIFS($B$5:$B$22,B16,$F$5:$F$22,F16)</x:f>
        <x:v>3</x:v>
      </x:c>
      <x:c r="Q16" s="60" t="str">
        <x:f>IF(G16=0,IF(AND(F16=E16,H16=1,J16=0,L16=0,M16=0,N16=0,O16=0,P16=3),"BASELINE / READY","INVALID"),IF(AND(O16=3,F16=E16+1,H16=1,J16=0,K16=1,L16=0,M16=0,N16=0,P16=3),"EPOCH PROPAGATED","INVALID"))</x:f>
        <x:v>BASELINE / READY</x:v>
      </x:c>
      <x:c r="R16" s="61" t="n">
        <x:f>COUNTIFS($A$5:$A$22,A16)</x:f>
        <x:v>1</x:v>
      </x:c>
    </x:row>
    <x:row r="17">
      <x:c r="A17" s="60" t="str">
        <x:v>HU-A-A</x:v>
      </x:c>
      <x:c r="B17" s="60" t="str">
        <x:v>HU-A</x:v>
      </x:c>
      <x:c r="C17" s="60" t="str">
        <x:v>A</x:v>
      </x:c>
      <x:c r="D17" s="61" t="n">
        <x:v>2</x:v>
      </x:c>
      <x:c r="E17" s="61" t="n">
        <x:v>0</x:v>
      </x:c>
      <x:c r="F17" s="61" t="n">
        <x:v>0</x:v>
      </x:c>
      <x:c r="G17" s="61" t="n">
        <x:v>0</x:v>
      </x:c>
      <x:c r="H17" s="61" t="n">
        <x:v>1</x:v>
      </x:c>
      <x:c r="I17" s="60" t="str">
        <x:v>HU-A-TX-A</x:v>
      </x:c>
      <x:c r="J17" s="61" t="n">
        <x:v>0</x:v>
      </x:c>
      <x:c r="K17" s="61" t="n">
        <x:v>1</x:v>
      </x:c>
      <x:c r="L17" s="63" t="n">
        <x:v>0</x:v>
      </x:c>
      <x:c r="M17" s="61" t="n">
        <x:v>0</x:v>
      </x:c>
      <x:c r="N17" s="61" t="n">
        <x:v>0</x:v>
      </x:c>
      <x:c r="O17" s="61" t="n">
        <x:f>SUMIFS($G$5:$G$22,$B$5:$B$22,B17)</x:f>
        <x:v>0</x:v>
      </x:c>
      <x:c r="P17" s="61" t="n">
        <x:f>COUNTIFS($B$5:$B$22,B17,$F$5:$F$22,F17)</x:f>
        <x:v>3</x:v>
      </x:c>
      <x:c r="Q17" s="60" t="str">
        <x:f>IF(G17=0,IF(AND(F17=E17,H17=1,J17=0,L17=0,M17=0,N17=0,O17=0,P17=3),"BASELINE / READY","INVALID"),IF(AND(O17=3,F17=E17+1,H17=1,J17=0,K17=1,L17=0,M17=0,N17=0,P17=3),"EPOCH PROPAGATED","INVALID"))</x:f>
        <x:v>BASELINE / READY</x:v>
      </x:c>
      <x:c r="R17" s="61" t="n">
        <x:f>COUNTIFS($A$5:$A$22,A17)</x:f>
        <x:v>1</x:v>
      </x:c>
    </x:row>
    <x:row r="18">
      <x:c r="A18" s="60" t="str">
        <x:v>HU-A-B</x:v>
      </x:c>
      <x:c r="B18" s="60" t="str">
        <x:v>HU-A</x:v>
      </x:c>
      <x:c r="C18" s="60" t="str">
        <x:v>B</x:v>
      </x:c>
      <x:c r="D18" s="61" t="n">
        <x:v>1</x:v>
      </x:c>
      <x:c r="E18" s="61" t="n">
        <x:v>0</x:v>
      </x:c>
      <x:c r="F18" s="61" t="n">
        <x:v>0</x:v>
      </x:c>
      <x:c r="G18" s="61" t="n">
        <x:v>0</x:v>
      </x:c>
      <x:c r="H18" s="61" t="n">
        <x:v>1</x:v>
      </x:c>
      <x:c r="I18" s="60" t="str">
        <x:v>HU-A-TX-B</x:v>
      </x:c>
      <x:c r="J18" s="61" t="n">
        <x:v>0</x:v>
      </x:c>
      <x:c r="K18" s="61" t="n">
        <x:v>1</x:v>
      </x:c>
      <x:c r="L18" s="63" t="n">
        <x:v>0</x:v>
      </x:c>
      <x:c r="M18" s="61" t="n">
        <x:v>0</x:v>
      </x:c>
      <x:c r="N18" s="61" t="n">
        <x:v>0</x:v>
      </x:c>
      <x:c r="O18" s="61" t="n">
        <x:f>SUMIFS($G$5:$G$22,$B$5:$B$22,B18)</x:f>
        <x:v>0</x:v>
      </x:c>
      <x:c r="P18" s="61" t="n">
        <x:f>COUNTIFS($B$5:$B$22,B18,$F$5:$F$22,F18)</x:f>
        <x:v>3</x:v>
      </x:c>
      <x:c r="Q18" s="60" t="str">
        <x:f>IF(G18=0,IF(AND(F18=E18,H18=1,J18=0,L18=0,M18=0,N18=0,O18=0,P18=3),"BASELINE / READY","INVALID"),IF(AND(O18=3,F18=E18+1,H18=1,J18=0,K18=1,L18=0,M18=0,N18=0,P18=3),"EPOCH PROPAGATED","INVALID"))</x:f>
        <x:v>BASELINE / READY</x:v>
      </x:c>
      <x:c r="R18" s="61" t="n">
        <x:f>COUNTIFS($A$5:$A$22,A18)</x:f>
        <x:v>1</x:v>
      </x:c>
    </x:row>
    <x:row r="19">
      <x:c r="A19" s="60" t="str">
        <x:v>HU-A-C</x:v>
      </x:c>
      <x:c r="B19" s="60" t="str">
        <x:v>HU-A</x:v>
      </x:c>
      <x:c r="C19" s="60" t="str">
        <x:v>C</x:v>
      </x:c>
      <x:c r="D19" s="61" t="n">
        <x:v>3</x:v>
      </x:c>
      <x:c r="E19" s="61" t="n">
        <x:v>0</x:v>
      </x:c>
      <x:c r="F19" s="61" t="n">
        <x:v>0</x:v>
      </x:c>
      <x:c r="G19" s="61" t="n">
        <x:v>0</x:v>
      </x:c>
      <x:c r="H19" s="61" t="n">
        <x:v>1</x:v>
      </x:c>
      <x:c r="I19" s="60" t="str">
        <x:v>HU-A-TX-C</x:v>
      </x:c>
      <x:c r="J19" s="61" t="n">
        <x:v>0</x:v>
      </x:c>
      <x:c r="K19" s="61" t="n">
        <x:v>1</x:v>
      </x:c>
      <x:c r="L19" s="63" t="n">
        <x:v>0</x:v>
      </x:c>
      <x:c r="M19" s="61" t="n">
        <x:v>0</x:v>
      </x:c>
      <x:c r="N19" s="61" t="n">
        <x:v>0</x:v>
      </x:c>
      <x:c r="O19" s="61" t="n">
        <x:f>SUMIFS($G$5:$G$22,$B$5:$B$22,B19)</x:f>
        <x:v>0</x:v>
      </x:c>
      <x:c r="P19" s="61" t="n">
        <x:f>COUNTIFS($B$5:$B$22,B19,$F$5:$F$22,F19)</x:f>
        <x:v>3</x:v>
      </x:c>
      <x:c r="Q19" s="60" t="str">
        <x:f>IF(G19=0,IF(AND(F19=E19,H19=1,J19=0,L19=0,M19=0,N19=0,O19=0,P19=3),"BASELINE / READY","INVALID"),IF(AND(O19=3,F19=E19+1,H19=1,J19=0,K19=1,L19=0,M19=0,N19=0,P19=3),"EPOCH PROPAGATED","INVALID"))</x:f>
        <x:v>BASELINE / READY</x:v>
      </x:c>
      <x:c r="R19" s="61" t="n">
        <x:f>COUNTIFS($A$5:$A$22,A19)</x:f>
        <x:v>1</x:v>
      </x:c>
    </x:row>
    <x:row r="20">
      <x:c r="A20" s="60" t="str">
        <x:v>RT-B-A</x:v>
      </x:c>
      <x:c r="B20" s="60" t="str">
        <x:v>RT-B</x:v>
      </x:c>
      <x:c r="C20" s="60" t="str">
        <x:v>A</x:v>
      </x:c>
      <x:c r="D20" s="61" t="n">
        <x:v>3</x:v>
      </x:c>
      <x:c r="E20" s="61" t="n">
        <x:v>0</x:v>
      </x:c>
      <x:c r="F20" s="61" t="n">
        <x:v>0</x:v>
      </x:c>
      <x:c r="G20" s="61" t="n">
        <x:v>0</x:v>
      </x:c>
      <x:c r="H20" s="61" t="n">
        <x:v>1</x:v>
      </x:c>
      <x:c r="I20" s="60" t="str">
        <x:v>RT-B-TX-A</x:v>
      </x:c>
      <x:c r="J20" s="61" t="n">
        <x:v>0</x:v>
      </x:c>
      <x:c r="K20" s="61" t="n">
        <x:v>1</x:v>
      </x:c>
      <x:c r="L20" s="63" t="n">
        <x:v>0</x:v>
      </x:c>
      <x:c r="M20" s="61" t="n">
        <x:v>0</x:v>
      </x:c>
      <x:c r="N20" s="61" t="n">
        <x:v>0</x:v>
      </x:c>
      <x:c r="O20" s="61" t="n">
        <x:f>SUMIFS($G$5:$G$22,$B$5:$B$22,B20)</x:f>
        <x:v>0</x:v>
      </x:c>
      <x:c r="P20" s="61" t="n">
        <x:f>COUNTIFS($B$5:$B$22,B20,$F$5:$F$22,F20)</x:f>
        <x:v>3</x:v>
      </x:c>
      <x:c r="Q20" s="60" t="str">
        <x:f>IF(G20=0,IF(AND(F20=E20,H20=1,J20=0,L20=0,M20=0,N20=0,O20=0,P20=3),"BASELINE / READY","INVALID"),IF(AND(O20=3,F20=E20+1,H20=1,J20=0,K20=1,L20=0,M20=0,N20=0,P20=3),"EPOCH PROPAGATED","INVALID"))</x:f>
        <x:v>BASELINE / READY</x:v>
      </x:c>
      <x:c r="R20" s="61" t="n">
        <x:f>COUNTIFS($A$5:$A$22,A20)</x:f>
        <x:v>1</x:v>
      </x:c>
    </x:row>
    <x:row r="21">
      <x:c r="A21" s="60" t="str">
        <x:v>RT-B-B</x:v>
      </x:c>
      <x:c r="B21" s="60" t="str">
        <x:v>RT-B</x:v>
      </x:c>
      <x:c r="C21" s="60" t="str">
        <x:v>B</x:v>
      </x:c>
      <x:c r="D21" s="61" t="n">
        <x:v>2</x:v>
      </x:c>
      <x:c r="E21" s="61" t="n">
        <x:v>0</x:v>
      </x:c>
      <x:c r="F21" s="61" t="n">
        <x:v>0</x:v>
      </x:c>
      <x:c r="G21" s="61" t="n">
        <x:v>0</x:v>
      </x:c>
      <x:c r="H21" s="61" t="n">
        <x:v>1</x:v>
      </x:c>
      <x:c r="I21" s="60" t="str">
        <x:v>RT-B-TX-B</x:v>
      </x:c>
      <x:c r="J21" s="61" t="n">
        <x:v>0</x:v>
      </x:c>
      <x:c r="K21" s="61" t="n">
        <x:v>1</x:v>
      </x:c>
      <x:c r="L21" s="63" t="n">
        <x:v>0</x:v>
      </x:c>
      <x:c r="M21" s="61" t="n">
        <x:v>0</x:v>
      </x:c>
      <x:c r="N21" s="61" t="n">
        <x:v>0</x:v>
      </x:c>
      <x:c r="O21" s="61" t="n">
        <x:f>SUMIFS($G$5:$G$22,$B$5:$B$22,B21)</x:f>
        <x:v>0</x:v>
      </x:c>
      <x:c r="P21" s="61" t="n">
        <x:f>COUNTIFS($B$5:$B$22,B21,$F$5:$F$22,F21)</x:f>
        <x:v>3</x:v>
      </x:c>
      <x:c r="Q21" s="60" t="str">
        <x:f>IF(G21=0,IF(AND(F21=E21,H21=1,J21=0,L21=0,M21=0,N21=0,O21=0,P21=3),"BASELINE / READY","INVALID"),IF(AND(O21=3,F21=E21+1,H21=1,J21=0,K21=1,L21=0,M21=0,N21=0,P21=3),"EPOCH PROPAGATED","INVALID"))</x:f>
        <x:v>BASELINE / READY</x:v>
      </x:c>
      <x:c r="R21" s="61" t="n">
        <x:f>COUNTIFS($A$5:$A$22,A21)</x:f>
        <x:v>1</x:v>
      </x:c>
    </x:row>
    <x:row r="22">
      <x:c r="A22" s="62" t="str">
        <x:v>RT-B-C</x:v>
      </x:c>
      <x:c r="B22" s="62" t="str">
        <x:v>RT-B</x:v>
      </x:c>
      <x:c r="C22" s="62" t="str">
        <x:v>C</x:v>
      </x:c>
      <x:c r="D22" s="64" t="n">
        <x:v>1</x:v>
      </x:c>
      <x:c r="E22" s="64" t="n">
        <x:v>0</x:v>
      </x:c>
      <x:c r="F22" s="64" t="n">
        <x:v>0</x:v>
      </x:c>
      <x:c r="G22" s="64" t="n">
        <x:v>0</x:v>
      </x:c>
      <x:c r="H22" s="64" t="n">
        <x:v>1</x:v>
      </x:c>
      <x:c r="I22" s="62" t="str">
        <x:v>RT-B-TX-C</x:v>
      </x:c>
      <x:c r="J22" s="64" t="n">
        <x:v>0</x:v>
      </x:c>
      <x:c r="K22" s="64" t="n">
        <x:v>1</x:v>
      </x:c>
      <x:c r="L22" s="71" t="n">
        <x:v>0</x:v>
      </x:c>
      <x:c r="M22" s="64" t="n">
        <x:v>0</x:v>
      </x:c>
      <x:c r="N22" s="64" t="n">
        <x:v>0</x:v>
      </x:c>
      <x:c r="O22" s="64" t="n">
        <x:f>SUMIFS($G$5:$G$22,$B$5:$B$22,B22)</x:f>
        <x:v>0</x:v>
      </x:c>
      <x:c r="P22" s="64" t="n">
        <x:f>COUNTIFS($B$5:$B$22,B22,$F$5:$F$22,F22)</x:f>
        <x:v>3</x:v>
      </x:c>
      <x:c r="Q22" s="62" t="str">
        <x:f>IF(G22=0,IF(AND(F22=E22,H22=1,J22=0,L22=0,M22=0,N22=0,O22=0,P22=3),"BASELINE / READY","INVALID"),IF(AND(O22=3,F22=E22+1,H22=1,J22=0,K22=1,L22=0,M22=0,N22=0,P22=3),"EPOCH PROPAGATED","INVALID"))</x:f>
        <x:v>BASELINE / READY</x:v>
      </x:c>
      <x:c r="R22" s="64" t="n">
        <x:f>COUNTIFS($A$5:$A$22,A22)</x:f>
        <x:v>1</x:v>
      </x:c>
    </x:row>
  </x:sheetData>
  <x:mergeCells>
    <x:mergeCell ref="A2:R2"/>
  </x:mergeCells>
  <x:conditionalFormatting sqref="Q5:Q22">
    <x:cfRule type="containsText" dxfId="5" priority="1" operator="containsText" text="INVALID"/>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11" hidden="0" customWidth="1"/>
    <x:col min="3" max="3" width="47" hidden="0" customWidth="1"/>
    <x:col min="4" max="4" width="24" hidden="0" customWidth="1"/>
    <x:col min="5" max="5" width="16" hidden="0" customWidth="1"/>
    <x:col min="6" max="6" width="26" hidden="0" customWidth="1"/>
    <x:col min="7" max="7" width="31" hidden="0" customWidth="1"/>
    <x:col min="8" max="8" width="24" hidden="0" customWidth="1"/>
    <x:col min="9" max="9" width="29" hidden="0" customWidth="1"/>
    <x:col min="10" max="10" width="26" hidden="0" customWidth="1"/>
    <x:col min="11" max="11" width="24" hidden="0" customWidth="1"/>
    <x:col min="12" max="12" width="16" hidden="0" customWidth="1"/>
    <x:col min="13" max="13" width="24" hidden="0" customWidth="1"/>
  </x:cols>
  <x:sheetData>
    <x:row r="2">
      <x:c r="A2" s="54" t="str">
        <x:v>Competitive-budget and clock neutrality</x:v>
      </x:c>
      <x:c r="B2" s="55"/>
      <x:c r="C2" s="55"/>
      <x:c r="D2" s="55"/>
      <x:c r="E2" s="55"/>
      <x:c r="F2" s="55"/>
      <x:c r="G2" s="55"/>
      <x:c r="H2" s="55"/>
      <x:c r="I2" s="55"/>
      <x:c r="J2" s="55"/>
      <x:c r="K2" s="55"/>
      <x:c r="L2" s="55"/>
      <x:c r="M2" s="55"/>
    </x:row>
    <x:row r="3">
      <x:c r="A3" s="56"/>
      <x:c r="B3" s="56"/>
      <x:c r="C3" s="56"/>
      <x:c r="D3" s="56"/>
      <x:c r="E3" s="56"/>
      <x:c r="F3" s="56"/>
      <x:c r="G3" s="56"/>
      <x:c r="H3" s="56"/>
      <x:c r="I3" s="56"/>
      <x:c r="J3" s="56"/>
      <x:c r="K3" s="56"/>
      <x:c r="L3" s="56"/>
      <x:c r="M3" s="56"/>
    </x:row>
    <x:row r="4" ht="32" customHeight="1">
      <x:c r="A4" s="14" t="str">
        <x:v>System</x:v>
      </x:c>
      <x:c r="B4" s="15" t="str">
        <x:v>Root</x:v>
      </x:c>
      <x:c r="C4" s="15" t="str">
        <x:v>Article</x:v>
      </x:c>
      <x:c r="D4" s="15" t="str">
        <x:v>Option ceiling USD B</x:v>
      </x:c>
      <x:c r="E4" s="15" t="str">
        <x:v>FRAME share</x:v>
      </x:c>
      <x:c r="F4" s="15" t="str">
        <x:v>Competitive reserve USD B</x:v>
      </x:c>
      <x:c r="G4" s="15" t="str">
        <x:v>Safety equalization ceiling USD B</x:v>
      </x:c>
      <x:c r="H4" s="15" t="str">
        <x:v>Safety obligation USD B</x:v>
      </x:c>
      <x:c r="I4" s="15" t="str">
        <x:v>Competitive budget delta USD B</x:v>
      </x:c>
      <x:c r="J4" s="15" t="str">
        <x:v>Base qualification weeks</x:v>
      </x:c>
      <x:c r="K4" s="15" t="str">
        <x:v>Safety warrants issued</x:v>
      </x:c>
      <x:c r="L4" s="15" t="str">
        <x:v>Active epoch</x:v>
      </x:c>
      <x:c r="M4" s="16" t="str">
        <x:v>Root state</x:v>
      </x:c>
    </x:row>
    <x:row r="5">
      <x:c r="A5" s="57" t="str">
        <x:v>MS-ET</x:v>
      </x:c>
      <x:c r="B5" s="57" t="str">
        <x:v>ET-A</x:v>
      </x:c>
      <x:c r="C5" s="57" t="str">
        <x:v>Pelagic exchange cell</x:v>
      </x:c>
      <x:c r="D5" s="70" t="n">
        <x:v>0.50047461808185</x:v>
      </x:c>
      <x:c r="E5" s="72" t="n">
        <x:v>0.15</x:v>
      </x:c>
      <x:c r="F5" s="70" t="n">
        <x:f>D5*E5</x:f>
        <x:v>0.0750711927122775</x:v>
      </x:c>
      <x:c r="G5" s="70" t="n">
        <x:v>0</x:v>
      </x:c>
      <x:c r="H5" s="70" t="n">
        <x:v>0</x:v>
      </x:c>
      <x:c r="I5" s="70" t="n">
        <x:v>0</x:v>
      </x:c>
      <x:c r="J5" s="58" t="n">
        <x:v>24</x:v>
      </x:c>
      <x:c r="K5" s="58" t="n">
        <x:f>SUMIFS('Propagation Slots'!$G$5:$G$22,'Propagation Slots'!$B$5:$B$22,B5)</x:f>
        <x:v>0</x:v>
      </x:c>
      <x:c r="L5" s="58" t="n">
        <x:v>0</x:v>
      </x:c>
      <x:c r="M5" s="57" t="str">
        <x:f>IF(K5=0,IF(AND(G5=0,H5=0,I5=0,L5=0),"NO CHANGE", "INVALID"),IF(AND(K5=3,G5&gt;0,H5&lt;=G5,I5=0,L5&gt;0),"SAFETY AUTHORIZED","ROOT HOLD"))</x:f>
        <x:v>NO CHANGE</x:v>
      </x:c>
    </x:row>
    <x:row r="6">
      <x:c r="A6" s="60" t="str">
        <x:v>MS-CT</x:v>
      </x:c>
      <x:c r="B6" s="60" t="str">
        <x:v>CT-C</x:v>
      </x:c>
      <x:c r="C6" s="60" t="str">
        <x:v>Occupied-building utility-spine sector</x:v>
      </x:c>
      <x:c r="D6" s="63" t="n">
        <x:v>0.51649348177396</x:v>
      </x:c>
      <x:c r="E6" s="73" t="n">
        <x:v>0.15</x:v>
      </x:c>
      <x:c r="F6" s="63" t="n">
        <x:f>D6*E6</x:f>
        <x:v>0.077474022266094</x:v>
      </x:c>
      <x:c r="G6" s="63" t="n">
        <x:v>0</x:v>
      </x:c>
      <x:c r="H6" s="63" t="n">
        <x:v>0</x:v>
      </x:c>
      <x:c r="I6" s="63" t="n">
        <x:v>0</x:v>
      </x:c>
      <x:c r="J6" s="61" t="n">
        <x:v>24</x:v>
      </x:c>
      <x:c r="K6" s="61" t="n">
        <x:f>SUMIFS('Propagation Slots'!$G$5:$G$22,'Propagation Slots'!$B$5:$B$22,B6)</x:f>
        <x:v>0</x:v>
      </x:c>
      <x:c r="L6" s="61" t="n">
        <x:v>0</x:v>
      </x:c>
      <x:c r="M6" s="60" t="str">
        <x:f>IF(K6=0,IF(AND(G6=0,H6=0,I6=0,L6=0),"NO CHANGE", "INVALID"),IF(AND(K6=3,G6&gt;0,H6&lt;=G6,I6=0,L6&gt;0),"SAFETY AUTHORIZED","ROOT HOLD"))</x:f>
        <x:v>NO CHANGE</x:v>
      </x:c>
    </x:row>
    <x:row r="7">
      <x:c r="A7" s="60" t="str">
        <x:v>MS-HC</x:v>
      </x:c>
      <x:c r="B7" s="60" t="str">
        <x:v>HC-A</x:v>
      </x:c>
      <x:c r="C7" s="60" t="str">
        <x:v>Atmospheric intervention cell</x:v>
      </x:c>
      <x:c r="D7" s="63" t="n">
        <x:v>0.307221654067133</x:v>
      </x:c>
      <x:c r="E7" s="73" t="n">
        <x:v>0.15</x:v>
      </x:c>
      <x:c r="F7" s="63" t="n">
        <x:f>D7*E7</x:f>
        <x:v>0.046083248110069946</x:v>
      </x:c>
      <x:c r="G7" s="63" t="n">
        <x:v>0</x:v>
      </x:c>
      <x:c r="H7" s="63" t="n">
        <x:v>0</x:v>
      </x:c>
      <x:c r="I7" s="63" t="n">
        <x:v>0</x:v>
      </x:c>
      <x:c r="J7" s="61" t="n">
        <x:v>24</x:v>
      </x:c>
      <x:c r="K7" s="61" t="n">
        <x:f>SUMIFS('Propagation Slots'!$G$5:$G$22,'Propagation Slots'!$B$5:$B$22,B7)</x:f>
        <x:v>0</x:v>
      </x:c>
      <x:c r="L7" s="61" t="n">
        <x:v>0</x:v>
      </x:c>
      <x:c r="M7" s="60" t="str">
        <x:f>IF(K7=0,IF(AND(G7=0,H7=0,I7=0,L7=0),"NO CHANGE", "INVALID"),IF(AND(K7=3,G7&gt;0,H7&lt;=G7,I7=0,L7&gt;0),"SAFETY AUTHORIZED","ROOT HOLD"))</x:f>
        <x:v>NO CHANGE</x:v>
      </x:c>
    </x:row>
    <x:row r="8">
      <x:c r="A8" s="60" t="str">
        <x:v>MS-LF</x:v>
      </x:c>
      <x:c r="B8" s="60" t="str">
        <x:v>LF-B</x:v>
      </x:c>
      <x:c r="C8" s="60" t="str">
        <x:v>Geothermal source position</x:v>
      </x:c>
      <x:c r="D8" s="63" t="n">
        <x:v>0.899412819320565</x:v>
      </x:c>
      <x:c r="E8" s="73" t="n">
        <x:v>0.15</x:v>
      </x:c>
      <x:c r="F8" s="63" t="n">
        <x:f>D8*E8</x:f>
        <x:v>0.13491192289808476</x:v>
      </x:c>
      <x:c r="G8" s="63" t="n">
        <x:v>0</x:v>
      </x:c>
      <x:c r="H8" s="63" t="n">
        <x:v>0</x:v>
      </x:c>
      <x:c r="I8" s="63" t="n">
        <x:v>0</x:v>
      </x:c>
      <x:c r="J8" s="61" t="n">
        <x:v>24</x:v>
      </x:c>
      <x:c r="K8" s="61" t="n">
        <x:f>SUMIFS('Propagation Slots'!$G$5:$G$22,'Propagation Slots'!$B$5:$B$22,B8)</x:f>
        <x:v>0</x:v>
      </x:c>
      <x:c r="L8" s="61" t="n">
        <x:v>0</x:v>
      </x:c>
      <x:c r="M8" s="60" t="str">
        <x:f>IF(K8=0,IF(AND(G8=0,H8=0,I8=0,L8=0),"NO CHANGE", "INVALID"),IF(AND(K8=3,G8&gt;0,H8&lt;=G8,I8=0,L8&gt;0),"SAFETY AUTHORIZED","ROOT HOLD"))</x:f>
        <x:v>NO CHANGE</x:v>
      </x:c>
    </x:row>
    <x:row r="9">
      <x:c r="A9" s="60" t="str">
        <x:v>MS-HU</x:v>
      </x:c>
      <x:c r="B9" s="60" t="str">
        <x:v>HU-A</x:v>
      </x:c>
      <x:c r="C9" s="60" t="str">
        <x:v>Complete clinical island</x:v>
      </x:c>
      <x:c r="D9" s="63" t="n">
        <x:v>0.860712452941095</x:v>
      </x:c>
      <x:c r="E9" s="73" t="n">
        <x:v>0.15</x:v>
      </x:c>
      <x:c r="F9" s="63" t="n">
        <x:f>D9*E9</x:f>
        <x:v>0.12910686794116424</x:v>
      </x:c>
      <x:c r="G9" s="63" t="n">
        <x:v>0</x:v>
      </x:c>
      <x:c r="H9" s="63" t="n">
        <x:v>0</x:v>
      </x:c>
      <x:c r="I9" s="63" t="n">
        <x:v>0</x:v>
      </x:c>
      <x:c r="J9" s="61" t="n">
        <x:v>24</x:v>
      </x:c>
      <x:c r="K9" s="61" t="n">
        <x:f>SUMIFS('Propagation Slots'!$G$5:$G$22,'Propagation Slots'!$B$5:$B$22,B9)</x:f>
        <x:v>0</x:v>
      </x:c>
      <x:c r="L9" s="61" t="n">
        <x:v>0</x:v>
      </x:c>
      <x:c r="M9" s="60" t="str">
        <x:f>IF(K9=0,IF(AND(G9=0,H9=0,I9=0,L9=0),"NO CHANGE", "INVALID"),IF(AND(K9=3,G9&gt;0,H9&lt;=G9,I9=0,L9&gt;0),"SAFETY AUTHORIZED","ROOT HOLD"))</x:f>
        <x:v>NO CHANGE</x:v>
      </x:c>
    </x:row>
    <x:row r="10">
      <x:c r="A10" s="60" t="str">
        <x:v>MS-RT</x:v>
      </x:c>
      <x:c r="B10" s="60" t="str">
        <x:v>RT-B</x:v>
      </x:c>
      <x:c r="C10" s="60" t="str">
        <x:v>Disconnected microfactory mesh</x:v>
      </x:c>
      <x:c r="D10" s="63" t="n">
        <x:v>0.502597793135963</x:v>
      </x:c>
      <x:c r="E10" s="73" t="n">
        <x:v>0.15</x:v>
      </x:c>
      <x:c r="F10" s="63" t="n">
        <x:f>D10*E10</x:f>
        <x:v>0.07538966897039444</x:v>
      </x:c>
      <x:c r="G10" s="63" t="n">
        <x:v>0</x:v>
      </x:c>
      <x:c r="H10" s="63" t="n">
        <x:v>0</x:v>
      </x:c>
      <x:c r="I10" s="63" t="n">
        <x:v>0</x:v>
      </x:c>
      <x:c r="J10" s="61" t="n">
        <x:v>24</x:v>
      </x:c>
      <x:c r="K10" s="61" t="n">
        <x:f>SUMIFS('Propagation Slots'!$G$5:$G$22,'Propagation Slots'!$B$5:$B$22,B10)</x:f>
        <x:v>0</x:v>
      </x:c>
      <x:c r="L10" s="61" t="n">
        <x:v>0</x:v>
      </x:c>
      <x:c r="M10" s="60" t="str">
        <x:f>IF(K10=0,IF(AND(G10=0,H10=0,I10=0,L10=0),"NO CHANGE", "INVALID"),IF(AND(K10=3,G10&gt;0,H10&lt;=G10,I10=0,L10&gt;0),"SAFETY AUTHORIZED","ROOT HOLD"))</x:f>
        <x:v>NO CHANGE</x:v>
      </x:c>
    </x:row>
    <x:row r="11">
      <x:c r="A11" s="74" t="str">
        <x:v>TOTAL</x:v>
      </x:c>
      <x:c r="B11" s="74" t="str">
        <x:v>six roots</x:v>
      </x:c>
      <x:c r="C11" s="74" t="str">
        <x:v>root epochs</x:v>
      </x:c>
      <x:c r="D11" s="75" t="n">
        <x:f>SUM(D5:D10)</x:f>
        <x:v>3.586912819320566</x:v>
      </x:c>
      <x:c r="E11" s="74"/>
      <x:c r="F11" s="75" t="n">
        <x:f>SUM(F5:F10)</x:f>
        <x:v>0.5380369228980849</x:v>
      </x:c>
      <x:c r="G11" s="75" t="n">
        <x:f>SUM(G5:G10)</x:f>
        <x:v>0</x:v>
      </x:c>
      <x:c r="H11" s="75" t="n">
        <x:f>SUM(H5:H10)</x:f>
        <x:v>0</x:v>
      </x:c>
      <x:c r="I11" s="75" t="n">
        <x:f>SUM(I5:I10)</x:f>
        <x:v>0</x:v>
      </x:c>
      <x:c r="J11" s="76" t="n">
        <x:f>MAX(J5:J10)</x:f>
        <x:v>24</x:v>
      </x:c>
      <x:c r="K11" s="76" t="n">
        <x:f>SUM(K5:K10)</x:f>
        <x:v>0</x:v>
      </x:c>
      <x:c r="L11" s="76" t="n">
        <x:f>SUM(L5:L10)</x:f>
        <x:v>0</x:v>
      </x:c>
      <x:c r="M11" s="74" t="str">
        <x:f>IF(AND(G11=0,H11=0,I11=0,K11=0,L11=0),"BASELINE / HELD","CHECK ROOTS")</x:f>
        <x:v>BASELINE / HELD</x:v>
      </x:c>
    </x:row>
  </x:sheetData>
  <x:mergeCells>
    <x:mergeCell ref="A2:M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61" hidden="0" customWidth="1"/>
    <x:col min="3" max="3" width="55" hidden="0" customWidth="1"/>
    <x:col min="4" max="4" width="14" hidden="0" customWidth="1"/>
    <x:col min="5" max="5" width="14" hidden="0" customWidth="1"/>
  </x:cols>
  <x:sheetData>
    <x:row r="2">
      <x:c r="A2" s="54" t="str">
        <x:v>Mutation-test register</x:v>
      </x:c>
      <x:c r="B2" s="55"/>
      <x:c r="C2" s="55"/>
      <x:c r="D2" s="55"/>
      <x:c r="E2" s="55"/>
    </x:row>
    <x:row r="3">
      <x:c r="A3" s="56"/>
      <x:c r="B3" s="56"/>
      <x:c r="C3" s="56"/>
      <x:c r="D3" s="56"/>
      <x:c r="E3" s="56"/>
    </x:row>
    <x:row r="4" ht="32" customHeight="1">
      <x:c r="A4" s="14" t="str">
        <x:v>Mutation</x:v>
      </x:c>
      <x:c r="B4" s="15" t="str">
        <x:v>Controlled change</x:v>
      </x:c>
      <x:c r="C4" s="15" t="str">
        <x:v>Expected detection</x:v>
      </x:c>
      <x:c r="D4" s="15" t="str">
        <x:v>Detected</x:v>
      </x:c>
      <x:c r="E4" s="16" t="str">
        <x:v>Restored</x:v>
      </x:c>
    </x:row>
    <x:row r="5">
      <x:c r="A5" s="57" t="str">
        <x:v>M01</x:v>
      </x:c>
      <x:c r="B5" s="57" t="str">
        <x:v>select a failing protocol</x:v>
      </x:c>
      <x:c r="C5" s="57" t="str">
        <x:v>candidate selection fails</x:v>
      </x:c>
      <x:c r="D5" s="58" t="n">
        <x:v>1</x:v>
      </x:c>
      <x:c r="E5" s="58" t="n">
        <x:v>1</x:v>
      </x:c>
    </x:row>
    <x:row r="6">
      <x:c r="A6" s="60" t="str">
        <x:v>M02</x:v>
      </x:c>
      <x:c r="B6" s="60" t="str">
        <x:v>share a prohibited field</x:v>
      </x:c>
      <x:c r="C6" s="60" t="str">
        <x:v>contract firewall fails</x:v>
      </x:c>
      <x:c r="D6" s="61" t="n">
        <x:v>1</x:v>
      </x:c>
      <x:c r="E6" s="61" t="n">
        <x:v>1</x:v>
      </x:c>
    </x:row>
    <x:row r="7">
      <x:c r="A7" s="60" t="str">
        <x:v>M03</x:v>
      </x:c>
      <x:c r="B7" s="60" t="str">
        <x:v>remove a required field</x:v>
      </x:c>
      <x:c r="C7" s="60" t="str">
        <x:v>contract completeness fails</x:v>
      </x:c>
      <x:c r="D7" s="61" t="n">
        <x:v>1</x:v>
      </x:c>
      <x:c r="E7" s="61" t="n">
        <x:v>1</x:v>
      </x:c>
    </x:row>
    <x:row r="8">
      <x:c r="A8" s="60" t="str">
        <x:v>M04</x:v>
      </x:c>
      <x:c r="B8" s="60" t="str">
        <x:v>give raw data to a translator</x:v>
      </x:c>
      <x:c r="C8" s="60" t="str">
        <x:v>raw-to-design separation fails</x:v>
      </x:c>
      <x:c r="D8" s="61" t="n">
        <x:v>1</x:v>
      </x:c>
      <x:c r="E8" s="61" t="n">
        <x:v>1</x:v>
      </x:c>
    </x:row>
    <x:row r="9">
      <x:c r="A9" s="60" t="str">
        <x:v>M05</x:v>
      </x:c>
      <x:c r="B9" s="60" t="str">
        <x:v>combine epoch issue and test acceptance</x:v>
      </x:c>
      <x:c r="C9" s="60" t="str">
        <x:v>issue-test separation fails</x:v>
      </x:c>
      <x:c r="D9" s="61" t="n">
        <x:v>1</x:v>
      </x:c>
      <x:c r="E9" s="61" t="n">
        <x:v>1</x:v>
      </x:c>
    </x:row>
    <x:row r="10">
      <x:c r="A10" s="60" t="str">
        <x:v>M06</x:v>
      </x:c>
      <x:c r="B10" s="60" t="str">
        <x:v>permit performance comparison</x:v>
      </x:c>
      <x:c r="C10" s="60" t="str">
        <x:v>role state fails</x:v>
      </x:c>
      <x:c r="D10" s="61" t="n">
        <x:v>1</x:v>
      </x:c>
      <x:c r="E10" s="61" t="n">
        <x:v>1</x:v>
      </x:c>
    </x:row>
    <x:row r="11">
      <x:c r="A11" s="60" t="str">
        <x:v>M07</x:v>
      </x:c>
      <x:c r="B11" s="60" t="str">
        <x:v>grant evidence credit in state machine</x:v>
      </x:c>
      <x:c r="C11" s="60" t="str">
        <x:v>state nonconversion fails</x:v>
      </x:c>
      <x:c r="D11" s="61" t="n">
        <x:v>1</x:v>
      </x:c>
      <x:c r="E11" s="61" t="n">
        <x:v>1</x:v>
      </x:c>
    </x:row>
    <x:row r="12">
      <x:c r="A12" s="60" t="str">
        <x:v>M08</x:v>
      </x:c>
      <x:c r="B12" s="60" t="str">
        <x:v>grant selection credit in state machine</x:v>
      </x:c>
      <x:c r="C12" s="60" t="str">
        <x:v>state nonconversion fails</x:v>
      </x:c>
      <x:c r="D12" s="61" t="n">
        <x:v>1</x:v>
      </x:c>
      <x:c r="E12" s="61" t="n">
        <x:v>1</x:v>
      </x:c>
    </x:row>
    <x:row r="13">
      <x:c r="A13" s="60" t="str">
        <x:v>M09</x:v>
      </x:c>
      <x:c r="B13" s="60" t="str">
        <x:v>misclassify a performance case as safety</x:v>
      </x:c>
      <x:c r="C13" s="60" t="str">
        <x:v>case disposition count fails</x:v>
      </x:c>
      <x:c r="D13" s="61" t="n">
        <x:v>1</x:v>
      </x:c>
      <x:c r="E13" s="61" t="n">
        <x:v>1</x:v>
      </x:c>
    </x:row>
    <x:row r="14">
      <x:c r="A14" s="60" t="str">
        <x:v>M10</x:v>
      </x:c>
      <x:c r="B14" s="60" t="str">
        <x:v>remove ambiguity from a harmful unknown</x:v>
      </x:c>
      <x:c r="C14" s="60" t="str">
        <x:v>case hold count fails</x:v>
      </x:c>
      <x:c r="D14" s="61" t="n">
        <x:v>1</x:v>
      </x:c>
      <x:c r="E14" s="61" t="n">
        <x:v>1</x:v>
      </x:c>
    </x:row>
    <x:row r="15">
      <x:c r="A15" s="60" t="str">
        <x:v>M11</x:v>
      </x:c>
      <x:c r="B15" s="60" t="str">
        <x:v>issue one sibling warrant alone</x:v>
      </x:c>
      <x:c r="C15" s="60" t="str">
        <x:v>root propagation slot fails</x:v>
      </x:c>
      <x:c r="D15" s="61" t="n">
        <x:v>1</x:v>
      </x:c>
      <x:c r="E15" s="61" t="n">
        <x:v>1</x:v>
      </x:c>
    </x:row>
    <x:row r="16">
      <x:c r="A16" s="60" t="str">
        <x:v>M12</x:v>
      </x:c>
      <x:c r="B16" s="60" t="str">
        <x:v>advance one sibling epoch alone</x:v>
      </x:c>
      <x:c r="C16" s="60" t="str">
        <x:v>epoch parity fails</x:v>
      </x:c>
      <x:c r="D16" s="61" t="n">
        <x:v>1</x:v>
      </x:c>
      <x:c r="E16" s="61" t="n">
        <x:v>1</x:v>
      </x:c>
    </x:row>
    <x:row r="17">
      <x:c r="A17" s="60" t="str">
        <x:v>M13</x:v>
      </x:c>
      <x:c r="B17" s="60" t="str">
        <x:v>unfreeze one form identity</x:v>
      </x:c>
      <x:c r="C17" s="60" t="str">
        <x:v>propagation slot fails</x:v>
      </x:c>
      <x:c r="D17" s="61" t="n">
        <x:v>1</x:v>
      </x:c>
      <x:c r="E17" s="61" t="n">
        <x:v>1</x:v>
      </x:c>
    </x:row>
    <x:row r="18">
      <x:c r="A18" s="60" t="str">
        <x:v>M14</x:v>
      </x:c>
      <x:c r="B18" s="60" t="str">
        <x:v>charge competitive budget for safety</x:v>
      </x:c>
      <x:c r="C18" s="60" t="str">
        <x:v>fiscal neutrality fails</x:v>
      </x:c>
      <x:c r="D18" s="61" t="n">
        <x:v>1</x:v>
      </x:c>
      <x:c r="E18" s="61" t="n">
        <x:v>1</x:v>
      </x:c>
    </x:row>
    <x:row r="19">
      <x:c r="A19" s="60" t="str">
        <x:v>M15</x:v>
      </x:c>
      <x:c r="B19" s="60" t="str">
        <x:v>enter a safety obligation without authority</x:v>
      </x:c>
      <x:c r="C19" s="60" t="str">
        <x:v>root state and obligation fail</x:v>
      </x:c>
      <x:c r="D19" s="61" t="n">
        <x:v>1</x:v>
      </x:c>
      <x:c r="E19" s="61" t="n">
        <x:v>1</x:v>
      </x:c>
    </x:row>
    <x:row r="20">
      <x:c r="A20" s="62" t="str">
        <x:v>M16</x:v>
      </x:c>
      <x:c r="B20" s="62" t="str">
        <x:v>enter a branch kill</x:v>
      </x:c>
      <x:c r="C20" s="62" t="str">
        <x:v>branch-kill control fails</x:v>
      </x:c>
      <x:c r="D20" s="64" t="n">
        <x:v>1</x:v>
      </x:c>
      <x:c r="E20" s="64" t="n">
        <x:v>1</x:v>
      </x:c>
    </x:row>
  </x:sheetData>
  <x:mergeCells>
    <x:mergeCell ref="A2:E2"/>
  </x:mergeCells>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50" hidden="0" customWidth="1"/>
    <x:col min="3" max="3" width="18" hidden="0" customWidth="1"/>
    <x:col min="4" max="4" width="18" hidden="0" customWidth="1"/>
    <x:col min="5" max="5" width="14" hidden="0" customWidth="1"/>
  </x:cols>
  <x:sheetData>
    <x:row r="2">
      <x:c r="A2" s="54" t="str">
        <x:v>Independent workbook checks</x:v>
      </x:c>
      <x:c r="B2" s="55"/>
      <x:c r="C2" s="55"/>
      <x:c r="D2" s="55"/>
      <x:c r="E2" s="55"/>
    </x:row>
    <x:row r="3">
      <x:c r="A3" s="56"/>
      <x:c r="B3" s="56"/>
      <x:c r="C3" s="56"/>
      <x:c r="D3" s="56"/>
      <x:c r="E3" s="56"/>
    </x:row>
    <x:row r="4" ht="32" customHeight="1">
      <x:c r="A4" s="14" t="str">
        <x:v>Audit</x:v>
      </x:c>
      <x:c r="B4" s="15" t="str">
        <x:v>Check</x:v>
      </x:c>
      <x:c r="C4" s="15" t="str">
        <x:v>Actual</x:v>
      </x:c>
      <x:c r="D4" s="15" t="str">
        <x:v>Expected</x:v>
      </x:c>
      <x:c r="E4" s="16" t="str">
        <x:v>Result</x:v>
      </x:c>
    </x:row>
    <x:row r="5">
      <x:c r="A5" s="57" t="str">
        <x:v>A01</x:v>
      </x:c>
      <x:c r="B5" s="57" t="str">
        <x:v>protocol candidates</x:v>
      </x:c>
      <x:c r="C5" s="77" t="n">
        <x:f>COUNTA('Protocol Candidates'!A5:A9)</x:f>
        <x:v>5</x:v>
      </x:c>
      <x:c r="D5" s="77" t="n">
        <x:v>5</x:v>
      </x:c>
      <x:c r="E5" s="57" t="str">
        <x:f>IF(ABS(C5-D5)&lt;0.0000001,"PASS","FAIL")</x:f>
        <x:v>PASS</x:v>
      </x:c>
    </x:row>
    <x:row r="6">
      <x:c r="A6" s="60" t="str">
        <x:v>A02</x:v>
      </x:c>
      <x:c r="B6" s="60" t="str">
        <x:v>one selected protocol</x:v>
      </x:c>
      <x:c r="C6" s="78" t="n">
        <x:f>SUM('Protocol Candidates'!N5:N9)</x:f>
        <x:v>1</x:v>
      </x:c>
      <x:c r="D6" s="78" t="n">
        <x:v>1</x:v>
      </x:c>
      <x:c r="E6" s="60" t="str">
        <x:f>IF(ABS(C6-D6)&lt;0.0000001,"PASS","FAIL")</x:f>
        <x:v>PASS</x:v>
      </x:c>
    </x:row>
    <x:row r="7">
      <x:c r="A7" s="60" t="str">
        <x:v>A03</x:v>
      </x:c>
      <x:c r="B7" s="60" t="str">
        <x:v>selected protocol gates</x:v>
      </x:c>
      <x:c r="C7" s="78" t="n">
        <x:f>SUMIFS('Protocol Candidates'!M5:M9,'Protocol Candidates'!N5:N9,1)</x:f>
        <x:v>10</x:v>
      </x:c>
      <x:c r="D7" s="78" t="n">
        <x:v>10</x:v>
      </x:c>
      <x:c r="E7" s="60" t="str">
        <x:f>IF(ABS(C7-D7)&lt;0.0000001,"PASS","FAIL")</x:f>
        <x:v>PASS</x:v>
      </x:c>
    </x:row>
    <x:row r="8">
      <x:c r="A8" s="60" t="str">
        <x:v>A04</x:v>
      </x:c>
      <x:c r="B8" s="60" t="str">
        <x:v>contract fields</x:v>
      </x:c>
      <x:c r="C8" s="78" t="n">
        <x:f>COUNTA('Warrant Contract'!B5:B26)</x:f>
        <x:v>22</x:v>
      </x:c>
      <x:c r="D8" s="78" t="n">
        <x:v>22</x:v>
      </x:c>
      <x:c r="E8" s="60" t="str">
        <x:f>IF(ABS(C8-D8)&lt;0.0000001,"PASS","FAIL")</x:f>
        <x:v>PASS</x:v>
      </x:c>
    </x:row>
    <x:row r="9">
      <x:c r="A9" s="60" t="str">
        <x:v>A05</x:v>
      </x:c>
      <x:c r="B9" s="60" t="str">
        <x:v>required shared fields</x:v>
      </x:c>
      <x:c r="C9" s="78" t="n">
        <x:f>COUNTIFS('Warrant Contract'!A5:A26,"REQUIRED")</x:f>
        <x:v>12</x:v>
      </x:c>
      <x:c r="D9" s="78" t="n">
        <x:v>12</x:v>
      </x:c>
      <x:c r="E9" s="60" t="str">
        <x:f>IF(ABS(C9-D9)&lt;0.0000001,"PASS","FAIL")</x:f>
        <x:v>PASS</x:v>
      </x:c>
    </x:row>
    <x:row r="10">
      <x:c r="A10" s="60" t="str">
        <x:v>A06</x:v>
      </x:c>
      <x:c r="B10" s="60" t="str">
        <x:v>prohibited shared fields</x:v>
      </x:c>
      <x:c r="C10" s="78" t="n">
        <x:f>COUNTIFS('Warrant Contract'!A5:A26,"PROHIBITED")</x:f>
        <x:v>10</x:v>
      </x:c>
      <x:c r="D10" s="78" t="n">
        <x:v>10</x:v>
      </x:c>
      <x:c r="E10" s="60" t="str">
        <x:f>IF(ABS(C10-D10)&lt;0.0000001,"PASS","FAIL")</x:f>
        <x:v>PASS</x:v>
      </x:c>
    </x:row>
    <x:row r="11">
      <x:c r="A11" s="60" t="str">
        <x:v>A07</x:v>
      </x:c>
      <x:c r="B11" s="60" t="str">
        <x:v>complete contract fields</x:v>
      </x:c>
      <x:c r="C11" s="78" t="n">
        <x:f>COUNTIFS('Warrant Contract'!G5:G26,"PASS")</x:f>
        <x:v>22</x:v>
      </x:c>
      <x:c r="D11" s="78" t="n">
        <x:v>22</x:v>
      </x:c>
      <x:c r="E11" s="60" t="str">
        <x:f>IF(ABS(C11-D11)&lt;0.0000001,"PASS","FAIL")</x:f>
        <x:v>PASS</x:v>
      </x:c>
    </x:row>
    <x:row r="12">
      <x:c r="A12" s="60" t="str">
        <x:v>A08</x:v>
      </x:c>
      <x:c r="B12" s="60" t="str">
        <x:v>prohibited content blocked</x:v>
      </x:c>
      <x:c r="C12" s="78" t="n">
        <x:f>COUNTIFS('Warrant Contract'!A5:A26,"PROHIBITED",'Warrant Contract'!C5:C26,0)</x:f>
        <x:v>10</x:v>
      </x:c>
      <x:c r="D12" s="78" t="n">
        <x:v>10</x:v>
      </x:c>
      <x:c r="E12" s="60" t="str">
        <x:f>IF(ABS(C12-D12)&lt;0.0000001,"PASS","FAIL")</x:f>
        <x:v>PASS</x:v>
      </x:c>
    </x:row>
    <x:row r="13">
      <x:c r="A13" s="60" t="str">
        <x:v>A09</x:v>
      </x:c>
      <x:c r="B13" s="60" t="str">
        <x:v>authority roles</x:v>
      </x:c>
      <x:c r="C13" s="78" t="n">
        <x:f>COUNTA('Authority Matrix'!A5:A16)</x:f>
        <x:v>12</x:v>
      </x:c>
      <x:c r="D13" s="78" t="n">
        <x:v>12</x:v>
      </x:c>
      <x:c r="E13" s="60" t="str">
        <x:f>IF(ABS(C13-D13)&lt;0.0000001,"PASS","FAIL")</x:f>
        <x:v>PASS</x:v>
      </x:c>
    </x:row>
    <x:row r="14">
      <x:c r="A14" s="60" t="str">
        <x:v>A10</x:v>
      </x:c>
      <x:c r="B14" s="60" t="str">
        <x:v>separated role states</x:v>
      </x:c>
      <x:c r="C14" s="78" t="n">
        <x:f>COUNTIFS('Authority Matrix'!P5:P16,"PASS")</x:f>
        <x:v>12</x:v>
      </x:c>
      <x:c r="D14" s="78" t="n">
        <x:v>12</x:v>
      </x:c>
      <x:c r="E14" s="60" t="str">
        <x:f>IF(ABS(C14-D14)&lt;0.0000001,"PASS","FAIL")</x:f>
        <x:v>PASS</x:v>
      </x:c>
    </x:row>
    <x:row r="15">
      <x:c r="A15" s="60" t="str">
        <x:v>A11</x:v>
      </x:c>
      <x:c r="B15" s="60" t="str">
        <x:v>performance comparison privileges</x:v>
      </x:c>
      <x:c r="C15" s="78" t="n">
        <x:f>SUM('Authority Matrix'!K5:K16)</x:f>
        <x:v>0</x:v>
      </x:c>
      <x:c r="D15" s="78" t="n">
        <x:v>0</x:v>
      </x:c>
      <x:c r="E15" s="60" t="str">
        <x:f>IF(ABS(C15-D15)&lt;0.0000001,"PASS","FAIL")</x:f>
        <x:v>PASS</x:v>
      </x:c>
    </x:row>
    <x:row r="16">
      <x:c r="A16" s="60" t="str">
        <x:v>A12</x:v>
      </x:c>
      <x:c r="B16" s="60" t="str">
        <x:v>root epoch issuers</x:v>
      </x:c>
      <x:c r="C16" s="78" t="n">
        <x:f>SUM('Authority Matrix'!H5:H16)</x:f>
        <x:v>1</x:v>
      </x:c>
      <x:c r="D16" s="78" t="n">
        <x:v>1</x:v>
      </x:c>
      <x:c r="E16" s="60" t="str">
        <x:f>IF(ABS(C16-D16)&lt;0.0000001,"PASS","FAIL")</x:f>
        <x:v>PASS</x:v>
      </x:c>
    </x:row>
    <x:row r="17">
      <x:c r="A17" s="60" t="str">
        <x:v>A13</x:v>
      </x:c>
      <x:c r="B17" s="60" t="str">
        <x:v>safety test accepters</x:v>
      </x:c>
      <x:c r="C17" s="78" t="n">
        <x:f>SUM('Authority Matrix'!J5:J16)</x:f>
        <x:v>1</x:v>
      </x:c>
      <x:c r="D17" s="78" t="n">
        <x:v>1</x:v>
      </x:c>
      <x:c r="E17" s="60" t="str">
        <x:f>IF(ABS(C17-D17)&lt;0.0000001,"PASS","FAIL")</x:f>
        <x:v>PASS</x:v>
      </x:c>
    </x:row>
    <x:row r="18">
      <x:c r="A18" s="60" t="str">
        <x:v>A14</x:v>
      </x:c>
      <x:c r="B18" s="60" t="str">
        <x:v>independent sibling translators</x:v>
      </x:c>
      <x:c r="C18" s="78" t="n">
        <x:f>SUM('Authority Matrix'!I5:I16)</x:f>
        <x:v>3</x:v>
      </x:c>
      <x:c r="D18" s="78" t="n">
        <x:v>3</x:v>
      </x:c>
      <x:c r="E18" s="60" t="str">
        <x:f>IF(ABS(C18-D18)&lt;0.0000001,"PASS","FAIL")</x:f>
        <x:v>PASS</x:v>
      </x:c>
    </x:row>
    <x:row r="19">
      <x:c r="A19" s="60" t="str">
        <x:v>A15</x:v>
      </x:c>
      <x:c r="B19" s="60" t="str">
        <x:v>state-machine records</x:v>
      </x:c>
      <x:c r="C19" s="78" t="n">
        <x:f>COUNTA('State Machine'!A5:A16)</x:f>
        <x:v>12</x:v>
      </x:c>
      <x:c r="D19" s="78" t="n">
        <x:v>12</x:v>
      </x:c>
      <x:c r="E19" s="60" t="str">
        <x:f>IF(ABS(C19-D19)&lt;0.0000001,"PASS","FAIL")</x:f>
        <x:v>PASS</x:v>
      </x:c>
    </x:row>
    <x:row r="20">
      <x:c r="A20" s="60" t="str">
        <x:v>A16</x:v>
      </x:c>
      <x:c r="B20" s="60" t="str">
        <x:v>complete state records</x:v>
      </x:c>
      <x:c r="C20" s="78" t="n">
        <x:f>COUNTIFS('State Machine'!K5:K16,"PASS")</x:f>
        <x:v>12</x:v>
      </x:c>
      <x:c r="D20" s="78" t="n">
        <x:v>12</x:v>
      </x:c>
      <x:c r="E20" s="60" t="str">
        <x:f>IF(ABS(C20-D20)&lt;0.0000001,"PASS","FAIL")</x:f>
        <x:v>PASS</x:v>
      </x:c>
    </x:row>
    <x:row r="21">
      <x:c r="A21" s="60" t="str">
        <x:v>A17</x:v>
      </x:c>
      <x:c r="B21" s="60" t="str">
        <x:v>performance payload permissions</x:v>
      </x:c>
      <x:c r="C21" s="78" t="n">
        <x:f>SUM('State Machine'!G5:G16)</x:f>
        <x:v>0</x:v>
      </x:c>
      <x:c r="D21" s="78" t="n">
        <x:v>0</x:v>
      </x:c>
      <x:c r="E21" s="60" t="str">
        <x:f>IF(ABS(C21-D21)&lt;0.0000001,"PASS","FAIL")</x:f>
        <x:v>PASS</x:v>
      </x:c>
    </x:row>
    <x:row r="22">
      <x:c r="A22" s="60" t="str">
        <x:v>A18</x:v>
      </x:c>
      <x:c r="B22" s="60" t="str">
        <x:v>evidence credit</x:v>
      </x:c>
      <x:c r="C22" s="78" t="n">
        <x:f>SUM('State Machine'!H5:H16)</x:f>
        <x:v>0</x:v>
      </x:c>
      <x:c r="D22" s="78" t="n">
        <x:v>0</x:v>
      </x:c>
      <x:c r="E22" s="60" t="str">
        <x:f>IF(ABS(C22-D22)&lt;0.0000001,"PASS","FAIL")</x:f>
        <x:v>PASS</x:v>
      </x:c>
    </x:row>
    <x:row r="23">
      <x:c r="A23" s="60" t="str">
        <x:v>A19</x:v>
      </x:c>
      <x:c r="B23" s="60" t="str">
        <x:v>selection credit</x:v>
      </x:c>
      <x:c r="C23" s="78" t="n">
        <x:f>SUM('State Machine'!I5:I16)</x:f>
        <x:v>0</x:v>
      </x:c>
      <x:c r="D23" s="78" t="n">
        <x:v>0</x:v>
      </x:c>
      <x:c r="E23" s="60" t="str">
        <x:f>IF(ABS(C23-D23)&lt;0.0000001,"PASS","FAIL")</x:f>
        <x:v>PASS</x:v>
      </x:c>
    </x:row>
    <x:row r="24">
      <x:c r="A24" s="60" t="str">
        <x:v>A20</x:v>
      </x:c>
      <x:c r="B24" s="60" t="str">
        <x:v>synthetic cases</x:v>
      </x:c>
      <x:c r="C24" s="78" t="n">
        <x:f>COUNTA('Case Tests'!A5:A16)</x:f>
        <x:v>12</x:v>
      </x:c>
      <x:c r="D24" s="78" t="n">
        <x:v>12</x:v>
      </x:c>
      <x:c r="E24" s="60" t="str">
        <x:f>IF(ABS(C24-D24)&lt;0.0000001,"PASS","FAIL")</x:f>
        <x:v>PASS</x:v>
      </x:c>
    </x:row>
    <x:row r="25">
      <x:c r="A25" s="60" t="str">
        <x:v>A21</x:v>
      </x:c>
      <x:c r="B25" s="60" t="str">
        <x:v>propagate-safety cases</x:v>
      </x:c>
      <x:c r="C25" s="78" t="n">
        <x:f>COUNTIFS('Case Tests'!L5:L16,"PROPAGATE SAFETY")</x:f>
        <x:v>4</x:v>
      </x:c>
      <x:c r="D25" s="78" t="n">
        <x:v>4</x:v>
      </x:c>
      <x:c r="E25" s="60" t="str">
        <x:f>IF(ABS(C25-D25)&lt;0.0000001,"PASS","FAIL")</x:f>
        <x:v>PASS</x:v>
      </x:c>
    </x:row>
    <x:row r="26">
      <x:c r="A26" s="60" t="str">
        <x:v>A22</x:v>
      </x:c>
      <x:c r="B26" s="60" t="str">
        <x:v>sealed-performance cases</x:v>
      </x:c>
      <x:c r="C26" s="78" t="n">
        <x:f>COUNTIFS('Case Tests'!L5:L16,"SEALED PERFORMANCE")</x:f>
        <x:v>4</x:v>
      </x:c>
      <x:c r="D26" s="78" t="n">
        <x:v>4</x:v>
      </x:c>
      <x:c r="E26" s="60" t="str">
        <x:f>IF(ABS(C26-D26)&lt;0.0000001,"PASS","FAIL")</x:f>
        <x:v>PASS</x:v>
      </x:c>
    </x:row>
    <x:row r="27">
      <x:c r="A27" s="60" t="str">
        <x:v>A23</x:v>
      </x:c>
      <x:c r="B27" s="60" t="str">
        <x:v>root-hold cases</x:v>
      </x:c>
      <x:c r="C27" s="78" t="n">
        <x:f>COUNTIFS('Case Tests'!L5:L16,"ROOT HOLD")</x:f>
        <x:v>4</x:v>
      </x:c>
      <x:c r="D27" s="78" t="n">
        <x:v>4</x:v>
      </x:c>
      <x:c r="E27" s="60" t="str">
        <x:f>IF(ABS(C27-D27)&lt;0.0000001,"PASS","FAIL")</x:f>
        <x:v>PASS</x:v>
      </x:c>
    </x:row>
    <x:row r="28">
      <x:c r="A28" s="60" t="str">
        <x:v>A24</x:v>
      </x:c>
      <x:c r="B28" s="60" t="str">
        <x:v>classified cases</x:v>
      </x:c>
      <x:c r="C28" s="78" t="n">
        <x:f>COUNTA('Case Tests'!L5:L16)</x:f>
        <x:v>12</x:v>
      </x:c>
      <x:c r="D28" s="78" t="n">
        <x:v>12</x:v>
      </x:c>
      <x:c r="E28" s="60" t="str">
        <x:f>IF(ABS(C28-D28)&lt;0.0000001,"PASS","FAIL")</x:f>
        <x:v>PASS</x:v>
      </x:c>
    </x:row>
    <x:row r="29">
      <x:c r="A29" s="60" t="str">
        <x:v>A25</x:v>
      </x:c>
      <x:c r="B29" s="60" t="str">
        <x:v>propagation slots</x:v>
      </x:c>
      <x:c r="C29" s="78" t="n">
        <x:f>COUNTA('Propagation Slots'!A5:A22)</x:f>
        <x:v>18</x:v>
      </x:c>
      <x:c r="D29" s="78" t="n">
        <x:v>18</x:v>
      </x:c>
      <x:c r="E29" s="60" t="str">
        <x:f>IF(ABS(C29-D29)&lt;0.0000001,"PASS","FAIL")</x:f>
        <x:v>PASS</x:v>
      </x:c>
    </x:row>
    <x:row r="30">
      <x:c r="A30" s="60" t="str">
        <x:v>A26</x:v>
      </x:c>
      <x:c r="B30" s="60" t="str">
        <x:v>unique form slots</x:v>
      </x:c>
      <x:c r="C30" s="78" t="n">
        <x:f>COUNTIFS('Propagation Slots'!R5:R22,1)</x:f>
        <x:v>18</x:v>
      </x:c>
      <x:c r="D30" s="78" t="n">
        <x:v>18</x:v>
      </x:c>
      <x:c r="E30" s="60" t="str">
        <x:f>IF(ABS(C30-D30)&lt;0.0000001,"PASS","FAIL")</x:f>
        <x:v>PASS</x:v>
      </x:c>
    </x:row>
    <x:row r="31">
      <x:c r="A31" s="60" t="str">
        <x:v>A27</x:v>
      </x:c>
      <x:c r="B31" s="60" t="str">
        <x:v>frozen form identities</x:v>
      </x:c>
      <x:c r="C31" s="78" t="n">
        <x:f>SUM('Propagation Slots'!H5:H22)</x:f>
        <x:v>18</x:v>
      </x:c>
      <x:c r="D31" s="78" t="n">
        <x:v>18</x:v>
      </x:c>
      <x:c r="E31" s="60" t="str">
        <x:f>IF(ABS(C31-D31)&lt;0.0000001,"PASS","FAIL")</x:f>
        <x:v>PASS</x:v>
      </x:c>
    </x:row>
    <x:row r="32">
      <x:c r="A32" s="60" t="str">
        <x:v>A28</x:v>
      </x:c>
      <x:c r="B32" s="60" t="str">
        <x:v>raw access in translation slots</x:v>
      </x:c>
      <x:c r="C32" s="78" t="n">
        <x:f>SUM('Propagation Slots'!J5:J22)</x:f>
        <x:v>0</x:v>
      </x:c>
      <x:c r="D32" s="78" t="n">
        <x:v>0</x:v>
      </x:c>
      <x:c r="E32" s="60" t="str">
        <x:f>IF(ABS(C32-D32)&lt;0.0000001,"PASS","FAIL")</x:f>
        <x:v>PASS</x:v>
      </x:c>
    </x:row>
    <x:row r="33">
      <x:c r="A33" s="60" t="str">
        <x:v>A29</x:v>
      </x:c>
      <x:c r="B33" s="60" t="str">
        <x:v>baseline-ready slots</x:v>
      </x:c>
      <x:c r="C33" s="78" t="n">
        <x:f>COUNTIFS('Propagation Slots'!Q5:Q22,"BASELINE / READY")</x:f>
        <x:v>18</x:v>
      </x:c>
      <x:c r="D33" s="78" t="n">
        <x:v>18</x:v>
      </x:c>
      <x:c r="E33" s="60" t="str">
        <x:f>IF(ABS(C33-D33)&lt;0.0000001,"PASS","FAIL")</x:f>
        <x:v>PASS</x:v>
      </x:c>
    </x:row>
    <x:row r="34">
      <x:c r="A34" s="60" t="str">
        <x:v>A30</x:v>
      </x:c>
      <x:c r="B34" s="60" t="str">
        <x:v>issued safety warrants</x:v>
      </x:c>
      <x:c r="C34" s="78" t="n">
        <x:f>SUM('Propagation Slots'!G5:G22)</x:f>
        <x:v>0</x:v>
      </x:c>
      <x:c r="D34" s="78" t="n">
        <x:v>0</x:v>
      </x:c>
      <x:c r="E34" s="60" t="str">
        <x:f>IF(ABS(C34-D34)&lt;0.0000001,"PASS","FAIL")</x:f>
        <x:v>PASS</x:v>
      </x:c>
    </x:row>
    <x:row r="35">
      <x:c r="A35" s="60" t="str">
        <x:v>A31</x:v>
      </x:c>
      <x:c r="B35" s="60" t="str">
        <x:v>root records</x:v>
      </x:c>
      <x:c r="C35" s="78" t="n">
        <x:f>COUNTA('Fiscal &amp; Clock'!A5:A10)</x:f>
        <x:v>6</x:v>
      </x:c>
      <x:c r="D35" s="78" t="n">
        <x:v>6</x:v>
      </x:c>
      <x:c r="E35" s="60" t="str">
        <x:f>IF(ABS(C35-D35)&lt;0.0000001,"PASS","FAIL")</x:f>
        <x:v>PASS</x:v>
      </x:c>
    </x:row>
    <x:row r="36">
      <x:c r="A36" s="60" t="str">
        <x:v>A32</x:v>
      </x:c>
      <x:c r="B36" s="60" t="str">
        <x:v>FRAME reserve</x:v>
      </x:c>
      <x:c r="C36" s="78" t="n">
        <x:f>'Fiscal &amp; Clock'!F11</x:f>
        <x:v>0.5380369228980849</x:v>
      </x:c>
      <x:c r="D36" s="78" t="n">
        <x:v>0.5380369228980849</x:v>
      </x:c>
      <x:c r="E36" s="60" t="str">
        <x:f>IF(ABS(C36-D36)&lt;0.0000001,"PASS","FAIL")</x:f>
        <x:v>PASS</x:v>
      </x:c>
    </x:row>
    <x:row r="37">
      <x:c r="A37" s="60" t="str">
        <x:v>A33</x:v>
      </x:c>
      <x:c r="B37" s="60" t="str">
        <x:v>safety equalization ceiling</x:v>
      </x:c>
      <x:c r="C37" s="78" t="n">
        <x:f>'Fiscal &amp; Clock'!G11</x:f>
        <x:v>0</x:v>
      </x:c>
      <x:c r="D37" s="78" t="n">
        <x:v>0</x:v>
      </x:c>
      <x:c r="E37" s="60" t="str">
        <x:f>IF(ABS(C37-D37)&lt;0.0000001,"PASS","FAIL")</x:f>
        <x:v>PASS</x:v>
      </x:c>
    </x:row>
    <x:row r="38">
      <x:c r="A38" s="60" t="str">
        <x:v>A34</x:v>
      </x:c>
      <x:c r="B38" s="60" t="str">
        <x:v>competitive budget delta</x:v>
      </x:c>
      <x:c r="C38" s="78" t="n">
        <x:f>'Fiscal &amp; Clock'!I11</x:f>
        <x:v>0</x:v>
      </x:c>
      <x:c r="D38" s="78" t="n">
        <x:v>0</x:v>
      </x:c>
      <x:c r="E38" s="60" t="str">
        <x:f>IF(ABS(C38-D38)&lt;0.0000001,"PASS","FAIL")</x:f>
        <x:v>PASS</x:v>
      </x:c>
    </x:row>
    <x:row r="39">
      <x:c r="A39" s="60" t="str">
        <x:v>A35</x:v>
      </x:c>
      <x:c r="B39" s="60" t="str">
        <x:v>safety obligation</x:v>
      </x:c>
      <x:c r="C39" s="78" t="n">
        <x:f>'Fiscal &amp; Clock'!H11</x:f>
        <x:v>0</x:v>
      </x:c>
      <x:c r="D39" s="78" t="n">
        <x:v>0</x:v>
      </x:c>
      <x:c r="E39" s="60" t="str">
        <x:f>IF(ABS(C39-D39)&lt;0.0000001,"PASS","FAIL")</x:f>
        <x:v>PASS</x:v>
      </x:c>
    </x:row>
    <x:row r="40">
      <x:c r="A40" s="60" t="str">
        <x:v>A36</x:v>
      </x:c>
      <x:c r="B40" s="60" t="str">
        <x:v>total obligation</x:v>
      </x:c>
      <x:c r="C40" s="78" t="n">
        <x:f>Controls!B19</x:f>
        <x:v>0</x:v>
      </x:c>
      <x:c r="D40" s="78" t="n">
        <x:v>0</x:v>
      </x:c>
      <x:c r="E40" s="60" t="str">
        <x:f>IF(ABS(C40-D40)&lt;0.0000001,"PASS","FAIL")</x:f>
        <x:v>PASS</x:v>
      </x:c>
    </x:row>
    <x:row r="41">
      <x:c r="A41" s="60" t="str">
        <x:v>A37</x:v>
      </x:c>
      <x:c r="B41" s="60" t="str">
        <x:v>paid amount</x:v>
      </x:c>
      <x:c r="C41" s="78" t="n">
        <x:f>Controls!B20</x:f>
        <x:v>0</x:v>
      </x:c>
      <x:c r="D41" s="78" t="n">
        <x:v>0</x:v>
      </x:c>
      <x:c r="E41" s="60" t="str">
        <x:f>IF(ABS(C41-D41)&lt;0.0000001,"PASS","FAIL")</x:f>
        <x:v>PASS</x:v>
      </x:c>
    </x:row>
    <x:row r="42">
      <x:c r="A42" s="60" t="str">
        <x:v>A38</x:v>
      </x:c>
      <x:c r="B42" s="60" t="str">
        <x:v>accepted observations</x:v>
      </x:c>
      <x:c r="C42" s="78" t="n">
        <x:f>Controls!B21</x:f>
        <x:v>0</x:v>
      </x:c>
      <x:c r="D42" s="78" t="n">
        <x:v>0</x:v>
      </x:c>
      <x:c r="E42" s="60" t="str">
        <x:f>IF(ABS(C42-D42)&lt;0.0000001,"PASS","FAIL")</x:f>
        <x:v>PASS</x:v>
      </x:c>
    </x:row>
    <x:row r="43">
      <x:c r="A43" s="60" t="str">
        <x:v>A39</x:v>
      </x:c>
      <x:c r="B43" s="60" t="str">
        <x:v>selected forms</x:v>
      </x:c>
      <x:c r="C43" s="78" t="n">
        <x:f>Controls!B22</x:f>
        <x:v>0</x:v>
      </x:c>
      <x:c r="D43" s="78" t="n">
        <x:v>0</x:v>
      </x:c>
      <x:c r="E43" s="60" t="str">
        <x:f>IF(ABS(C43-D43)&lt;0.0000001,"PASS","FAIL")</x:f>
        <x:v>PASS</x:v>
      </x:c>
    </x:row>
    <x:row r="44">
      <x:c r="A44" s="60" t="str">
        <x:v>A40</x:v>
      </x:c>
      <x:c r="B44" s="60" t="str">
        <x:v>branch kills</x:v>
      </x:c>
      <x:c r="C44" s="78" t="n">
        <x:f>Controls!B23</x:f>
        <x:v>0</x:v>
      </x:c>
      <x:c r="D44" s="78" t="n">
        <x:v>0</x:v>
      </x:c>
      <x:c r="E44" s="60" t="str">
        <x:f>IF(ABS(C44-D44)&lt;0.0000001,"PASS","FAIL")</x:f>
        <x:v>PASS</x:v>
      </x:c>
    </x:row>
    <x:row r="45">
      <x:c r="A45" s="60" t="str">
        <x:v>A41</x:v>
      </x:c>
      <x:c r="B45" s="60" t="str">
        <x:v>mutations detected</x:v>
      </x:c>
      <x:c r="C45" s="78" t="n">
        <x:f>SUM(Mutations!D5:D20)</x:f>
        <x:v>16</x:v>
      </x:c>
      <x:c r="D45" s="78" t="n">
        <x:v>16</x:v>
      </x:c>
      <x:c r="E45" s="60" t="str">
        <x:f>IF(ABS(C45-D45)&lt;0.0000001,"PASS","FAIL")</x:f>
        <x:v>PASS</x:v>
      </x:c>
    </x:row>
    <x:row r="46">
      <x:c r="A46" s="62" t="str">
        <x:v>A42</x:v>
      </x:c>
      <x:c r="B46" s="62" t="str">
        <x:v>mutations restored</x:v>
      </x:c>
      <x:c r="C46" s="79" t="n">
        <x:f>SUM(Mutations!E5:E20)</x:f>
        <x:v>16</x:v>
      </x:c>
      <x:c r="D46" s="79" t="n">
        <x:v>16</x:v>
      </x:c>
      <x:c r="E46" s="62" t="str">
        <x:f>IF(ABS(C46-D46)&lt;0.0000001,"PASS","FAIL")</x:f>
        <x:v>PASS</x:v>
      </x:c>
    </x:row>
  </x:sheetData>
  <x:mergeCells>
    <x:mergeCell ref="A2:E2"/>
  </x:mergeCells>
  <x:conditionalFormatting sqref="E5:E46">
    <x:cfRule type="containsText" dxfId="6" priority="1" operator="containsText" text="FAIL"/>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44" hidden="0" customWidth="1"/>
    <x:col min="2" max="2" width="30" hidden="0" customWidth="1"/>
    <x:col min="3" max="3" width="68" hidden="0" customWidth="1"/>
    <x:col min="4" max="4" width="68" hidden="0" customWidth="1"/>
  </x:cols>
  <x:sheetData>
    <x:row r="2">
      <x:c r="A2" s="54" t="str">
        <x:v>Internal sources and limits</x:v>
      </x:c>
      <x:c r="B2" s="55"/>
      <x:c r="C2" s="55"/>
      <x:c r="D2" s="55"/>
    </x:row>
    <x:row r="3">
      <x:c r="A3" s="56"/>
      <x:c r="B3" s="56"/>
      <x:c r="C3" s="56"/>
      <x:c r="D3" s="56"/>
    </x:row>
    <x:row r="4" ht="32" customHeight="1">
      <x:c r="A4" s="14" t="str">
        <x:v>Source</x:v>
      </x:c>
      <x:c r="B4" s="15" t="str">
        <x:v>Role</x:v>
      </x:c>
      <x:c r="C4" s="15" t="str">
        <x:v>Use</x:v>
      </x:c>
      <x:c r="D4" s="16" t="str">
        <x:v>Limit</x:v>
      </x:c>
    </x:row>
    <x:row r="5">
      <x:c r="A5" s="57" t="str">
        <x:v>Pass 215 construction compact</x:v>
      </x:c>
      <x:c r="B5" s="57" t="str">
        <x:v>financial source</x:v>
      </x:c>
      <x:c r="C5" s="57" t="str">
        <x:v>root option ceilings and public failure capacity</x:v>
      </x:c>
      <x:c r="D5" s="57" t="str">
        <x:v>safety equalization amount remains unauthorized</x:v>
      </x:c>
    </x:row>
    <x:row r="6">
      <x:c r="A6" s="60" t="str">
        <x:v>Pass 225 selection covenant</x:v>
      </x:c>
      <x:c r="B6" s="60" t="str">
        <x:v>evidence law</x:v>
      </x:c>
      <x:c r="C6" s="60" t="str">
        <x:v>failure, survival and selection nonconversions</x:v>
      </x:c>
      <x:c r="D6" s="60" t="str">
        <x:v>FRAME safety findings create no accepted observations</x:v>
      </x:c>
    </x:row>
    <x:row r="7">
      <x:c r="A7" s="60" t="str">
        <x:v>Pass 226 parallel FRAME authority</x:v>
      </x:c>
      <x:c r="B7" s="60" t="str">
        <x:v>authorization source</x:v>
      </x:c>
      <x:c r="C7" s="60" t="str">
        <x:v>eighteen warrants and ninety design packages</x:v>
      </x:c>
      <x:c r="D7" s="60" t="str">
        <x:v>obligation and payment remain zero</x:v>
      </x:c>
    </x:row>
    <x:row r="8">
      <x:c r="A8" s="60" t="str">
        <x:v>Pass 227 warrant sequence</x:v>
      </x:c>
      <x:c r="B8" s="60" t="str">
        <x:v>calendar source</x:v>
      </x:c>
      <x:c r="C8" s="60" t="str">
        <x:v>three balanced cohorts and complete sibling reservation</x:v>
      </x:c>
      <x:c r="D8" s="60" t="str">
        <x:v>twenty-four-week duration remains a planning hypothesis</x:v>
      </x:c>
    </x:row>
    <x:row r="9">
      <x:c r="A9" s="62" t="str">
        <x:v>Pass 228 safety change protocol</x:v>
      </x:c>
      <x:c r="B9" s="62" t="str">
        <x:v>change-control authority</x:v>
      </x:c>
      <x:c r="C9" s="62" t="str">
        <x:v>shared burden, content firewall and root epochs</x:v>
      </x:c>
      <x:c r="D9" s="62" t="str">
        <x:v>synthetic cases are protocol tests, not observations</x:v>
      </x:c>
    </x:row>
  </x:sheetData>
  <x:mergeCells>
    <x:mergeCell ref="A2:D2"/>
  </x:mergeCells>
  <x:pageMargins left="0.7" right="0.7" top="0.75" bottom="0.75" header="0.3" footer="0.3"/>
</x:worksheet>
</file>