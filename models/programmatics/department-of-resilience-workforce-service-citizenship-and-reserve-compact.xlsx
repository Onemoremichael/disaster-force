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944c53768443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76720c523c894646"/>
    <x:sheet xmlns:r="http://schemas.openxmlformats.org/officeDocument/2006/relationships" name="Controls" sheetId="2" r:id="Ra89f78eee3af49de"/>
    <x:sheet xmlns:r="http://schemas.openxmlformats.org/officeDocument/2006/relationships" name="Architecture" sheetId="3" r:id="Ref4b8d0ed1af4d0b"/>
    <x:sheet xmlns:r="http://schemas.openxmlformats.org/officeDocument/2006/relationships" name="Membership Ledger" sheetId="4" r:id="Ra060f7d4a00b4ce9"/>
    <x:sheet xmlns:r="http://schemas.openxmlformats.org/officeDocument/2006/relationships" name="Service Citizenship" sheetId="5" r:id="Rb36830b1a7784db1"/>
    <x:sheet xmlns:r="http://schemas.openxmlformats.org/officeDocument/2006/relationships" name="Rights Charter" sheetId="6" r:id="R0ddcc8d98b364717"/>
    <x:sheet xmlns:r="http://schemas.openxmlformats.org/officeDocument/2006/relationships" name="Duty Covenant" sheetId="7" r:id="Re9657f73ed2f4365"/>
    <x:sheet xmlns:r="http://schemas.openxmlformats.org/officeDocument/2006/relationships" name="Authority Matrix" sheetId="8" r:id="Re03aa73428654221"/>
    <x:sheet xmlns:r="http://schemas.openxmlformats.org/officeDocument/2006/relationships" name="Personnel States" sheetId="9" r:id="Rd564ec6df9794754"/>
    <x:sheet xmlns:r="http://schemas.openxmlformats.org/officeDocument/2006/relationships" name="Personnel Warrants" sheetId="10" r:id="Rbd58586788814265"/>
    <x:sheet xmlns:r="http://schemas.openxmlformats.org/officeDocument/2006/relationships" name="Mobilization" sheetId="11" r:id="Rac09ba3ab19a4ebe"/>
    <x:sheet xmlns:r="http://schemas.openxmlformats.org/officeDocument/2006/relationships" name="Formation Workforce" sheetId="12" r:id="Rfb58bc06dc4a444a"/>
    <x:sheet xmlns:r="http://schemas.openxmlformats.org/officeDocument/2006/relationships" name="Institutional Workforce" sheetId="13" r:id="Rb9518d60264d4c3f"/>
    <x:sheet xmlns:r="http://schemas.openxmlformats.org/officeDocument/2006/relationships" name="Industrial Workforce" sheetId="14" r:id="R704c3796f3774c98"/>
    <x:sheet xmlns:r="http://schemas.openxmlformats.org/officeDocument/2006/relationships" name="Education Pipeline" sheetId="15" r:id="R278c40a0ea604c7f"/>
    <x:sheet xmlns:r="http://schemas.openxmlformats.org/officeDocument/2006/relationships" name="Workforce Economy" sheetId="16" r:id="R501f878bae6a45a6"/>
    <x:sheet xmlns:r="http://schemas.openxmlformats.org/officeDocument/2006/relationships" name="25-Year Economy" sheetId="17" r:id="R153298c6d3d44e0a"/>
    <x:sheet xmlns:r="http://schemas.openxmlformats.org/officeDocument/2006/relationships" name="Technology" sheetId="18" r:id="R9c688ab745024453"/>
    <x:sheet xmlns:r="http://schemas.openxmlformats.org/officeDocument/2006/relationships" name="Stress Cases" sheetId="19" r:id="R446bb099c7804ce2"/>
    <x:sheet xmlns:r="http://schemas.openxmlformats.org/officeDocument/2006/relationships" name="Audit" sheetId="20" r:id="R7689281ad8f7466d"/>
    <x:sheet xmlns:r="http://schemas.openxmlformats.org/officeDocument/2006/relationships" name="Mutation Tests" sheetId="21" r:id="R88220066972e4db1"/>
    <x:sheet xmlns:r="http://schemas.openxmlformats.org/officeDocument/2006/relationships" name="Sources" sheetId="22" r:id="Ra8131b9acac84be4"/>
    <x:sheet xmlns:r="http://schemas.openxmlformats.org/officeDocument/2006/relationships" name="Read Me" sheetId="23" r:id="R302afd2cedbe4e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"/>
    <x:numFmt numFmtId="201" formatCode="0.0%"/>
    <x:numFmt numFmtId="202" formatCode="#,##0"/>
    <x:numFmt numFmtId="203" formatCode="&quot;$&quot;#,##0"/>
    <x:numFmt numFmtId="204" formatCode="&quot;$&quot;0.0"/>
    <x:numFmt numFmtId="205" formatCode="0%"/>
  </x:numFmts>
  <x:fonts count="6">
    <x:font>
      <x:sz val="11"/>
      <x:name val="Carlito"/>
    </x:font>
    <x:font>
      <x:b/>
      <x:sz val="15"/>
      <x:color rgb="FF17324D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3"/>
      <x:name val="Arial"/>
    </x:font>
    <x:font>
      <x:sz val="10"/>
      <x:color rgb="FF0000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2"/>
      </x:patternFill>
    </x:fill>
    <x:fill>
      <x:patternFill patternType="solid">
        <x:fgColor rgb="FFE2F0D9"/>
      </x:patternFill>
    </x:fill>
    <x:fill>
      <x:patternFill patternType="solid">
        <x:fgColor rgb="FFFCE8E6"/>
      </x:patternFill>
    </x:fill>
  </x:fills>
  <x:borders count="2">
    <x:border/>
    <x:border>
      <x:bottom style="thin">
        <x:color rgb="FF2F6B8A"/>
      </x:bottom>
    </x:border>
  </x:borders>
  <x:cellStyleXfs count="1">
    <x:xf numFmtId="0" fontId="0" fillId="0" borderId="0"/>
  </x:cellStyleXfs>
  <x:cellXfs count="64">
    <x:xf numFmtId="0" fontId="0" fillId="0" borderId="0" xfId="0"/>
    <x:xf numFmtId="0" fontId="1" fillId="0" borderId="0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wrapText="1"/>
    </x:xf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201" fontId="5" fillId="3" borderId="0" xfId="0" applyNumberFormat="1" applyFont="1" applyFill="1" applyBorder="1"/>
    <x:xf numFmtId="0" fontId="4" fillId="4" borderId="0" xfId="0" applyNumberFormat="1" applyFont="1" applyFill="1" applyBorder="1"/>
    <x:xf numFmtId="0" fontId="4" fillId="5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2" fontId="4" fillId="0" borderId="0" xfId="0" applyNumberFormat="1" applyFont="1" applyFill="1" applyBorder="1"/>
    <x:xf numFmtId="202" fontId="0" fillId="0" borderId="0" xfId="0" applyNumberFormat="1" applyFont="1" applyFill="1" applyBorder="1"/>
    <x:xf numFmtId="202" fontId="3" fillId="4" borderId="0" xfId="0" applyNumberFormat="1" applyFont="1" applyFill="1" applyBorder="1" applyAlignment="1">
      <x:alignment horizontal="center" wrapText="1"/>
    </x:xf>
    <x:xf numFmtId="202" fontId="4" fillId="4" borderId="0" xfId="0" applyNumberFormat="1" applyFont="1" applyFill="1" applyBorder="1"/>
    <x:xf numFmtId="201" fontId="4" fillId="0" borderId="0" xfId="0" applyNumberFormat="1" applyFont="1" applyFill="1" applyBorder="1"/>
    <x:xf numFmtId="201" fontId="0" fillId="0" borderId="0" xfId="0" applyNumberFormat="1" applyFont="1" applyFill="1" applyBorder="1"/>
    <x:xf numFmtId="201" fontId="3" fillId="4" borderId="0" xfId="0" applyNumberFormat="1" applyFont="1" applyFill="1" applyBorder="1" applyAlignment="1">
      <x:alignment horizontal="center" wrapText="1"/>
    </x:xf>
    <x:xf numFmtId="201" fontId="4" fillId="4" borderId="0" xfId="0" applyNumberFormat="1" applyFont="1" applyFill="1" applyBorder="1"/>
    <x:xf numFmtId="203" fontId="4" fillId="0" borderId="0" xfId="0" applyNumberFormat="1" applyFont="1" applyFill="1" applyBorder="1"/>
    <x:xf numFmtId="204" fontId="4" fillId="0" borderId="0" xfId="0" applyNumberFormat="1" applyFont="1" applyFill="1" applyBorder="1"/>
    <x:xf numFmtId="204" fontId="0" fillId="0" borderId="0" xfId="0" applyNumberFormat="1" applyFont="1" applyFill="1" applyBorder="1"/>
    <x:xf numFmtId="204" fontId="3" fillId="4" borderId="0" xfId="0" applyNumberFormat="1" applyFont="1" applyFill="1" applyBorder="1" applyAlignment="1">
      <x:alignment horizontal="center" wrapText="1"/>
    </x:xf>
    <x:xf numFmtId="204" fontId="4" fillId="4" borderId="0" xfId="0" applyNumberFormat="1" applyFont="1" applyFill="1" applyBorder="1"/>
    <x:xf numFmtId="203" fontId="4" fillId="4" borderId="0" xfId="0" applyNumberFormat="1" applyFont="1" applyFill="1" applyBorder="1"/>
    <x:xf numFmtId="205" fontId="4" fillId="4" borderId="0" xfId="0" applyNumberFormat="1" applyFont="1" applyFill="1" applyBorder="1"/>
    <x:xf numFmtId="205" fontId="4" fillId="0" borderId="0" xfId="0" applyNumberFormat="1" applyFont="1" applyFill="1" applyBorder="1"/>
    <x:xf numFmtId="200" fontId="4" fillId="4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4" fontId="0" fillId="0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horizontal="center" vertical="center" wrapText="1"/>
    </x:xf>
    <x:xf numFmtId="202" fontId="3" fillId="4" borderId="0" xfId="0" applyNumberFormat="1" applyFont="1" applyFill="1" applyBorder="1" applyAlignment="1">
      <x:alignment horizontal="center" vertical="center" wrapText="1"/>
    </x:xf>
    <x:xf numFmtId="201" fontId="3" fillId="4" borderId="0" xfId="0" applyNumberFormat="1" applyFont="1" applyFill="1" applyBorder="1" applyAlignment="1">
      <x:alignment horizontal="center" vertical="center" wrapText="1"/>
    </x:xf>
    <x:xf numFmtId="204" fontId="3" fillId="4" borderId="0" xfId="0" applyNumberFormat="1" applyFont="1" applyFill="1" applyBorder="1" applyAlignment="1">
      <x:alignment horizontal="center" vertical="center" wrapText="1"/>
    </x:xf>
    <x:xf numFmtId="202" fontId="4" fillId="4" borderId="0" xfId="0" applyNumberFormat="1" applyFont="1" applyFill="1" applyBorder="1" applyAlignment="1">
      <x:alignment vertical="center"/>
    </x:xf>
    <x:xf numFmtId="201" fontId="4" fillId="4" borderId="0" xfId="0" applyNumberFormat="1" applyFont="1" applyFill="1" applyBorder="1" applyAlignment="1">
      <x:alignment vertical="center"/>
    </x:xf>
    <x:xf numFmtId="204" fontId="4" fillId="4" borderId="0" xfId="0" applyNumberFormat="1" applyFont="1" applyFill="1" applyBorder="1" applyAlignment="1">
      <x:alignment vertical="center"/>
    </x:xf>
    <x:xf numFmtId="203" fontId="4" fillId="4" borderId="0" xfId="0" applyNumberFormat="1" applyFont="1" applyFill="1" applyBorder="1" applyAlignment="1">
      <x:alignment vertical="center"/>
    </x:xf>
    <x:xf numFmtId="205" fontId="4" fillId="4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0" fontId="4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c66fdc07e94171" /><Relationship Type="http://schemas.openxmlformats.org/officeDocument/2006/relationships/theme" Target="/xl/theme/theme1.xml" Id="R154c91ced6684446" /><Relationship Type="http://schemas.openxmlformats.org/officeDocument/2006/relationships/sharedStrings" Target="/xl/sharedStrings.xml" Id="Rd55e5cb6982d4b0b" /><Relationship Type="http://schemas.openxmlformats.org/officeDocument/2006/relationships/worksheet" Target="/xl/worksheets/sheet1.xml" Id="R76720c523c894646" /><Relationship Type="http://schemas.openxmlformats.org/officeDocument/2006/relationships/worksheet" Target="/xl/worksheets/sheet2.xml" Id="Ra89f78eee3af49de" /><Relationship Type="http://schemas.openxmlformats.org/officeDocument/2006/relationships/worksheet" Target="/xl/worksheets/sheet3.xml" Id="Ref4b8d0ed1af4d0b" /><Relationship Type="http://schemas.openxmlformats.org/officeDocument/2006/relationships/worksheet" Target="/xl/worksheets/sheet4.xml" Id="Ra060f7d4a00b4ce9" /><Relationship Type="http://schemas.openxmlformats.org/officeDocument/2006/relationships/worksheet" Target="/xl/worksheets/sheet5.xml" Id="Rb36830b1a7784db1" /><Relationship Type="http://schemas.openxmlformats.org/officeDocument/2006/relationships/worksheet" Target="/xl/worksheets/sheet6.xml" Id="R0ddcc8d98b364717" /><Relationship Type="http://schemas.openxmlformats.org/officeDocument/2006/relationships/worksheet" Target="/xl/worksheets/sheet7.xml" Id="Re9657f73ed2f4365" /><Relationship Type="http://schemas.openxmlformats.org/officeDocument/2006/relationships/worksheet" Target="/xl/worksheets/sheet8.xml" Id="Re03aa73428654221" /><Relationship Type="http://schemas.openxmlformats.org/officeDocument/2006/relationships/worksheet" Target="/xl/worksheets/sheet9.xml" Id="Rd564ec6df9794754" /><Relationship Type="http://schemas.openxmlformats.org/officeDocument/2006/relationships/worksheet" Target="/xl/worksheets/sheet10.xml" Id="Rbd58586788814265" /><Relationship Type="http://schemas.openxmlformats.org/officeDocument/2006/relationships/worksheet" Target="/xl/worksheets/sheet11.xml" Id="Rac09ba3ab19a4ebe" /><Relationship Type="http://schemas.openxmlformats.org/officeDocument/2006/relationships/worksheet" Target="/xl/worksheets/sheet12.xml" Id="Rfb58bc06dc4a444a" /><Relationship Type="http://schemas.openxmlformats.org/officeDocument/2006/relationships/worksheet" Target="/xl/worksheets/sheet13.xml" Id="Rb9518d60264d4c3f" /><Relationship Type="http://schemas.openxmlformats.org/officeDocument/2006/relationships/worksheet" Target="/xl/worksheets/sheet14.xml" Id="R704c3796f3774c98" /><Relationship Type="http://schemas.openxmlformats.org/officeDocument/2006/relationships/worksheet" Target="/xl/worksheets/sheet15.xml" Id="R278c40a0ea604c7f" /><Relationship Type="http://schemas.openxmlformats.org/officeDocument/2006/relationships/worksheet" Target="/xl/worksheets/sheet16.xml" Id="R501f878bae6a45a6" /><Relationship Type="http://schemas.openxmlformats.org/officeDocument/2006/relationships/worksheet" Target="/xl/worksheets/sheet17.xml" Id="R153298c6d3d44e0a" /><Relationship Type="http://schemas.openxmlformats.org/officeDocument/2006/relationships/worksheet" Target="/xl/worksheets/sheet18.xml" Id="R9c688ab745024453" /><Relationship Type="http://schemas.openxmlformats.org/officeDocument/2006/relationships/worksheet" Target="/xl/worksheets/sheet19.xml" Id="R446bb099c7804ce2" /><Relationship Type="http://schemas.openxmlformats.org/officeDocument/2006/relationships/worksheet" Target="/xl/worksheets/sheet20.xml" Id="R7689281ad8f7466d" /><Relationship Type="http://schemas.openxmlformats.org/officeDocument/2006/relationships/worksheet" Target="/xl/worksheets/sheet21.xml" Id="R88220066972e4db1" /><Relationship Type="http://schemas.openxmlformats.org/officeDocument/2006/relationships/worksheet" Target="/xl/worksheets/sheet22.xml" Id="Ra8131b9acac84be4" /><Relationship Type="http://schemas.openxmlformats.org/officeDocument/2006/relationships/worksheet" Target="/xl/worksheets/sheet23.xml" Id="R302afd2cedbe4e9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05d55151c91417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Affiliated establishment by service status (millions)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Affiliates (M)</c:v>
          </c:tx>
          <c:cat>
            <c:strRef>
              <c:f>'Decision'!$M$6:$M$10</c:f>
              <c:strCache>
                <c:ptCount val="0"/>
              </c:strCache>
            </c:strRef>
          </c:cat>
          <c:val>
            <c:numRef>
              <c:f>'Decision'!$N$6:$N$10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5</xdr:row>
      <xdr:rowOff>0</xdr:rowOff>
    </xdr:from>
    <xdr:to>
      <xdr:col>11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5d55151c91417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edd840ccc5b4c5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0" hidden="0" customWidth="1"/>
    <x:col min="2" max="2" width="6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3" max="13" width="24" hidden="0" customWidth="1"/>
    <x:col min="14" max="14" width="18" hidden="0" customWidth="1"/>
  </x:cols>
  <x:sheetData>
    <x:row r="2">
      <x:c r="A2" s="34" t="str">
        <x:v>Department workforce, service citizenship and reserve compact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37" t="str">
        <x:v>Pass 203 | DCA-3 | voluntary civil membership, bounded duty and a defense-scale professional commonwealth</x:v>
      </x:c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 t="str">
        <x:v>Status</x:v>
      </x:c>
      <x:c r="N5" s="35" t="str">
        <x:v>Affiliates (M)</x:v>
      </x:c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8" t="str">
        <x:v>Decision metric</x:v>
      </x:c>
      <x:c r="B6" s="38" t="str">
        <x:v>Value</x:v>
      </x:c>
      <x:c r="C6" s="35"/>
      <x:c r="D6" s="35"/>
      <x:c r="E6" s="35"/>
      <x:c r="F6" s="35"/>
      <x:c r="G6" s="35"/>
      <x:c r="H6" s="35"/>
      <x:c r="I6" s="35"/>
      <x:c r="J6" s="35"/>
      <x:c r="K6" s="35"/>
      <x:c r="L6" s="35"/>
      <x:c r="M6" s="35" t="str">
        <x:v>National Career</x:v>
      </x:c>
      <x:c r="N6" s="35" t="n">
        <x:f>'Membership Ledger'!B7/1000000</x:f>
        <x:v>5.569744610000001</x:v>
      </x:c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9" t="str">
        <x:v>Verdict</x:v>
      </x:c>
      <x:c r="B7" s="39" t="str">
        <x:v>CLOSE</x:v>
      </x:c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 t="str">
        <x:v>Ready Reserve</x:v>
      </x:c>
      <x:c r="N7" s="35" t="n">
        <x:f>'Membership Ledger'!B8/1000000</x:f>
        <x:v>2.941258</x:v>
      </x:c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9" t="str">
        <x:v>Selected architecture</x:v>
      </x:c>
      <x:c r="B8" s="39" t="str">
        <x:v>Civil Service Commonwealth</x:v>
      </x:c>
      <x:c r="C8" s="35"/>
      <x:c r="D8" s="35"/>
      <x:c r="E8" s="35"/>
      <x:c r="F8" s="35"/>
      <x:c r="G8" s="35"/>
      <x:c r="H8" s="35"/>
      <x:c r="I8" s="35"/>
      <x:c r="J8" s="35"/>
      <x:c r="K8" s="35"/>
      <x:c r="L8" s="35"/>
      <x:c r="M8" s="35" t="str">
        <x:v>Sovereign Covenant</x:v>
      </x:c>
      <x:c r="N8" s="35" t="n">
        <x:f>'Membership Ledger'!B9/1000000</x:f>
        <x:v>2.4343304</x:v>
      </x:c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9" t="str">
        <x:v>Legal statuses</x:v>
      </x:c>
      <x:c r="B9" s="39" t="n">
        <x:v>7</x:v>
      </x:c>
      <x:c r="C9" s="35"/>
      <x:c r="D9" s="35"/>
      <x:c r="E9" s="35"/>
      <x:c r="F9" s="35"/>
      <x:c r="G9" s="35"/>
      <x:c r="H9" s="35"/>
      <x:c r="I9" s="35"/>
      <x:c r="J9" s="35"/>
      <x:c r="K9" s="35"/>
      <x:c r="L9" s="35"/>
      <x:c r="M9" s="35" t="str">
        <x:v>Productive Service</x:v>
      </x:c>
      <x:c r="N9" s="35" t="n">
        <x:f>'Membership Ledger'!B10/1000000</x:f>
        <x:v>2.07316435</x:v>
      </x:c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9" t="str">
        <x:v>Personnel warrants</x:v>
      </x:c>
      <x:c r="B10" s="39" t="n">
        <x:v>11</x:v>
      </x:c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 t="str">
        <x:v>Partner Fellows</x:v>
      </x:c>
      <x:c r="N10" s="35" t="n">
        <x:f>'Membership Ledger'!B11/1000000</x:f>
        <x:v>0.02073875</x:v>
      </x:c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9" t="str">
        <x:v>Rights</x:v>
      </x:c>
      <x:c r="B11" s="39" t="n">
        <x:v>12</x:v>
      </x:c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9" t="str">
        <x:v>Duty rules</x:v>
      </x:c>
      <x:c r="B12" s="39" t="n">
        <x:v>10</x:v>
      </x:c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39" t="str">
        <x:v>Owned formations</x:v>
      </x:c>
      <x:c r="B13" s="39" t="n">
        <x:v>5251</x:v>
      </x:c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>
      <x:c r="A14" s="39" t="str">
        <x:v>Ready formations</x:v>
      </x:c>
      <x:c r="B14" s="39" t="n">
        <x:v>3667</x:v>
      </x:c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>
      <x:c r="A15" s="39" t="str">
        <x:v>Affiliated establishment</x:v>
      </x:c>
      <x:c r="B15" s="40" t="n">
        <x:f>'Membership Ledger'!B15/1000000</x:f>
        <x:v>13.03923611</x:v>
      </x:c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>
      <x:c r="A16" s="39" t="str">
        <x:v>Mature people floor USD T/year</x:v>
      </x:c>
      <x:c r="B16" s="40" t="n">
        <x:f>'Workforce Economy'!D12/1000</x:f>
        <x:v>1.3591097761</x:v>
      </x:c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>
      <x:c r="A17" s="39" t="str">
        <x:v>Revised mature operations USD T/year</x:v>
      </x:c>
      <x:c r="B17" s="40" t="n">
        <x:f>'Workforce Economy'!D16/1000</x:f>
        <x:v>2.6251097761</x:v>
      </x:c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>
      <x:c r="A18" s="39" t="str">
        <x:v>Revised 25-year operations USD T</x:v>
      </x:c>
      <x:c r="B18" s="40" t="n">
        <x:f>'25-Year Economy'!E34/1000</x:f>
        <x:v>50.00834123470498</x:v>
      </x:c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>
      <x:c r="A19" s="39" t="str">
        <x:v>Revised public outlay USD T</x:v>
      </x:c>
      <x:c r="B19" s="40" t="n">
        <x:f>'25-Year Economy'!H34/1000</x:f>
        <x:v>68.40834123470499</x:v>
      </x:c>
      <x:c r="C19" s="35"/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>
      <x:c r="A20" s="39" t="str">
        <x:v>Released personnel identities</x:v>
      </x:c>
      <x:c r="B20" s="39" t="n">
        <x:v>0</x:v>
      </x:c>
      <x:c r="C20" s="35"/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>
      <x:c r="A21" s="39" t="str">
        <x:v>Released readiness credit</x:v>
      </x:c>
      <x:c r="B21" s="39" t="n">
        <x:v>0</x:v>
      </x:c>
      <x:c r="C21" s="35"/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>
      <x:c r="A22" s="39" t="str">
        <x:v>Next resolution</x:v>
      </x:c>
      <x:c r="B22" s="39" t="str">
        <x:v>Department public knowledge, sensing and civil privacy constitution</x:v>
      </x:c>
      <x:c r="C22" s="35"/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</x:sheetData>
  <x:pageMargins left="0.7" right="0.7" top="0.75" bottom="0.75" header="0.3" footer="0.3"/>
  <x:drawing xmlns:r="http://schemas.openxmlformats.org/officeDocument/2006/relationships" r:id="R0edd840ccc5b4c5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" hidden="0" customWidth="1"/>
    <x:col min="2" max="2" width="23" hidden="0" customWidth="1"/>
    <x:col min="3" max="3" width="50" hidden="0" customWidth="1"/>
  </x:cols>
  <x:sheetData>
    <x:row r="2">
      <x:c r="A2" s="34" t="str">
        <x:v>Authoritative workforce and fiscal controls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37" t="str">
        <x:v>Blue values are inherited or explicit scenario controls; none names a person or releases authority.</x:v>
      </x:c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8" t="str">
        <x:v>Control</x:v>
      </x:c>
      <x:c r="B6" s="38" t="str">
        <x:v>Value</x:v>
      </x:c>
      <x:c r="C6" s="38" t="str">
        <x:v>Unit / boundary</x:v>
      </x:c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9" t="str">
        <x:v>Direct affiliated billets</x:v>
      </x:c>
      <x:c r="B7" s="41" t="n">
        <x:v>11465213</x:v>
      </x:c>
      <x:c r="C7" s="39" t="str">
        <x:v>positions</x:v>
      </x:c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9" t="str">
        <x:v>Institutional depth</x:v>
      </x:c>
      <x:c r="B8" s="41" t="n">
        <x:v>1375825.56</x:v>
      </x:c>
      <x:c r="C8" s="39" t="str">
        <x:v>positions</x:v>
      </x:c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9" t="str">
        <x:v>Common utility workforce</x:v>
      </x:c>
      <x:c r="B9" s="41" t="n">
        <x:v>198197.55</x:v>
      </x:c>
      <x:c r="C9" s="39" t="str">
        <x:v>positions</x:v>
      </x:c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9" t="str">
        <x:v>Owned formations</x:v>
      </x:c>
      <x:c r="B10" s="41" t="n">
        <x:v>5251</x:v>
      </x:c>
      <x:c r="C10" s="39" t="str">
        <x:v>formations</x:v>
      </x:c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9" t="str">
        <x:v>Ready formations</x:v>
      </x:c>
      <x:c r="B11" s="41" t="n">
        <x:v>3667</x:v>
      </x:c>
      <x:c r="C11" s="39" t="str">
        <x:v>formations</x:v>
      </x:c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9" t="str">
        <x:v>Committed formations</x:v>
      </x:c>
      <x:c r="B12" s="41" t="n">
        <x:v>2420</x:v>
      </x:c>
      <x:c r="C12" s="39" t="str">
        <x:v>formations</x:v>
      </x:c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39" t="str">
        <x:v>Crew-set equivalents</x:v>
      </x:c>
      <x:c r="B13" s="41" t="n">
        <x:v>15123.6</x:v>
      </x:c>
      <x:c r="C13" s="39" t="str">
        <x:v>sets</x:v>
      </x:c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>
      <x:c r="A14" s="39" t="str">
        <x:v>Industrial credentialed positions</x:v>
      </x:c>
      <x:c r="B14" s="41" t="n">
        <x:v>200000</x:v>
      </x:c>
      <x:c r="C14" s="39" t="str">
        <x:v>positions; nested</x:v>
      </x:c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>
      <x:c r="A15" s="39" t="str">
        <x:v>Annual industrial completions</x:v>
      </x:c>
      <x:c r="B15" s="41" t="n">
        <x:v>20000</x:v>
      </x:c>
      <x:c r="C15" s="39" t="str">
        <x:v>completions</x:v>
      </x:c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>
      <x:c r="A16" s="39" t="str">
        <x:v>Industrial learner pipeline</x:v>
      </x:c>
      <x:c r="B16" s="41" t="n">
        <x:v>44400</x:v>
      </x:c>
      <x:c r="C16" s="39" t="str">
        <x:v>learners; nested</x:v>
      </x:c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>
      <x:c r="A17" s="39" t="str">
        <x:v>Career loaded billet-year</x:v>
      </x:c>
      <x:c r="B17" s="41" t="n">
        <x:v>160000</x:v>
      </x:c>
      <x:c r="C17" s="39" t="str">
        <x:v>USD / year</x:v>
      </x:c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>
      <x:c r="A18" s="39" t="str">
        <x:v>Reserve loaded billet-year</x:v>
      </x:c>
      <x:c r="B18" s="41" t="n">
        <x:v>50000</x:v>
      </x:c>
      <x:c r="C18" s="39" t="str">
        <x:v>USD / year</x:v>
      </x:c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>
      <x:c r="A19" s="39" t="str">
        <x:v>Covenant loaded billet-year</x:v>
      </x:c>
      <x:c r="B19" s="41" t="n">
        <x:v>55000</x:v>
      </x:c>
      <x:c r="C19" s="39" t="str">
        <x:v>USD / year</x:v>
      </x:c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>
      <x:c r="A20" s="39" t="str">
        <x:v>Productive loaded billet-year</x:v>
      </x:c>
      <x:c r="B20" s="41" t="n">
        <x:v>90000</x:v>
      </x:c>
      <x:c r="C20" s="39" t="str">
        <x:v>USD / year</x:v>
      </x:c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>
      <x:c r="A21" s="39" t="str">
        <x:v>Partner fellow billet-year</x:v>
      </x:c>
      <x:c r="B21" s="41" t="n">
        <x:v>20000</x:v>
      </x:c>
      <x:c r="C21" s="39" t="str">
        <x:v>USD / year</x:v>
      </x:c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>
      <x:c r="A22" s="39" t="str">
        <x:v>Inherited mature operations</x:v>
      </x:c>
      <x:c r="B22" s="41" t="n">
        <x:v>2110</x:v>
      </x:c>
      <x:c r="C22" s="39" t="str">
        <x:v>USD B / year</x:v>
      </x:c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>
      <x:c r="A23" s="39" t="str">
        <x:v>Inherited people share</x:v>
      </x:c>
      <x:c r="B23" s="42" t="n">
        <x:v>0.4</x:v>
      </x:c>
      <x:c r="C23" s="39" t="str">
        <x:v>top-down planning share</x:v>
      </x:c>
      <x:c r="D23" s="35"/>
      <x:c r="E23" s="35"/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>
      <x:c r="A24" s="39" t="str">
        <x:v>Preserved nonpeople share</x:v>
      </x:c>
      <x:c r="B24" s="42" t="n">
        <x:v>0.6</x:v>
      </x:c>
      <x:c r="C24" s="39" t="str">
        <x:v>of inherited mature operations</x:v>
      </x:c>
      <x:c r="D24" s="35"/>
      <x:c r="E24" s="35"/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>
      <x:c r="A25" s="39" t="str">
        <x:v>Operations ramp factor</x:v>
      </x:c>
      <x:c r="B25" s="41" t="n">
        <x:v>19.05</x:v>
      </x:c>
      <x:c r="C25" s="39" t="str">
        <x:v>mature-year equivalents</x:v>
      </x:c>
      <x:c r="D25" s="35"/>
      <x:c r="E25" s="35"/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>
      <x:c r="A26" s="39" t="str">
        <x:v>Technology program</x:v>
      </x:c>
      <x:c r="B26" s="41" t="n">
        <x:v>1000</x:v>
      </x:c>
      <x:c r="C26" s="39" t="str">
        <x:v>USD B / 25 years</x:v>
      </x:c>
      <x:c r="D26" s="35"/>
      <x:c r="E26" s="35"/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>
      <x:c r="A27" s="39" t="str">
        <x:v>Mature capital</x:v>
      </x:c>
      <x:c r="B27" s="41" t="n">
        <x:v>17400</x:v>
      </x:c>
      <x:c r="C27" s="39" t="str">
        <x:v>USD B / 25 years</x:v>
      </x:c>
      <x:c r="D27" s="35"/>
      <x:c r="E27" s="35"/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>
      <x:c r="A28" s="39" t="str">
        <x:v>Low personnel-rate factor</x:v>
      </x:c>
      <x:c r="B28" s="42" t="n">
        <x:v>0.8</x:v>
      </x:c>
      <x:c r="C28" s="39" t="str">
        <x:v>sensitivity</x:v>
      </x:c>
      <x:c r="D28" s="35"/>
      <x:c r="E28" s="35"/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>
      <x:c r="A29" s="39" t="str">
        <x:v>Base personnel-rate factor</x:v>
      </x:c>
      <x:c r="B29" s="42" t="n">
        <x:v>1</x:v>
      </x:c>
      <x:c r="C29" s="39" t="str">
        <x:v>sensitivity</x:v>
      </x:c>
      <x:c r="D29" s="35"/>
      <x:c r="E29" s="35"/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>
      <x:c r="A30" s="39" t="str">
        <x:v>High personnel-rate factor</x:v>
      </x:c>
      <x:c r="B30" s="42" t="n">
        <x:v>1.2</x:v>
      </x:c>
      <x:c r="C30" s="39" t="str">
        <x:v>sensitivity</x:v>
      </x:c>
      <x:c r="D30" s="35"/>
      <x:c r="E30" s="35"/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>
      <x:c r="A31" s="39" t="str">
        <x:v>Reserve duty ceiling</x:v>
      </x:c>
      <x:c r="B31" s="41" t="n">
        <x:v>365</x:v>
      </x:c>
      <x:c r="C31" s="39" t="str">
        <x:v>days / rolling 730</x:v>
      </x:c>
      <x:c r="D31" s="35"/>
      <x:c r="E31" s="35"/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>
      <x:c r="A32" s="39" t="str">
        <x:v>Warrant expiry</x:v>
      </x:c>
      <x:c r="B32" s="41" t="n">
        <x:v>30</x:v>
      </x:c>
      <x:c r="C32" s="39" t="str">
        <x:v>days</x:v>
      </x:c>
      <x:c r="D32" s="35"/>
      <x:c r="E32" s="35"/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>
      <x:c r="A33" s="39" t="str">
        <x:v>Legislative review</x:v>
      </x:c>
      <x:c r="B33" s="41" t="n">
        <x:v>180</x:v>
      </x:c>
      <x:c r="C33" s="39" t="str">
        <x:v>days</x:v>
      </x:c>
      <x:c r="D33" s="35"/>
      <x:c r="E33" s="35"/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>
      <x:c r="A34" s="39" t="str">
        <x:v>Local covenant call ceiling</x:v>
      </x:c>
      <x:c r="B34" s="41" t="n">
        <x:v>12</x:v>
      </x:c>
      <x:c r="C34" s="39" t="str">
        <x:v>hours</x:v>
      </x:c>
      <x:c r="D34" s="35"/>
      <x:c r="E34" s="35"/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>
      <x:c r="A35" s="39" t="str">
        <x:v>Personnel identities</x:v>
      </x:c>
      <x:c r="B35" s="41" t="n">
        <x:v>0</x:v>
      </x:c>
      <x:c r="C35" s="39" t="str">
        <x:v>source-backed</x:v>
      </x:c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>
      <x:c r="A36" s="39" t="str">
        <x:v>Readiness credit</x:v>
      </x:c>
      <x:c r="B36" s="41" t="n">
        <x:v>0</x:v>
      </x:c>
      <x:c r="C36" s="39" t="str">
        <x:v>released</x:v>
      </x:c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2" hidden="0" customWidth="1"/>
    <x:col min="3" max="3" width="14" hidden="0" customWidth="1"/>
    <x:col min="4" max="4" width="14" hidden="0" customWidth="1"/>
    <x:col min="5" max="5" width="19" hidden="0" customWidth="1"/>
    <x:col min="6" max="6" width="15" hidden="0" customWidth="1"/>
    <x:col min="7" max="7" width="14" hidden="0" customWidth="1"/>
    <x:col min="8" max="8" width="19" hidden="0" customWidth="1"/>
    <x:col min="9" max="9" width="16" hidden="0" customWidth="1"/>
    <x:col min="10" max="10" width="17" hidden="0" customWidth="1"/>
    <x:col min="11" max="11" width="16" hidden="0" customWidth="1"/>
    <x:col min="12" max="12" width="15" hidden="0" customWidth="1"/>
    <x:col min="13" max="13" width="17" hidden="0" customWidth="1"/>
    <x:col min="14" max="14" width="13" hidden="0" customWidth="1"/>
    <x:col min="15" max="15" width="70" hidden="0" customWidth="1"/>
  </x:cols>
  <x:sheetData>
    <x:row r="2">
      <x:c r="A2" s="34" t="str">
        <x:v>Workforce architecture competition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37" t="str">
        <x:v>All twelve constitutional tests are conjunctive; scale cannot compensate for lost civil or sovereign status.</x:v>
      </x:c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8" t="str">
        <x:v>Architecture</x:v>
      </x:c>
      <x:c r="B6" s="38" t="str">
        <x:v>Scale</x:v>
      </x:c>
      <x:c r="C6" s="38" t="str">
        <x:v>Civil status</x:v>
      </x:c>
      <x:c r="D6" s="38" t="str">
        <x:v>Portability</x:v>
      </x:c>
      <x:c r="E6" s="38" t="str">
        <x:v>Plural sovereignty</x:v>
      </x:c>
      <x:c r="F6" s="38" t="str">
        <x:v>Tribal parity</x:v>
      </x:c>
      <x:c r="G6" s="38" t="str">
        <x:v>Labor rights</x:v>
      </x:c>
      <x:c r="H6" s="38" t="str">
        <x:v>Professional truth</x:v>
      </x:c>
      <x:c r="I6" s="38" t="str">
        <x:v>Bounded duty</x:v>
      </x:c>
      <x:c r="J6" s="38" t="str">
        <x:v>Family continuity</x:v>
      </x:c>
      <x:c r="K6" s="38" t="str">
        <x:v>Reserve proof</x:v>
      </x:c>
      <x:c r="L6" s="38" t="str">
        <x:v>Industrial depth</x:v>
      </x:c>
      <x:c r="M6" s="38" t="str">
        <x:v>Partner consent</x:v>
      </x:c>
      <x:c r="N6" s="38" t="str">
        <x:v>Decision</x:v>
      </x:c>
      <x:c r="O6" s="38" t="str">
        <x:v>Reason</x:v>
      </x:c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9" t="str">
        <x:v>All-federal career corps</x:v>
      </x:c>
      <x:c r="B7" s="39" t="str">
        <x:v>PASS</x:v>
      </x:c>
      <x:c r="C7" s="39" t="str">
        <x:v>PASS</x:v>
      </x:c>
      <x:c r="D7" s="39" t="str">
        <x:v>PASS</x:v>
      </x:c>
      <x:c r="E7" s="39" t="str">
        <x:v>FAIL</x:v>
      </x:c>
      <x:c r="F7" s="39" t="str">
        <x:v>FAIL</x:v>
      </x:c>
      <x:c r="G7" s="39" t="str">
        <x:v>PASS</x:v>
      </x:c>
      <x:c r="H7" s="39" t="str">
        <x:v>PASS</x:v>
      </x:c>
      <x:c r="I7" s="39" t="str">
        <x:v>PASS</x:v>
      </x:c>
      <x:c r="J7" s="39" t="str">
        <x:v>PASS</x:v>
      </x:c>
      <x:c r="K7" s="39" t="str">
        <x:v>PASS</x:v>
      </x:c>
      <x:c r="L7" s="39" t="str">
        <x:v>FAIL</x:v>
      </x:c>
      <x:c r="M7" s="39" t="str">
        <x:v>FAIL</x:v>
      </x:c>
      <x:c r="N7" s="43" t="str">
        <x:v>REJECT</x:v>
      </x:c>
      <x:c r="O7" s="44" t="str">
        <x:v>Cannot preserve sovereign employment, industrial depth or invited custody</x:v>
      </x:c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9" t="str">
        <x:v>Contractor call-option force</x:v>
      </x:c>
      <x:c r="B8" s="39" t="str">
        <x:v>PASS</x:v>
      </x:c>
      <x:c r="C8" s="39" t="str">
        <x:v>PASS</x:v>
      </x:c>
      <x:c r="D8" s="39" t="str">
        <x:v>PASS</x:v>
      </x:c>
      <x:c r="E8" s="39" t="str">
        <x:v>PASS</x:v>
      </x:c>
      <x:c r="F8" s="39" t="str">
        <x:v>PASS</x:v>
      </x:c>
      <x:c r="G8" s="39" t="str">
        <x:v>FAIL</x:v>
      </x:c>
      <x:c r="H8" s="39" t="str">
        <x:v>FAIL</x:v>
      </x:c>
      <x:c r="I8" s="39" t="str">
        <x:v>FAIL</x:v>
      </x:c>
      <x:c r="J8" s="39" t="str">
        <x:v>FAIL</x:v>
      </x:c>
      <x:c r="K8" s="39" t="str">
        <x:v>FAIL</x:v>
      </x:c>
      <x:c r="L8" s="39" t="str">
        <x:v>PASS</x:v>
      </x:c>
      <x:c r="M8" s="39" t="str">
        <x:v>PASS</x:v>
      </x:c>
      <x:c r="N8" s="43" t="str">
        <x:v>REJECT</x:v>
      </x:c>
      <x:c r="O8" s="44" t="str">
        <x:v>Employment availability is not public duty, credential truth or crew readiness</x:v>
      </x:c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9" t="str">
        <x:v>Universal compulsory service</x:v>
      </x:c>
      <x:c r="B9" s="39" t="str">
        <x:v>PASS</x:v>
      </x:c>
      <x:c r="C9" s="39" t="str">
        <x:v>FAIL</x:v>
      </x:c>
      <x:c r="D9" s="39" t="str">
        <x:v>PASS</x:v>
      </x:c>
      <x:c r="E9" s="39" t="str">
        <x:v>FAIL</x:v>
      </x:c>
      <x:c r="F9" s="39" t="str">
        <x:v>FAIL</x:v>
      </x:c>
      <x:c r="G9" s="39" t="str">
        <x:v>FAIL</x:v>
      </x:c>
      <x:c r="H9" s="39" t="str">
        <x:v>FAIL</x:v>
      </x:c>
      <x:c r="I9" s="39" t="str">
        <x:v>PASS</x:v>
      </x:c>
      <x:c r="J9" s="39" t="str">
        <x:v>FAIL</x:v>
      </x:c>
      <x:c r="K9" s="39" t="str">
        <x:v>FAIL</x:v>
      </x:c>
      <x:c r="L9" s="39" t="str">
        <x:v>FAIL</x:v>
      </x:c>
      <x:c r="M9" s="39" t="str">
        <x:v>FAIL</x:v>
      </x:c>
      <x:c r="N9" s="43" t="str">
        <x:v>REJECT</x:v>
      </x:c>
      <x:c r="O9" s="44" t="str">
        <x:v>Coercion cannot substitute for skill, consent, continuity or professional refusal</x:v>
      </x:c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9" t="str">
        <x:v>State and tribal militia federation</x:v>
      </x:c>
      <x:c r="B10" s="39" t="str">
        <x:v>PASS</x:v>
      </x:c>
      <x:c r="C10" s="39" t="str">
        <x:v>FAIL</x:v>
      </x:c>
      <x:c r="D10" s="39" t="str">
        <x:v>FAIL</x:v>
      </x:c>
      <x:c r="E10" s="39" t="str">
        <x:v>PASS</x:v>
      </x:c>
      <x:c r="F10" s="39" t="str">
        <x:v>FAIL</x:v>
      </x:c>
      <x:c r="G10" s="39" t="str">
        <x:v>FAIL</x:v>
      </x:c>
      <x:c r="H10" s="39" t="str">
        <x:v>PASS</x:v>
      </x:c>
      <x:c r="I10" s="39" t="str">
        <x:v>PASS</x:v>
      </x:c>
      <x:c r="J10" s="39" t="str">
        <x:v>PASS</x:v>
      </x:c>
      <x:c r="K10" s="39" t="str">
        <x:v>PASS</x:v>
      </x:c>
      <x:c r="L10" s="39" t="str">
        <x:v>FAIL</x:v>
      </x:c>
      <x:c r="M10" s="39" t="str">
        <x:v>FAIL</x:v>
      </x:c>
      <x:c r="N10" s="43" t="str">
        <x:v>REJECT</x:v>
      </x:c>
      <x:c r="O10" s="44" t="str">
        <x:v>Subordinates tribal paths and cannot guarantee national portability</x:v>
      </x:c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9" t="str">
        <x:v>Civil military-reserve analogue</x:v>
      </x:c>
      <x:c r="B11" s="39" t="str">
        <x:v>PASS</x:v>
      </x:c>
      <x:c r="C11" s="39" t="str">
        <x:v>FAIL</x:v>
      </x:c>
      <x:c r="D11" s="39" t="str">
        <x:v>PASS</x:v>
      </x:c>
      <x:c r="E11" s="39" t="str">
        <x:v>FAIL</x:v>
      </x:c>
      <x:c r="F11" s="39" t="str">
        <x:v>FAIL</x:v>
      </x:c>
      <x:c r="G11" s="39" t="str">
        <x:v>FAIL</x:v>
      </x:c>
      <x:c r="H11" s="39" t="str">
        <x:v>FAIL</x:v>
      </x:c>
      <x:c r="I11" s="39" t="str">
        <x:v>PASS</x:v>
      </x:c>
      <x:c r="J11" s="39" t="str">
        <x:v>PASS</x:v>
      </x:c>
      <x:c r="K11" s="39" t="str">
        <x:v>PASS</x:v>
      </x:c>
      <x:c r="L11" s="39" t="str">
        <x:v>FAIL</x:v>
      </x:c>
      <x:c r="M11" s="39" t="str">
        <x:v>FAIL</x:v>
      </x:c>
      <x:c r="N11" s="43" t="str">
        <x:v>REJECT</x:v>
      </x:c>
      <x:c r="O11" s="44" t="str">
        <x:v>Imports rank justice and military identity into public-service authority</x:v>
      </x:c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9" t="str">
        <x:v>Civil Service Commonwealth</x:v>
      </x:c>
      <x:c r="B12" s="39" t="str">
        <x:v>PASS</x:v>
      </x:c>
      <x:c r="C12" s="39" t="str">
        <x:v>PASS</x:v>
      </x:c>
      <x:c r="D12" s="39" t="str">
        <x:v>PASS</x:v>
      </x:c>
      <x:c r="E12" s="39" t="str">
        <x:v>PASS</x:v>
      </x:c>
      <x:c r="F12" s="39" t="str">
        <x:v>PASS</x:v>
      </x:c>
      <x:c r="G12" s="39" t="str">
        <x:v>PASS</x:v>
      </x:c>
      <x:c r="H12" s="39" t="str">
        <x:v>PASS</x:v>
      </x:c>
      <x:c r="I12" s="39" t="str">
        <x:v>PASS</x:v>
      </x:c>
      <x:c r="J12" s="39" t="str">
        <x:v>PASS</x:v>
      </x:c>
      <x:c r="K12" s="39" t="str">
        <x:v>PASS</x:v>
      </x:c>
      <x:c r="L12" s="39" t="str">
        <x:v>PASS</x:v>
      </x:c>
      <x:c r="M12" s="39" t="str">
        <x:v>PASS</x:v>
      </x:c>
      <x:c r="N12" s="45" t="str">
        <x:v>SELECT</x:v>
      </x:c>
      <x:c r="O12" s="44" t="str">
        <x:v>Voluntary civil membership creates bounded enforceable duty across plural employers</x:v>
      </x:c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0" hidden="0" customWidth="1"/>
    <x:col min="3" max="3" width="16" hidden="0" customWidth="1"/>
    <x:col min="4" max="4" width="26" hidden="0" customWidth="1"/>
    <x:col min="5" max="5" width="29" hidden="0" customWidth="1"/>
    <x:col min="6" max="6" width="85" hidden="0" customWidth="1"/>
  </x:cols>
  <x:sheetData>
    <x:row r="2">
      <x:c r="A2" s="34" t="str">
        <x:v>Affiliated establishment by constitutional status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37" t="str">
        <x:v>The 13.0M establishment is affiliation, not 13.0M full-time federal employees; learner and auxiliary counts are nested or uncredited.</x:v>
      </x:c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8" t="str">
        <x:v>Status</x:v>
      </x:c>
      <x:c r="B6" s="38" t="str">
        <x:v>Affiliates</x:v>
      </x:c>
      <x:c r="C6" s="38" t="str">
        <x:v>Share</x:v>
      </x:c>
      <x:c r="D6" s="38" t="str">
        <x:v>Loaded rate USD/year</x:v>
      </x:c>
      <x:c r="E6" s="38" t="str">
        <x:v>Annual people cost USD B</x:v>
      </x:c>
      <x:c r="F6" s="38" t="str">
        <x:v>Numerical boundary</x:v>
      </x:c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9" t="str">
        <x:v>National Career Service</x:v>
      </x:c>
      <x:c r="B7" s="46" t="n">
        <x:f>3995721.5+Controls!B8+Controls!B9</x:f>
        <x:v>5569744.61</x:v>
      </x:c>
      <x:c r="C7" s="47" t="n">
        <x:f>B7/$B$15</x:f>
        <x:v>0.42715267696766945</x:v>
      </x:c>
      <x:c r="D7" s="48" t="n">
        <x:v>160000</x:v>
      </x:c>
      <x:c r="E7" s="49" t="n">
        <x:f>B7*D7/1000000000</x:f>
        <x:v>891.1591376</x:v>
      </x:c>
      <x:c r="F7" s="39" t="str">
        <x:v>Direct permanent + institutional depth + common utility</x:v>
      </x:c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9" t="str">
        <x:v>National Ready Reserve</x:v>
      </x:c>
      <x:c r="B8" s="46" t="n">
        <x:v>2941258</x:v>
      </x:c>
      <x:c r="C8" s="47" t="n">
        <x:f>B8/$B$15</x:f>
        <x:v>0.22556980908906943</x:v>
      </x:c>
      <x:c r="D8" s="48" t="n">
        <x:v>50000</x:v>
      </x:c>
      <x:c r="E8" s="49" t="n">
        <x:f>B8*D8/1000000000</x:f>
        <x:v>147.0629</x:v>
      </x:c>
      <x:c r="F8" s="39" t="str">
        <x:v>Inherited formation component</x:v>
      </x:c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9" t="str">
        <x:v>Sovereign Covenant Services</x:v>
      </x:c>
      <x:c r="B9" s="46" t="n">
        <x:v>2434330.4</x:v>
      </x:c>
      <x:c r="C9" s="47" t="n">
        <x:f>B9/$B$15</x:f>
        <x:v>0.18669271569774495</x:v>
      </x:c>
      <x:c r="D9" s="48" t="n">
        <x:v>55000</x:v>
      </x:c>
      <x:c r="E9" s="49" t="n">
        <x:f>B9*D9/1000000000</x:f>
        <x:v>133.888172</x:v>
      </x:c>
      <x:c r="F9" s="39" t="str">
        <x:v>Combined state/territorial/tribal account; internal split source-empty</x:v>
      </x:c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9" t="str">
        <x:v>Productive Commonwealth Service</x:v>
      </x:c>
      <x:c r="B10" s="46" t="n">
        <x:v>2073164.35</x:v>
      </x:c>
      <x:c r="C10" s="47" t="n">
        <x:f>B10/$B$15</x:f>
        <x:v>0.15899431013524304</x:v>
      </x:c>
      <x:c r="D10" s="48" t="n">
        <x:v>90000</x:v>
      </x:c>
      <x:c r="E10" s="49" t="n">
        <x:f>B10*D10/1000000000</x:f>
        <x:v>186.5847915</x:v>
      </x:c>
      <x:c r="F10" s="39" t="str">
        <x:v>Formation industrial component; 200,000 qualified industrial positions are nested</x:v>
      </x:c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9" t="str">
        <x:v>Invited Partner Fellows</x:v>
      </x:c>
      <x:c r="B11" s="46" t="n">
        <x:v>20738.75</x:v>
      </x:c>
      <x:c r="C11" s="47" t="n">
        <x:f>B11/$B$15</x:f>
        <x:v>0.0015904881102732022</x:v>
      </x:c>
      <x:c r="D11" s="48" t="n">
        <x:v>20000</x:v>
      </x:c>
      <x:c r="E11" s="49" t="n">
        <x:f>B11*D11/1000000000</x:f>
        <x:v>0.414775</x:v>
      </x:c>
      <x:c r="F11" s="39" t="str">
        <x:v>Invited bilateral roles only</x:v>
      </x:c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5"/>
      <x:c r="B12" s="50"/>
      <x:c r="C12" s="51"/>
      <x:c r="D12" s="35"/>
      <x:c r="E12" s="52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35"/>
      <x:c r="B13" s="50"/>
      <x:c r="C13" s="51"/>
      <x:c r="D13" s="35"/>
      <x:c r="E13" s="52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>
      <x:c r="A14" s="53" t="str">
        <x:v>Total</x:v>
      </x:c>
      <x:c r="B14" s="54" t="str">
        <x:v>Affiliates</x:v>
      </x:c>
      <x:c r="C14" s="55" t="str">
        <x:v>Share</x:v>
      </x:c>
      <x:c r="D14" s="53" t="str">
        <x:v>Rate</x:v>
      </x:c>
      <x:c r="E14" s="56" t="str">
        <x:v>Annual people cost</x:v>
      </x:c>
      <x:c r="F14" s="53" t="str">
        <x:v>Boundary</x:v>
      </x:c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>
      <x:c r="A15" s="45" t="str">
        <x:v>Commonwealth</x:v>
      </x:c>
      <x:c r="B15" s="57" t="n">
        <x:f>SUM(B7:B11)</x:f>
        <x:v>13039236.11</x:v>
      </x:c>
      <x:c r="C15" s="58" t="n">
        <x:f>SUM(C7:C11)</x:f>
        <x:v>1</x:v>
      </x:c>
      <x:c r="D15" s="45"/>
      <x:c r="E15" s="59" t="n">
        <x:f>SUM(E7:E11)</x:f>
        <x:v>1359.1097760999999</x:v>
      </x:c>
      <x:c r="F15" s="45" t="str">
        <x:v>Conserved affiliated establishment</x:v>
      </x:c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9" hidden="0" customWidth="1"/>
    <x:col min="3" max="3" width="38" hidden="0" customWidth="1"/>
    <x:col min="4" max="4" width="76" hidden="0" customWidth="1"/>
    <x:col min="5" max="5" width="75" hidden="0" customWidth="1"/>
  </x:cols>
  <x:sheetData>
    <x:row r="2">
      <x:c r="A2" s="34" t="str">
        <x:v>Seven legal service statuses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37" t="str">
        <x:v>Service citizenship is a paid public-profession status, never nationality, immigration status or a tier of political rights.</x:v>
      </x:c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8" t="str">
        <x:v>ID</x:v>
      </x:c>
      <x:c r="B6" s="38" t="str">
        <x:v>Status</x:v>
      </x:c>
      <x:c r="C6" s="38" t="str">
        <x:v>Employer / sovereign</x:v>
      </x:c>
      <x:c r="D6" s="38" t="str">
        <x:v>Positive authority</x:v>
      </x:c>
      <x:c r="E6" s="38" t="str">
        <x:v>Negative authority</x:v>
      </x:c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 ht="45" customHeight="1">
      <x:c r="A7" s="39" t="str">
        <x:v>SC-1</x:v>
      </x:c>
      <x:c r="B7" s="44" t="str">
        <x:v>National Career Service</x:v>
      </x:c>
      <x:c r="C7" s="44" t="str">
        <x:v>Federal civil employer</x:v>
      </x:c>
      <x:c r="D7" s="44" t="str">
        <x:v>Continuous professional generation and formation staffing</x:v>
      </x:c>
      <x:c r="E7" s="44" t="str">
        <x:v>No police, military or political office by membership</x:v>
      </x:c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 ht="45" customHeight="1">
      <x:c r="A8" s="39" t="str">
        <x:v>SC-2</x:v>
      </x:c>
      <x:c r="B8" s="44" t="str">
        <x:v>National Ready Reserve</x:v>
      </x:c>
      <x:c r="C8" s="44" t="str">
        <x:v>Federal reserve compact</x:v>
      </x:c>
      <x:c r="D8" s="44" t="str">
        <x:v>Recurring qualification and bounded event duty</x:v>
      </x:c>
      <x:c r="E8" s="44" t="str">
        <x:v>No paper availability, indefinite call or employer veto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 ht="45" customHeight="1">
      <x:c r="A9" s="39" t="str">
        <x:v>SC-3</x:v>
      </x:c>
      <x:c r="B9" s="44" t="str">
        <x:v>State and Territorial Covenant Services</x:v>
      </x:c>
      <x:c r="C9" s="44" t="str">
        <x:v>State or territorial civil employer</x:v>
      </x:c>
      <x:c r="D9" s="44" t="str">
        <x:v>Local bridge, receiver interface and portable campaign service</x:v>
      </x:c>
      <x:c r="E9" s="44" t="str">
        <x:v>Federal funding does not transfer general government power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 ht="45" customHeight="1">
      <x:c r="A10" s="39" t="str">
        <x:v>SC-4</x:v>
      </x:c>
      <x:c r="B10" s="44" t="str">
        <x:v>Tribal Sovereign Services</x:v>
      </x:c>
      <x:c r="C10" s="44" t="str">
        <x:v>Tribal nation</x:v>
      </x:c>
      <x:c r="D10" s="44" t="str">
        <x:v>Direct sovereign bridge, receiver and campaign service</x:v>
      </x:c>
      <x:c r="E10" s="44" t="str">
        <x:v>No state intermediation or absorption into SC-3</x:v>
      </x:c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 ht="45" customHeight="1">
      <x:c r="A11" s="39" t="str">
        <x:v>SC-5</x:v>
      </x:c>
      <x:c r="B11" s="44" t="str">
        <x:v>Productive Commonwealth Service</x:v>
      </x:c>
      <x:c r="C11" s="44" t="str">
        <x:v>Chartered or public productive employer</x:v>
      </x:c>
      <x:c r="D11" s="44" t="str">
        <x:v>Industrial availability, repair and cold reconstruction</x:v>
      </x:c>
      <x:c r="E11" s="44" t="str">
        <x:v>Production status is not field or formation readiness</x:v>
      </x:c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 ht="45" customHeight="1">
      <x:c r="A12" s="39" t="str">
        <x:v>SC-6</x:v>
      </x:c>
      <x:c r="B12" s="44" t="str">
        <x:v>Invited Partner Fellows</x:v>
      </x:c>
      <x:c r="C12" s="44" t="str">
        <x:v>Partner civil institution under bilateral compact</x:v>
      </x:c>
      <x:c r="D12" s="44" t="str">
        <x:v>Invited mission interface, transfer and local reproduction</x:v>
      </x:c>
      <x:c r="E12" s="44" t="str">
        <x:v>No domestic use or unilateral U.S. recall</x:v>
      </x:c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 ht="45" customHeight="1">
      <x:c r="A13" s="39" t="str">
        <x:v>SC-7</x:v>
      </x:c>
      <x:c r="B13" s="44" t="str">
        <x:v>Learner and Civil Auxiliary Commons</x:v>
      </x:c>
      <x:c r="C13" s="44" t="str">
        <x:v>Accredited academy or receiver</x:v>
      </x:c>
      <x:c r="D13" s="44" t="str">
        <x:v>Protected training, supervised support and entry pipeline</x:v>
      </x:c>
      <x:c r="E13" s="44" t="str">
        <x:v>No readiness, command or independent hazardous work</x:v>
      </x:c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7" hidden="0" customWidth="1"/>
    <x:col min="3" max="3" width="124" hidden="0" customWidth="1"/>
  </x:cols>
  <x:sheetData>
    <x:row r="2">
      <x:c r="A2" s="34" t="str">
        <x:v>Twelve nonwaivable member rights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37" t="str">
        <x:v>Valid mobilization creates bounded duty, not ownership of a person.</x:v>
      </x:c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8" t="str">
        <x:v>Right</x:v>
      </x:c>
      <x:c r="B6" s="38" t="str">
        <x:v>Name</x:v>
      </x:c>
      <x:c r="C6" s="38" t="str">
        <x:v>Binding rule</x:v>
      </x:c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 ht="39" customHeight="1">
      <x:c r="A7" s="39" t="str">
        <x:v>R1</x:v>
      </x:c>
      <x:c r="B7" s="44" t="str">
        <x:v>Voluntary entry</x:v>
      </x:c>
      <x:c r="C7" s="44" t="str">
        <x:v>Membership begins only through informed paid acceptance; emergency need creates no involuntary status</x:v>
      </x:c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 ht="39" customHeight="1">
      <x:c r="A8" s="39" t="str">
        <x:v>R2</x:v>
      </x:c>
      <x:c r="B8" s="44" t="str">
        <x:v>Equal civil standing</x:v>
      </x:c>
      <x:c r="C8" s="44" t="str">
        <x:v>Service citizenship is not nationality, immigration status or a superior civil-rights class</x:v>
      </x:c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 ht="39" customHeight="1">
      <x:c r="A9" s="39" t="str">
        <x:v>R3</x:v>
      </x:c>
      <x:c r="B9" s="44" t="str">
        <x:v>Collective representation</x:v>
      </x:c>
      <x:c r="C9" s="44" t="str">
        <x:v>Every member may organize, bargain and select representation across employer changes</x:v>
      </x:c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 ht="39" customHeight="1">
      <x:c r="A10" s="39" t="str">
        <x:v>R4</x:v>
      </x:c>
      <x:c r="B10" s="44" t="str">
        <x:v>Due process and appeal</x:v>
      </x:c>
      <x:c r="C10" s="44" t="str">
        <x:v>Calls, discipline, credentials, fitness and separation receive reasons, evidence and review</x:v>
      </x:c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 ht="39" customHeight="1">
      <x:c r="A11" s="39" t="str">
        <x:v>R5</x:v>
      </x:c>
      <x:c r="B11" s="44" t="str">
        <x:v>Unsafe or unlawful refusal</x:v>
      </x:c>
      <x:c r="C11" s="44" t="str">
        <x:v>A member may stop an unsafe, unlawful, professionally false or coercive act without retaliation</x:v>
      </x:c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 ht="39" customHeight="1">
      <x:c r="A12" s="39" t="str">
        <x:v>R6</x:v>
      </x:c>
      <x:c r="B12" s="44" t="str">
        <x:v>Professional truth</x:v>
      </x:c>
      <x:c r="C12" s="44" t="str">
        <x:v>No commander, employer, buyer or politician may compel a false credential, finding or record</x:v>
      </x:c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 ht="39" customHeight="1">
      <x:c r="A13" s="39" t="str">
        <x:v>R7</x:v>
      </x:c>
      <x:c r="B13" s="44" t="str">
        <x:v>Transparent compensation</x:v>
      </x:c>
      <x:c r="C13" s="44" t="str">
        <x:v>Pay, premiums, leave, pension credit and reimbursement are known before duty</x:v>
      </x:c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 ht="39" customHeight="1">
      <x:c r="A14" s="39" t="str">
        <x:v>R8</x:v>
      </x:c>
      <x:c r="B14" s="44" t="str">
        <x:v>Health and injury coverage</x:v>
      </x:c>
      <x:c r="C14" s="44" t="str">
        <x:v>Exposure surveillance, treatment, disability and long-tail injury remain public obligations</x:v>
      </x:c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 ht="39" customHeight="1">
      <x:c r="A15" s="39" t="str">
        <x:v>R9</x:v>
      </x:c>
      <x:c r="B15" s="44" t="str">
        <x:v>Household continuity</x:v>
      </x:c>
      <x:c r="C15" s="44" t="str">
        <x:v>Dependent care, housing, transport, communications and relocation are readiness infrastructure</x:v>
      </x:c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 ht="39" customHeight="1">
      <x:c r="A16" s="39" t="str">
        <x:v>R10</x:v>
      </x:c>
      <x:c r="B16" s="44" t="str">
        <x:v>Employment return</x:v>
      </x:c>
      <x:c r="C16" s="44" t="str">
        <x:v>Reserve and covenant members return without retaliation, lost seniority or benefit fracture</x:v>
      </x:c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 ht="39" customHeight="1">
      <x:c r="A17" s="39" t="str">
        <x:v>R11</x:v>
      </x:c>
      <x:c r="B17" s="44" t="str">
        <x:v>Data dignity</x:v>
      </x:c>
      <x:c r="C17" s="44" t="str">
        <x:v>Only task-necessary personnel data may be used; members can inspect, correct and appeal it</x:v>
      </x:c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 ht="39" customHeight="1">
      <x:c r="A18" s="39" t="str">
        <x:v>R12</x:v>
      </x:c>
      <x:c r="B18" s="44" t="str">
        <x:v>Dignified separation</x:v>
      </x:c>
      <x:c r="C18" s="44" t="str">
        <x:v>Exit preserves earned benefits, records, appeal and care; adverse history is not erased</x:v>
      </x:c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5" hidden="0" customWidth="1"/>
    <x:col min="3" max="3" width="124" hidden="0" customWidth="1"/>
  </x:cols>
  <x:sheetData>
    <x:row r="2">
      <x:c r="A2" s="34" t="str">
        <x:v>Ten enforceable service duties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37" t="str">
        <x:v>Duty begins with voluntary membership and remains constrained by exact warrants, safe handoff, professional truth and return.</x:v>
      </x:c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8" t="str">
        <x:v>Duty</x:v>
      </x:c>
      <x:c r="B6" s="38" t="str">
        <x:v>Name</x:v>
      </x:c>
      <x:c r="C6" s="38" t="str">
        <x:v>Binding rule</x:v>
      </x:c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 ht="40" customHeight="1">
      <x:c r="A7" s="39" t="str">
        <x:v>D1</x:v>
      </x:c>
      <x:c r="B7" s="44" t="str">
        <x:v>Truthful entry</x:v>
      </x:c>
      <x:c r="C7" s="44" t="str">
        <x:v>Disclose required qualifications and conflicts; identity data remains purpose-bound</x:v>
      </x:c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 ht="40" customHeight="1">
      <x:c r="A8" s="39" t="str">
        <x:v>D2</x:v>
      </x:c>
      <x:c r="B8" s="44" t="str">
        <x:v>Recurring qualification</x:v>
      </x:c>
      <x:c r="C8" s="44" t="str">
        <x:v>Complete role-specific practice, denial trials and skill-renewal intervals</x:v>
      </x:c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 ht="40" customHeight="1">
      <x:c r="A9" s="39" t="str">
        <x:v>D3</x:v>
      </x:c>
      <x:c r="B9" s="44" t="str">
        <x:v>Availability declaration</x:v>
      </x:c>
      <x:c r="C9" s="44" t="str">
        <x:v>Maintain a current, honest duty window; unavailable is not a disciplinary finding</x:v>
      </x:c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 ht="40" customHeight="1">
      <x:c r="A10" s="39" t="str">
        <x:v>D4</x:v>
      </x:c>
      <x:c r="B10" s="44" t="str">
        <x:v>Lawful call</x:v>
      </x:c>
      <x:c r="C10" s="44" t="str">
        <x:v>Answer a valid typed mobilization order within the status-specific clock</x:v>
      </x:c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 ht="40" customHeight="1">
      <x:c r="A11" s="39" t="str">
        <x:v>D5</x:v>
      </x:c>
      <x:c r="B11" s="44" t="str">
        <x:v>Receiver custody</x:v>
      </x:c>
      <x:c r="C11" s="44" t="str">
        <x:v>Obey lawful receiving-sovereign method, interface and stop conditions</x:v>
      </x:c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 ht="40" customHeight="1">
      <x:c r="A12" s="39" t="str">
        <x:v>D6</x:v>
      </x:c>
      <x:c r="B12" s="44" t="str">
        <x:v>Professional integrity</x:v>
      </x:c>
      <x:c r="C12" s="44" t="str">
        <x:v>Exercise independent clinical, engineering, safety and evidence judgment</x:v>
      </x:c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 ht="40" customHeight="1">
      <x:c r="A13" s="39" t="str">
        <x:v>D7</x:v>
      </x:c>
      <x:c r="B13" s="44" t="str">
        <x:v>Noncoercion</x:v>
      </x:c>
      <x:c r="C13" s="44" t="str">
        <x:v>Do not convert service access, scarcity or dependence into political or personal leverage</x:v>
      </x:c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 ht="40" customHeight="1">
      <x:c r="A14" s="39" t="str">
        <x:v>D8</x:v>
      </x:c>
      <x:c r="B14" s="44" t="str">
        <x:v>Evidence custody</x:v>
      </x:c>
      <x:c r="C14" s="44" t="str">
        <x:v>Preserve actions, exposures, defects, refusals and adverse results for independent replay</x:v>
      </x:c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 ht="40" customHeight="1">
      <x:c r="A15" s="39" t="str">
        <x:v>D9</x:v>
      </x:c>
      <x:c r="B15" s="44" t="str">
        <x:v>Safe handoff</x:v>
      </x:c>
      <x:c r="C15" s="44" t="str">
        <x:v>Do not abandon an accepted essential function without relief, safe stop or protected refusal</x:v>
      </x:c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 ht="40" customHeight="1">
      <x:c r="A16" s="39" t="str">
        <x:v>D10</x:v>
      </x:c>
      <x:c r="B16" s="44" t="str">
        <x:v>Regeneration and return</x:v>
      </x:c>
      <x:c r="C16" s="44" t="str">
        <x:v>Complete health, equipment, credential, household and employment restoration</x:v>
      </x:c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92" hidden="0" customWidth="1"/>
    <x:col min="3" max="3" width="86" hidden="0" customWidth="1"/>
  </x:cols>
  <x:sheetData>
    <x:row r="2">
      <x:c r="A2" s="34" t="str">
        <x:v>Twelve separated personnel authorities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37" t="str">
        <x:v>No actor may issue the credential, readiness, call and employment states that validate its own power.</x:v>
      </x:c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8" t="str">
        <x:v>Actor</x:v>
      </x:c>
      <x:c r="B6" s="38" t="str">
        <x:v>Positive authority</x:v>
      </x:c>
      <x:c r="C6" s="38" t="str">
        <x:v>Negative authority</x:v>
      </x:c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 ht="42" customHeight="1">
      <x:c r="A7" s="44" t="str">
        <x:v>Service Citizenship Office</x:v>
      </x:c>
      <x:c r="B7" s="44" t="str">
        <x:v>Membership covenant, portable record and status transfer</x:v>
      </x:c>
      <x:c r="C7" s="44" t="str">
        <x:v>Cannot license professions, assign billets or mobilize members</x:v>
      </x:c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 ht="42" customHeight="1">
      <x:c r="A8" s="44" t="str">
        <x:v>Professional colleges</x:v>
      </x:c>
      <x:c r="B8" s="44" t="str">
        <x:v>Occupational license and professional discipline</x:v>
      </x:c>
      <x:c r="C8" s="44" t="str">
        <x:v>Cannot create Department qualification or campaign priority</x:v>
      </x:c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 ht="42" customHeight="1">
      <x:c r="A9" s="44" t="str">
        <x:v>Resilience Proving Service</x:v>
      </x:c>
      <x:c r="B9" s="44" t="str">
        <x:v>Task qualification and skill-decay evidence</x:v>
      </x:c>
      <x:c r="C9" s="44" t="str">
        <x:v>Cannot employ, schedule or command members</x:v>
      </x:c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 ht="42" customHeight="1">
      <x:c r="A10" s="44" t="str">
        <x:v>Generating services</x:v>
      </x:c>
      <x:c r="B10" s="44" t="str">
        <x:v>Billet assignments, crews and formation manifests</x:v>
      </x:c>
      <x:c r="C10" s="44" t="str">
        <x:v>Cannot self-certify qualification or civil activation</x:v>
      </x:c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 ht="42" customHeight="1">
      <x:c r="A11" s="44" t="str">
        <x:v>Joint Capacity Authority</x:v>
      </x:c>
      <x:c r="B11" s="44" t="str">
        <x:v>Formation readiness admission</x:v>
      </x:c>
      <x:c r="C11" s="44" t="str">
        <x:v>Cannot compel a person or create a civil claim</x:v>
      </x:c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 ht="42" customHeight="1">
      <x:c r="A12" s="44" t="str">
        <x:v>NMAC</x:v>
      </x:c>
      <x:c r="B12" s="44" t="str">
        <x:v>Collision-free schedule and mobilization order</x:v>
      </x:c>
      <x:c r="C12" s="44" t="str">
        <x:v>Cannot extend duty windows, waive rights or borrow missing roles</x:v>
      </x:c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 ht="42" customHeight="1">
      <x:c r="A13" s="44" t="str">
        <x:v>Civil Resilience Authority</x:v>
      </x:c>
      <x:c r="B13" s="44" t="str">
        <x:v>Campaign employment warrant</x:v>
      </x:c>
      <x:c r="C13" s="44" t="str">
        <x:v>Cannot manufacture readiness, professional truth or consent</x:v>
      </x:c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 ht="42" customHeight="1">
      <x:c r="A14" s="44" t="str">
        <x:v>Receiving sovereign</x:v>
      </x:c>
      <x:c r="B14" s="44" t="str">
        <x:v>Method, interface, custody and unsafe-act stop</x:v>
      </x:c>
      <x:c r="C14" s="44" t="str">
        <x:v>Cannot erase the equal floor or another sovereign's status</x:v>
      </x:c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 ht="42" customHeight="1">
      <x:c r="A15" s="44" t="str">
        <x:v>Member and representative</x:v>
      </x:c>
      <x:c r="B15" s="44" t="str">
        <x:v>Availability truth, representation, refusal and appeal</x:v>
      </x:c>
      <x:c r="C15" s="44" t="str">
        <x:v>Cannot self-certify competence or abandon without safe handoff</x:v>
      </x:c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 ht="42" customHeight="1">
      <x:c r="A16" s="44" t="str">
        <x:v>Employer</x:v>
      </x:c>
      <x:c r="B16" s="44" t="str">
        <x:v>Pay, ordinary supervision and employment return</x:v>
      </x:c>
      <x:c r="C16" s="44" t="str">
        <x:v>Cannot own portable credentials or veto a valid public duty</x:v>
      </x:c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 ht="42" customHeight="1">
      <x:c r="A17" s="44" t="str">
        <x:v>Service Rights Tribunal</x:v>
      </x:c>
      <x:c r="B17" s="44" t="str">
        <x:v>Rights remedy, necessity review and continuity arbitration</x:v>
      </x:c>
      <x:c r="C17" s="44" t="str">
        <x:v>Cannot certify skills or command operations</x:v>
      </x:c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 ht="42" customHeight="1">
      <x:c r="A18" s="44" t="str">
        <x:v>Civil courts and inspectors</x:v>
      </x:c>
      <x:c r="B18" s="44" t="str">
        <x:v>Independent review, remedy and public integrity</x:v>
      </x:c>
      <x:c r="C18" s="44" t="str">
        <x:v>Cannot generate readiness from procedural compliance</x:v>
      </x:c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1" hidden="0" customWidth="1"/>
    <x:col min="3" max="3" width="42" hidden="0" customWidth="1"/>
    <x:col min="4" max="4" width="74" hidden="0" customWidth="1"/>
    <x:col min="5" max="5" width="52" hidden="0" customWidth="1"/>
  </x:cols>
  <x:sheetData>
    <x:row r="2">
      <x:c r="A2" s="34" t="str">
        <x:v>Thirteen-state personnel lifecycle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37" t="str">
        <x:v>Each person moves through auditable civil states; loss of one predicate removes only the authority that depends on it.</x:v>
      </x:c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8" t="str">
        <x:v>State</x:v>
      </x:c>
      <x:c r="B6" s="38" t="str">
        <x:v>Name</x:v>
      </x:c>
      <x:c r="C6" s="38" t="str">
        <x:v>Entry evidence</x:v>
      </x:c>
      <x:c r="D6" s="38" t="str">
        <x:v>Positive authority</x:v>
      </x:c>
      <x:c r="E6" s="38" t="str">
        <x:v>Rollback</x:v>
      </x:c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 ht="39" customHeight="1">
      <x:c r="A7" s="39" t="str">
        <x:v>P00</x:v>
      </x:c>
      <x:c r="B7" s="44" t="str">
        <x:v>Candidate</x:v>
      </x:c>
      <x:c r="C7" s="44" t="str">
        <x:v>Application record</x:v>
      </x:c>
      <x:c r="D7" s="44" t="str">
        <x:v>No service authority</x:v>
      </x:c>
      <x:c r="E7" s="44" t="str">
        <x:v>Withdraw or reject with reason</x:v>
      </x:c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 ht="39" customHeight="1">
      <x:c r="A8" s="39" t="str">
        <x:v>P01</x:v>
      </x:c>
      <x:c r="B8" s="44" t="str">
        <x:v>Member</x:v>
      </x:c>
      <x:c r="C8" s="44" t="str">
        <x:v>PW01</x:v>
      </x:c>
      <x:c r="D8" s="44" t="str">
        <x:v>May seek qualifications and benefits</x:v>
      </x:c>
      <x:c r="E8" s="44" t="str">
        <x:v>Voluntary separation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 ht="39" customHeight="1">
      <x:c r="A9" s="39" t="str">
        <x:v>P02</x:v>
      </x:c>
      <x:c r="B9" s="44" t="str">
        <x:v>Licensed</x:v>
      </x:c>
      <x:c r="C9" s="44" t="str">
        <x:v>PW02 where regulated</x:v>
      </x:c>
      <x:c r="D9" s="44" t="str">
        <x:v>Professional practice in exact scope</x:v>
      </x:c>
      <x:c r="E9" s="44" t="str">
        <x:v>Suspend exact scope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 ht="39" customHeight="1">
      <x:c r="A10" s="39" t="str">
        <x:v>P03</x:v>
      </x:c>
      <x:c r="B10" s="44" t="str">
        <x:v>Qualified</x:v>
      </x:c>
      <x:c r="C10" s="44" t="str">
        <x:v>PW03</x:v>
      </x:c>
      <x:c r="D10" s="44" t="str">
        <x:v>Department task in exact role</x:v>
      </x:c>
      <x:c r="E10" s="44" t="str">
        <x:v>Requalify or expire</x:v>
      </x:c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 ht="39" customHeight="1">
      <x:c r="A11" s="39" t="str">
        <x:v>P04</x:v>
      </x:c>
      <x:c r="B11" s="44" t="str">
        <x:v>Assigned</x:v>
      </x:c>
      <x:c r="C11" s="44" t="str">
        <x:v>PW04</x:v>
      </x:c>
      <x:c r="D11" s="44" t="str">
        <x:v>Named billet and generating service</x:v>
      </x:c>
      <x:c r="E11" s="44" t="str">
        <x:v>Reassign without changing credential</x:v>
      </x:c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 ht="39" customHeight="1">
      <x:c r="A12" s="39" t="str">
        <x:v>P05</x:v>
      </x:c>
      <x:c r="B12" s="44" t="str">
        <x:v>Continuity-cleared</x:v>
      </x:c>
      <x:c r="C12" s="44" t="str">
        <x:v>PW05</x:v>
      </x:c>
      <x:c r="D12" s="44" t="str">
        <x:v>Household and fitness predicates satisfied</x:v>
      </x:c>
      <x:c r="E12" s="44" t="str">
        <x:v>Remedy missing predicate</x:v>
      </x:c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 ht="39" customHeight="1">
      <x:c r="A13" s="39" t="str">
        <x:v>P06</x:v>
      </x:c>
      <x:c r="B13" s="44" t="str">
        <x:v>Available</x:v>
      </x:c>
      <x:c r="C13" s="44" t="str">
        <x:v>PW06</x:v>
      </x:c>
      <x:c r="D13" s="44" t="str">
        <x:v>May enter a formation manifest</x:v>
      </x:c>
      <x:c r="E13" s="44" t="str">
        <x:v>Declare unavailable honestly</x:v>
      </x:c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 ht="39" customHeight="1">
      <x:c r="A14" s="39" t="str">
        <x:v>P07</x:v>
      </x:c>
      <x:c r="B14" s="44" t="str">
        <x:v>Manifested</x:v>
      </x:c>
      <x:c r="C14" s="44" t="str">
        <x:v>PW07</x:v>
      </x:c>
      <x:c r="D14" s="44" t="str">
        <x:v>Counts toward one exact formation crew</x:v>
      </x:c>
      <x:c r="E14" s="44" t="str">
        <x:v>Remove if any predicate expires</x:v>
      </x:c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 ht="39" customHeight="1">
      <x:c r="A15" s="39" t="str">
        <x:v>P08</x:v>
      </x:c>
      <x:c r="B15" s="44" t="str">
        <x:v>Mobilizing</x:v>
      </x:c>
      <x:c r="C15" s="44" t="str">
        <x:v>PW08</x:v>
      </x:c>
      <x:c r="D15" s="44" t="str">
        <x:v>Travel, assemble and enter receiver path</x:v>
      </x:c>
      <x:c r="E15" s="44" t="str">
        <x:v>Withdraw, replace or appeal</x:v>
      </x:c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 ht="39" customHeight="1">
      <x:c r="A16" s="39" t="str">
        <x:v>P09</x:v>
      </x:c>
      <x:c r="B16" s="44" t="str">
        <x:v>Employed</x:v>
      </x:c>
      <x:c r="C16" s="44" t="str">
        <x:v>PW09</x:v>
      </x:c>
      <x:c r="D16" s="44" t="str">
        <x:v>Execute admitted public-service task</x:v>
      </x:c>
      <x:c r="E16" s="44" t="str">
        <x:v>Thirty-day expiry or protected stop</x:v>
      </x:c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 ht="39" customHeight="1">
      <x:c r="A17" s="39" t="str">
        <x:v>P10</x:v>
      </x:c>
      <x:c r="B17" s="44" t="str">
        <x:v>Released</x:v>
      </x:c>
      <x:c r="C17" s="44" t="str">
        <x:v>PW10</x:v>
      </x:c>
      <x:c r="D17" s="44" t="str">
        <x:v>Leave committed task after safe handoff</x:v>
      </x:c>
      <x:c r="E17" s="44" t="str">
        <x:v>Reopen exact defect</x:v>
      </x:c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 ht="39" customHeight="1">
      <x:c r="A18" s="39" t="str">
        <x:v>P11</x:v>
      </x:c>
      <x:c r="B18" s="44" t="str">
        <x:v>Recovering</x:v>
      </x:c>
      <x:c r="C18" s="44" t="str">
        <x:v>Exposure and return record</x:v>
      </x:c>
      <x:c r="D18" s="44" t="str">
        <x:v>Protected care, leave and employment restoration</x:v>
      </x:c>
      <x:c r="E18" s="44" t="str">
        <x:v>Remain unavailable</x:v>
      </x:c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 ht="39" customHeight="1">
      <x:c r="A19" s="39" t="str">
        <x:v>P12</x:v>
      </x:c>
      <x:c r="B19" s="44" t="str">
        <x:v>Requalified / separated</x:v>
      </x:c>
      <x:c r="C19" s="44" t="str">
        <x:v>PW11 or separation order</x:v>
      </x:c>
      <x:c r="D19" s="44" t="str">
        <x:v>Return to P03–P06 or exit with rights</x:v>
      </x:c>
      <x:c r="E19" s="44" t="str">
        <x:v>Preserve history and appeal</x:v>
      </x:c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34" hidden="0" customWidth="1"/>
    <x:col min="3" max="3" width="46" hidden="0" customWidth="1"/>
    <x:col min="4" max="4" width="67" hidden="0" customWidth="1"/>
    <x:col min="5" max="5" width="77" hidden="0" customWidth="1"/>
    <x:col min="6" max="6" width="48" hidden="0" customWidth="1"/>
  </x:cols>
  <x:sheetData>
    <x:row r="2">
      <x:c r="A2" s="34" t="str">
        <x:v>Eleven personnel warrants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37" t="str">
        <x:v>Membership, profession, task skill, billet, continuity, availability, crew, call, employment and return never collapse into one employer record.</x:v>
      </x:c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8" t="str">
        <x:v>ID</x:v>
      </x:c>
      <x:c r="B6" s="38" t="str">
        <x:v>Warrant</x:v>
      </x:c>
      <x:c r="C6" s="38" t="str">
        <x:v>Issuer</x:v>
      </x:c>
      <x:c r="D6" s="38" t="str">
        <x:v>Positive authority</x:v>
      </x:c>
      <x:c r="E6" s="38" t="str">
        <x:v>Sufficient evidence</x:v>
      </x:c>
      <x:c r="F6" s="38" t="str">
        <x:v>Rollback</x:v>
      </x:c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 ht="43" customHeight="1">
      <x:c r="A7" s="39" t="str">
        <x:v>PW01</x:v>
      </x:c>
      <x:c r="B7" s="44" t="str">
        <x:v>Membership covenant</x:v>
      </x:c>
      <x:c r="C7" s="44" t="str">
        <x:v>Applicant + Service Citizenship Office</x:v>
      </x:c>
      <x:c r="D7" s="44" t="str">
        <x:v>Create one civil service membership</x:v>
      </x:c>
      <x:c r="E7" s="44" t="str">
        <x:v>Voluntary acceptance</x:v>
      </x:c>
      <x:c r="F7" s="44" t="str">
        <x:v>Separate with benefits and record</x:v>
      </x:c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 ht="43" customHeight="1">
      <x:c r="A8" s="39" t="str">
        <x:v>PW02</x:v>
      </x:c>
      <x:c r="B8" s="44" t="str">
        <x:v>Occupational license</x:v>
      </x:c>
      <x:c r="C8" s="44" t="str">
        <x:v>Independent professional college</x:v>
      </x:c>
      <x:c r="D8" s="44" t="str">
        <x:v>Authorize regulated professional practice</x:v>
      </x:c>
      <x:c r="E8" s="44" t="str">
        <x:v>Verified education and examination</x:v>
      </x:c>
      <x:c r="F8" s="44" t="str">
        <x:v>Suspend exact scope; appeal</x:v>
      </x:c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 ht="43" customHeight="1">
      <x:c r="A9" s="39" t="str">
        <x:v>PW03</x:v>
      </x:c>
      <x:c r="B9" s="44" t="str">
        <x:v>Department qualification</x:v>
      </x:c>
      <x:c r="C9" s="44" t="str">
        <x:v>Resilience Proving Service</x:v>
      </x:c>
      <x:c r="D9" s="44" t="str">
        <x:v>Authorize Department task performance</x:v>
      </x:c>
      <x:c r="E9" s="44" t="str">
        <x:v>Current role-specific physical evidence</x:v>
      </x:c>
      <x:c r="F9" s="44" t="str">
        <x:v>Requalify; no grandfathering</x:v>
      </x:c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 ht="43" customHeight="1">
      <x:c r="A10" s="39" t="str">
        <x:v>PW04</x:v>
      </x:c>
      <x:c r="B10" s="44" t="str">
        <x:v>Billet assignment</x:v>
      </x:c>
      <x:c r="C10" s="44" t="str">
        <x:v>Generating service</x:v>
      </x:c>
      <x:c r="D10" s="44" t="str">
        <x:v>Assign one qualified role in one service</x:v>
      </x:c>
      <x:c r="E10" s="44" t="str">
        <x:v>Current qualification + funded billet</x:v>
      </x:c>
      <x:c r="F10" s="44" t="str">
        <x:v>Reassign without credential change</x:v>
      </x:c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 ht="43" customHeight="1">
      <x:c r="A11" s="39" t="str">
        <x:v>PW05</x:v>
      </x:c>
      <x:c r="B11" s="44" t="str">
        <x:v>Fitness and household continuity</x:v>
      </x:c>
      <x:c r="C11" s="44" t="str">
        <x:v>Independent health and continuity authorities</x:v>
      </x:c>
      <x:c r="D11" s="44" t="str">
        <x:v>Admit current health, exposure and family predicates</x:v>
      </x:c>
      <x:c r="E11" s="44" t="str">
        <x:v>Current protected assessment + continuity package</x:v>
      </x:c>
      <x:c r="F11" s="44" t="str">
        <x:v>Remedy exact failed predicate</x:v>
      </x:c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 ht="43" customHeight="1">
      <x:c r="A12" s="39" t="str">
        <x:v>PW06</x:v>
      </x:c>
      <x:c r="B12" s="44" t="str">
        <x:v>Availability declaration</x:v>
      </x:c>
      <x:c r="C12" s="44" t="str">
        <x:v>Member + service registrar</x:v>
      </x:c>
      <x:c r="D12" s="44" t="str">
        <x:v>Expose an exact lawful duty window</x:v>
      </x:c>
      <x:c r="E12" s="44" t="str">
        <x:v>Member declaration + status obligation</x:v>
      </x:c>
      <x:c r="F12" s="44" t="str">
        <x:v>Return to unavailable without false readiness</x:v>
      </x:c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 ht="43" customHeight="1">
      <x:c r="A13" s="39" t="str">
        <x:v>PW07</x:v>
      </x:c>
      <x:c r="B13" s="44" t="str">
        <x:v>Formation manifest</x:v>
      </x:c>
      <x:c r="C13" s="44" t="str">
        <x:v>Generating service</x:v>
      </x:c>
      <x:c r="D13" s="44" t="str">
        <x:v>Bind exact people to one serial and crew role</x:v>
      </x:c>
      <x:c r="E13" s="44" t="str">
        <x:v>PW01–PW06 current for every required role</x:v>
      </x:c>
      <x:c r="F13" s="44" t="str">
        <x:v>Remove failed role; formation returns HOLD</x:v>
      </x:c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 ht="43" customHeight="1">
      <x:c r="A14" s="39" t="str">
        <x:v>PW08</x:v>
      </x:c>
      <x:c r="B14" s="44" t="str">
        <x:v>Mobilization order</x:v>
      </x:c>
      <x:c r="C14" s="44" t="str">
        <x:v>NMAC from valid claim</x:v>
      </x:c>
      <x:c r="D14" s="44" t="str">
        <x:v>Call an available member into a named serial and receiver</x:v>
      </x:c>
      <x:c r="E14" s="44" t="str">
        <x:v>Valid claim + ready serial + duty window</x:v>
      </x:c>
      <x:c r="F14" s="44" t="str">
        <x:v>Withdraw, replace or appeal</x:v>
      </x:c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 ht="43" customHeight="1">
      <x:c r="A15" s="39" t="str">
        <x:v>PW09</x:v>
      </x:c>
      <x:c r="B15" s="44" t="str">
        <x:v>Campaign employment</x:v>
      </x:c>
      <x:c r="C15" s="44" t="str">
        <x:v>Civil Resilience Authority</x:v>
      </x:c>
      <x:c r="D15" s="44" t="str">
        <x:v>Authorize exact public-service work</x:v>
      </x:c>
      <x:c r="E15" s="44" t="str">
        <x:v>Activation, receiver, rights and allocation chain</x:v>
      </x:c>
      <x:c r="F15" s="44" t="str">
        <x:v>Expires in thirty days; protected stop</x:v>
      </x:c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 ht="43" customHeight="1">
      <x:c r="A16" s="39" t="str">
        <x:v>PW10</x:v>
      </x:c>
      <x:c r="B16" s="44" t="str">
        <x:v>Civil release</x:v>
      </x:c>
      <x:c r="C16" s="44" t="str">
        <x:v>Receiver + operational command</x:v>
      </x:c>
      <x:c r="D16" s="44" t="str">
        <x:v>End committed duty and transfer work</x:v>
      </x:c>
      <x:c r="E16" s="44" t="str">
        <x:v>Safe handoff, residuals and acceptance</x:v>
      </x:c>
      <x:c r="F16" s="44" t="str">
        <x:v>Reopen exact defect</x:v>
      </x:c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 ht="43" customHeight="1">
      <x:c r="A17" s="39" t="str">
        <x:v>PW11</x:v>
      </x:c>
      <x:c r="B17" s="44" t="str">
        <x:v>Recovery and requalification</x:v>
      </x:c>
      <x:c r="C17" s="44" t="str">
        <x:v>Health authority + proving service</x:v>
      </x:c>
      <x:c r="D17" s="44" t="str">
        <x:v>Restore availability and future assignment</x:v>
      </x:c>
      <x:c r="E17" s="44" t="str">
        <x:v>Health, household, equipment and skill restored</x:v>
      </x:c>
      <x:c r="F17" s="44" t="str">
        <x:v>Remain outside ready pool</x:v>
      </x:c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48" hidden="0" customWidth="1"/>
    <x:col min="3" max="3" width="46" hidden="0" customWidth="1"/>
    <x:col min="4" max="4" width="45" hidden="0" customWidth="1"/>
    <x:col min="5" max="5" width="31" hidden="0" customWidth="1"/>
    <x:col min="6" max="6" width="68" hidden="0" customWidth="1"/>
  </x:cols>
  <x:sheetData>
    <x:row r="2">
      <x:c r="A2" s="34" t="str">
        <x:v>Status-specific mobilization and labor continuity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37" t="str">
        <x:v>The institution owes replacement and safe handoff; bounded duty never becomes criminalized labor or general emergency command.</x:v>
      </x:c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8" t="str">
        <x:v>Status</x:v>
      </x:c>
      <x:c r="B6" s="38" t="str">
        <x:v>Standing obligation</x:v>
      </x:c>
      <x:c r="C6" s="38" t="str">
        <x:v>Maximum event exposure</x:v>
      </x:c>
      <x:c r="D6" s="38" t="str">
        <x:v>Review</x:v>
      </x:c>
      <x:c r="E6" s="38" t="str">
        <x:v>Call clock</x:v>
      </x:c>
      <x:c r="F6" s="38" t="str">
        <x:v>Rights boundary</x:v>
      </x:c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 ht="51" customHeight="1">
      <x:c r="A7" s="44" t="str">
        <x:v>National Career Service</x:v>
      </x:c>
      <x:c r="B7" s="44" t="str">
        <x:v>Assigned professional year</x:v>
      </x:c>
      <x:c r="C7" s="44" t="str">
        <x:v>Per employment warrant</x:v>
      </x:c>
      <x:c r="D7" s="44" t="str">
        <x:v>30-day warrant; day-180 legislative review</x:v>
      </x:c>
      <x:c r="E7" s="44" t="str">
        <x:v>Continuous</x:v>
      </x:c>
      <x:c r="F7" s="44" t="str">
        <x:v>Shift, exposure, family and safe-stop limits</x:v>
      </x:c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 ht="51" customHeight="1">
      <x:c r="A8" s="44" t="str">
        <x:v>National Ready Reserve</x:v>
      </x:c>
      <x:c r="B8" s="44" t="str">
        <x:v>Recurring qualification + declared windows</x:v>
      </x:c>
      <x:c r="C8" s="44" t="str">
        <x:v>365 days in rolling 730</x:v>
      </x:c>
      <x:c r="D8" s="44" t="str">
        <x:v>30-day warrant; day-180 legislative review</x:v>
      </x:c>
      <x:c r="E8" s="44" t="str">
        <x:v>Call clock by billet</x:v>
      </x:c>
      <x:c r="F8" s="44" t="str">
        <x:v>Employment return, benefits and household continuity</x:v>
      </x:c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 ht="51" customHeight="1">
      <x:c r="A9" s="44" t="str">
        <x:v>State/Territorial/Tribal Covenant</x:v>
      </x:c>
      <x:c r="B9" s="44" t="str">
        <x:v>Local bridge plus accepted campaign duty</x:v>
      </x:c>
      <x:c r="C9" s="44" t="str">
        <x:v>Same campaign law; sovereign compact controls employer path</x:v>
      </x:c>
      <x:c r="D9" s="44" t="str">
        <x:v>30-day warrant; day-180 legislative review</x:v>
      </x:c>
      <x:c r="E9" s="44" t="str">
        <x:v>Local floor within 12 hours</x:v>
      </x:c>
      <x:c r="F9" s="44" t="str">
        <x:v>No transfer of general governing power</x:v>
      </x:c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 ht="51" customHeight="1">
      <x:c r="A10" s="44" t="str">
        <x:v>Productive Commonwealth Service</x:v>
      </x:c>
      <x:c r="B10" s="44" t="str">
        <x:v>Production, repair or reconstruction duty</x:v>
      </x:c>
      <x:c r="C10" s="44" t="str">
        <x:v>180 days per activation unless legislatively renewed</x:v>
      </x:c>
      <x:c r="D10" s="44" t="str">
        <x:v>30-day industrial warrant</x:v>
      </x:c>
      <x:c r="E10" s="44" t="str">
        <x:v>Industrial clock</x:v>
      </x:c>
      <x:c r="F10" s="44" t="str">
        <x:v>No field duty without second qualification</x:v>
      </x:c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 ht="51" customHeight="1">
      <x:c r="A11" s="44" t="str">
        <x:v>Invited Partner Fellows</x:v>
      </x:c>
      <x:c r="B11" s="44" t="str">
        <x:v>Accepted invited mission only</x:v>
      </x:c>
      <x:c r="C11" s="44" t="str">
        <x:v>Bilateral accepted interval</x:v>
      </x:c>
      <x:c r="D11" s="44" t="str">
        <x:v>Bilateral review and release</x:v>
      </x:c>
      <x:c r="E11" s="44" t="str">
        <x:v>Compact-specific</x:v>
      </x:c>
      <x:c r="F11" s="44" t="str">
        <x:v>No domestic activation or unilateral recall</x:v>
      </x:c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 ht="51" customHeight="1">
      <x:c r="A12" s="44" t="str">
        <x:v>Learner / auxiliary</x:v>
      </x:c>
      <x:c r="B12" s="44" t="str">
        <x:v>Supervised training or support</x:v>
      </x:c>
      <x:c r="C12" s="44" t="str">
        <x:v>No independent event duty</x:v>
      </x:c>
      <x:c r="D12" s="44" t="str">
        <x:v>Training term</x:v>
      </x:c>
      <x:c r="E12" s="44" t="str">
        <x:v>No readiness clock</x:v>
      </x:c>
      <x:c r="F12" s="44" t="str">
        <x:v>Never fills a required crew role</x:v>
      </x:c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20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8" hidden="0" customWidth="1"/>
    <x:col min="8" max="8" width="17" hidden="0" customWidth="1"/>
  </x:cols>
  <x:sheetData>
    <x:row r="2">
      <x:c r="A2" s="34" t="str">
        <x:v>Direct affiliated billets by generating service and inherited component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37" t="str">
        <x:v>Component shares are inherited formation inputs; they are legal workforce accounts, not current named people.</x:v>
      </x:c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8" t="str">
        <x:v>Generating service</x:v>
      </x:c>
      <x:c r="B6" s="38" t="str">
        <x:v>Direct billets</x:v>
      </x:c>
      <x:c r="C6" s="38" t="str">
        <x:v>Career</x:v>
      </x:c>
      <x:c r="D6" s="38" t="str">
        <x:v>Reserve</x:v>
      </x:c>
      <x:c r="E6" s="38" t="str">
        <x:v>Covenant</x:v>
      </x:c>
      <x:c r="F6" s="38" t="str">
        <x:v>Productive</x:v>
      </x:c>
      <x:c r="G6" s="38" t="str">
        <x:v>Partner</x:v>
      </x:c>
      <x:c r="H6" s="38" t="str">
        <x:v>Conservation</x:v>
      </x:c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9" t="str">
        <x:v>Joint</x:v>
      </x:c>
      <x:c r="B7" s="46" t="n">
        <x:v>414775</x:v>
      </x:c>
      <x:c r="C7" s="46" t="n">
        <x:v>248865</x:v>
      </x:c>
      <x:c r="D7" s="46" t="n">
        <x:v>82955</x:v>
      </x:c>
      <x:c r="E7" s="46" t="n">
        <x:v>41477.5</x:v>
      </x:c>
      <x:c r="F7" s="46" t="n">
        <x:v>20738.75</x:v>
      </x:c>
      <x:c r="G7" s="46" t="n">
        <x:v>20738.75</x:v>
      </x:c>
      <x:c r="H7" s="39" t="str">
        <x:f>IF(ABS(B7-SUM(C7:G7))&lt;0.01,"PASS","FAIL")</x:f>
        <x:v>PASS</x:v>
      </x:c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9" t="str">
        <x:v>Land Engineering</x:v>
      </x:c>
      <x:c r="B8" s="46" t="n">
        <x:v>610220</x:v>
      </x:c>
      <x:c r="C8" s="46" t="n">
        <x:v>213577</x:v>
      </x:c>
      <x:c r="D8" s="46" t="n">
        <x:v>152555</x:v>
      </x:c>
      <x:c r="E8" s="46" t="n">
        <x:v>152555</x:v>
      </x:c>
      <x:c r="F8" s="46" t="n">
        <x:v>91533</x:v>
      </x:c>
      <x:c r="G8" s="46" t="n">
        <x:v>0</x:v>
      </x:c>
      <x:c r="H8" s="39" t="str">
        <x:f>IF(ABS(B8-SUM(C8:G8))&lt;0.01,"PASS","FAIL")</x:f>
        <x:v>PASS</x:v>
      </x:c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9" t="str">
        <x:v>Air Response</x:v>
      </x:c>
      <x:c r="B9" s="46" t="n">
        <x:v>670320</x:v>
      </x:c>
      <x:c r="C9" s="46" t="n">
        <x:v>435708</x:v>
      </x:c>
      <x:c r="D9" s="46" t="n">
        <x:v>167580</x:v>
      </x:c>
      <x:c r="E9" s="46" t="n">
        <x:v>33516</x:v>
      </x:c>
      <x:c r="F9" s="46" t="n">
        <x:v>33516</x:v>
      </x:c>
      <x:c r="G9" s="46" t="n">
        <x:v>0</x:v>
      </x:c>
      <x:c r="H9" s="39" t="str">
        <x:f>IF(ABS(B9-SUM(C9:G9))&lt;0.01,"PASS","FAIL")</x:f>
        <x:v>PASS</x:v>
      </x:c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9" t="str">
        <x:v>Maritime Response</x:v>
      </x:c>
      <x:c r="B10" s="46" t="n">
        <x:v>705150</x:v>
      </x:c>
      <x:c r="C10" s="46" t="n">
        <x:v>493605</x:v>
      </x:c>
      <x:c r="D10" s="46" t="n">
        <x:v>141030</x:v>
      </x:c>
      <x:c r="E10" s="46" t="n">
        <x:v>14103</x:v>
      </x:c>
      <x:c r="F10" s="46" t="n">
        <x:v>56412</x:v>
      </x:c>
      <x:c r="G10" s="46" t="n">
        <x:v>0</x:v>
      </x:c>
      <x:c r="H10" s="39" t="str">
        <x:f>IF(ABS(B10-SUM(C10:G10))&lt;0.01,"PASS","FAIL")</x:f>
        <x:v>PASS</x:v>
      </x:c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9" t="str">
        <x:v>Infrastructure Restoration</x:v>
      </x:c>
      <x:c r="B11" s="46" t="n">
        <x:v>2469810</x:v>
      </x:c>
      <x:c r="C11" s="46" t="n">
        <x:v>864433.5</x:v>
      </x:c>
      <x:c r="D11" s="46" t="n">
        <x:v>617452.5</x:v>
      </x:c>
      <x:c r="E11" s="46" t="n">
        <x:v>370471.5</x:v>
      </x:c>
      <x:c r="F11" s="46" t="n">
        <x:v>617452.5</x:v>
      </x:c>
      <x:c r="G11" s="46" t="n">
        <x:v>0</x:v>
      </x:c>
      <x:c r="H11" s="39" t="str">
        <x:f>IF(ABS(B11-SUM(C11:G11))&lt;0.01,"PASS","FAIL")</x:f>
        <x:v>PASS</x:v>
      </x:c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9" t="str">
        <x:v>Health Protection</x:v>
      </x:c>
      <x:c r="B12" s="46" t="n">
        <x:v>1309510</x:v>
      </x:c>
      <x:c r="C12" s="46" t="n">
        <x:v>458328.5</x:v>
      </x:c>
      <x:c r="D12" s="46" t="n">
        <x:v>458328.5</x:v>
      </x:c>
      <x:c r="E12" s="46" t="n">
        <x:v>196426.5</x:v>
      </x:c>
      <x:c r="F12" s="46" t="n">
        <x:v>196426.5</x:v>
      </x:c>
      <x:c r="G12" s="46" t="n">
        <x:v>0</x:v>
      </x:c>
      <x:c r="H12" s="39" t="str">
        <x:f>IF(ABS(B12-SUM(C12:G12))&lt;0.01,"PASS","FAIL")</x:f>
        <x:v>PASS</x:v>
      </x:c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39" t="str">
        <x:v>Community Stabilization</x:v>
      </x:c>
      <x:c r="B13" s="46" t="n">
        <x:v>803050</x:v>
      </x:c>
      <x:c r="C13" s="46" t="n">
        <x:v>160610</x:v>
      </x:c>
      <x:c r="D13" s="46" t="n">
        <x:v>200762.5</x:v>
      </x:c>
      <x:c r="E13" s="46" t="n">
        <x:v>281067.5</x:v>
      </x:c>
      <x:c r="F13" s="46" t="n">
        <x:v>160610</x:v>
      </x:c>
      <x:c r="G13" s="46" t="n">
        <x:v>0</x:v>
      </x:c>
      <x:c r="H13" s="39" t="str">
        <x:f>IF(ABS(B13-SUM(C13:G13))&lt;0.01,"PASS","FAIL")</x:f>
        <x:v>PASS</x:v>
      </x:c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>
      <x:c r="A14" s="39" t="str">
        <x:v>Civil Mobility and Continuity</x:v>
      </x:c>
      <x:c r="B14" s="46" t="n">
        <x:v>4482378</x:v>
      </x:c>
      <x:c r="C14" s="46" t="n">
        <x:v>1120594.5</x:v>
      </x:c>
      <x:c r="D14" s="46" t="n">
        <x:v>1120594.5</x:v>
      </x:c>
      <x:c r="E14" s="46" t="n">
        <x:v>1344713.4</x:v>
      </x:c>
      <x:c r="F14" s="46" t="n">
        <x:v>896475.6</x:v>
      </x:c>
      <x:c r="G14" s="46" t="n">
        <x:v>0</x:v>
      </x:c>
      <x:c r="H14" s="39" t="str">
        <x:f>IF(ABS(B14-SUM(C14:G14))&lt;0.01,"PASS","FAIL")</x:f>
        <x:v>PASS</x:v>
      </x:c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>
      <x:c r="A15" s="35"/>
      <x:c r="B15" s="50"/>
      <x:c r="C15" s="50"/>
      <x:c r="D15" s="50"/>
      <x:c r="E15" s="50"/>
      <x:c r="F15" s="50"/>
      <x:c r="G15" s="50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>
      <x:c r="A16" s="35"/>
      <x:c r="B16" s="50"/>
      <x:c r="C16" s="50"/>
      <x:c r="D16" s="50"/>
      <x:c r="E16" s="50"/>
      <x:c r="F16" s="50"/>
      <x:c r="G16" s="50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>
      <x:c r="A17" s="53" t="str">
        <x:v>Total</x:v>
      </x:c>
      <x:c r="B17" s="54" t="str">
        <x:v>Direct billets</x:v>
      </x:c>
      <x:c r="C17" s="54" t="str">
        <x:v>Career</x:v>
      </x:c>
      <x:c r="D17" s="54" t="str">
        <x:v>Reserve</x:v>
      </x:c>
      <x:c r="E17" s="54" t="str">
        <x:v>Covenant</x:v>
      </x:c>
      <x:c r="F17" s="54" t="str">
        <x:v>Productive</x:v>
      </x:c>
      <x:c r="G17" s="54" t="str">
        <x:v>Partner</x:v>
      </x:c>
      <x:c r="H17" s="53" t="str">
        <x:v>Conservation</x:v>
      </x:c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>
      <x:c r="A18" s="45" t="str">
        <x:v>Portfolio</x:v>
      </x:c>
      <x:c r="B18" s="57" t="n">
        <x:f>SUM(B7:B14)</x:f>
        <x:v>11465213</x:v>
      </x:c>
      <x:c r="C18" s="57" t="n">
        <x:f>SUM(C7:C14)</x:f>
        <x:v>3995721.5</x:v>
      </x:c>
      <x:c r="D18" s="57" t="n">
        <x:f>SUM(D7:D14)</x:f>
        <x:v>2941258</x:v>
      </x:c>
      <x:c r="E18" s="57" t="n">
        <x:f>SUM(E7:E14)</x:f>
        <x:v>2434330.4</x:v>
      </x:c>
      <x:c r="F18" s="57" t="n">
        <x:f>SUM(F7:F14)</x:f>
        <x:v>2073164.35</x:v>
      </x:c>
      <x:c r="G18" s="57" t="n">
        <x:f>SUM(G7:G14)</x:f>
        <x:v>20738.75</x:v>
      </x:c>
      <x:c r="H18" s="45" t="str">
        <x:f>IF(ABS(B18-SUM(C18:G18))&lt;0.01,"PASS","FAIL")</x:f>
        <x:v>PASS</x:v>
      </x:c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7" hidden="0" customWidth="1"/>
    <x:col min="2" max="2" width="20" hidden="0" customWidth="1"/>
    <x:col min="3" max="3" width="27" hidden="0" customWidth="1"/>
    <x:col min="4" max="4" width="25" hidden="0" customWidth="1"/>
    <x:col min="5" max="5" width="91" hidden="0" customWidth="1"/>
  </x:cols>
  <x:sheetData>
    <x:row r="2">
      <x:c r="A2" s="34" t="str">
        <x:v>Institutional depth and common utility workforce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37" t="str">
        <x:v>These positions are added once to direct formation billets and assigned to the National Career Service in the fiscal reference case.</x:v>
      </x:c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8" t="str">
        <x:v>Account</x:v>
      </x:c>
      <x:c r="B6" s="38" t="str">
        <x:v>Positions</x:v>
      </x:c>
      <x:c r="C6" s="38" t="str">
        <x:v>Loaded rate USD/year</x:v>
      </x:c>
      <x:c r="D6" s="38" t="str">
        <x:v>Annual cost USD B</x:v>
      </x:c>
      <x:c r="E6" s="38" t="str">
        <x:v>Boundary</x:v>
      </x:c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9" t="str">
        <x:v>Direct formation permanent component</x:v>
      </x:c>
      <x:c r="B7" s="46" t="n">
        <x:v>3995721.5</x:v>
      </x:c>
      <x:c r="C7" s="48" t="n">
        <x:v>160000</x:v>
      </x:c>
      <x:c r="D7" s="49" t="n">
        <x:f>B7*C7/1000000000</x:f>
        <x:v>639.31544</x:v>
      </x:c>
      <x:c r="E7" s="39" t="str">
        <x:v>Generated inside 5,251 formations</x:v>
      </x:c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9" t="str">
        <x:v>Institutional depth</x:v>
      </x:c>
      <x:c r="B8" s="46" t="n">
        <x:v>1375825.56</x:v>
      </x:c>
      <x:c r="C8" s="48" t="n">
        <x:v>160000</x:v>
      </x:c>
      <x:c r="D8" s="49" t="n">
        <x:f>B8*C8/1000000000</x:f>
        <x:v>220.1320896</x:v>
      </x:c>
      <x:c r="E8" s="39" t="str">
        <x:v>Schools, depots, doctrine, proving and replacement outside formations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9" t="str">
        <x:v>Common utility workforce</x:v>
      </x:c>
      <x:c r="B9" s="46" t="n">
        <x:v>198197.55</x:v>
      </x:c>
      <x:c r="C9" s="48" t="n">
        <x:v>160000</x:v>
      </x:c>
      <x:c r="D9" s="49" t="n">
        <x:f>B9*C9/1000000000</x:f>
        <x:v>31.711608</x:v>
      </x:c>
      <x:c r="E9" s="39" t="str">
        <x:v>Held once outside formation-direct billets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45" t="str">
        <x:v>National Career Service total</x:v>
      </x:c>
      <x:c r="B10" s="57" t="n">
        <x:f>SUM(B7:B9)</x:f>
        <x:v>5569744.61</x:v>
      </x:c>
      <x:c r="C10" s="60" t="n">
        <x:v>160000</x:v>
      </x:c>
      <x:c r="D10" s="59" t="n">
        <x:f>SUM(D7:D9)</x:f>
        <x:v>891.1591375999999</x:v>
      </x:c>
      <x:c r="E10" s="45" t="str">
        <x:v>Conserved career membership ledger</x:v>
      </x:c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6" hidden="0" customWidth="1"/>
    <x:col min="2" max="2" width="20" hidden="0" customWidth="1"/>
    <x:col min="3" max="3" width="67" hidden="0" customWidth="1"/>
    <x:col min="4" max="4" width="66" hidden="0" customWidth="1"/>
  </x:cols>
  <x:sheetData>
    <x:row r="2">
      <x:c r="A2" s="34" t="str">
        <x:v>Productive-service workforce boundaries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37" t="str">
        <x:v>Industrial service supports formation and regeneration but cannot become a field credential or readiness claim.</x:v>
      </x:c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8" t="str">
        <x:v>Object</x:v>
      </x:c>
      <x:c r="B6" s="38" t="str">
        <x:v>Count</x:v>
      </x:c>
      <x:c r="C6" s="38" t="str">
        <x:v>Relationship</x:v>
      </x:c>
      <x:c r="D6" s="38" t="str">
        <x:v>Readiness treatment</x:v>
      </x:c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9" t="str">
        <x:v>Productive component of direct formation billets</x:v>
      </x:c>
      <x:c r="B7" s="46" t="n">
        <x:v>2073164.35</x:v>
      </x:c>
      <x:c r="C7" s="44" t="str">
        <x:v>Inherited across 48 formation families</x:v>
      </x:c>
      <x:c r="D7" s="44" t="str">
        <x:v>Affiliated; exact people source-empty</x:v>
      </x:c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9" t="str">
        <x:v>Qualified industrial positions</x:v>
      </x:c>
      <x:c r="B8" s="46" t="n">
        <x:v>200000</x:v>
      </x:c>
      <x:c r="C8" s="44" t="str">
        <x:v>Nested specialized subset</x:v>
      </x:c>
      <x:c r="D8" s="44" t="str">
        <x:v>Industrial availability only</x:v>
      </x:c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9" t="str">
        <x:v>Resident campus cohorts</x:v>
      </x:c>
      <x:c r="B9" s="46" t="n">
        <x:v>120000</x:v>
      </x:c>
      <x:c r="C9" s="44" t="str">
        <x:v>60% planning share of qualified positions</x:v>
      </x:c>
      <x:c r="D9" s="44" t="str">
        <x:v>No field readiness</x:v>
      </x:c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9" t="str">
        <x:v>Transferable reinforcement</x:v>
      </x:c>
      <x:c r="B10" s="46" t="n">
        <x:v>50000</x:v>
      </x:c>
      <x:c r="C10" s="44" t="str">
        <x:v>25% planning share of qualified positions</x:v>
      </x:c>
      <x:c r="D10" s="44" t="str">
        <x:v>Industrial mobilization only</x:v>
      </x:c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9" t="str">
        <x:v>Instructor and reconstruction personnel</x:v>
      </x:c>
      <x:c r="B11" s="46" t="n">
        <x:v>30000</x:v>
      </x:c>
      <x:c r="C11" s="44" t="str">
        <x:v>15% planning share of qualified positions</x:v>
      </x:c>
      <x:c r="D11" s="44" t="str">
        <x:v>Industrial mobilization only</x:v>
      </x:c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9" t="str">
        <x:v>Annual credential completions</x:v>
      </x:c>
      <x:c r="B12" s="46" t="n">
        <x:v>20000</x:v>
      </x:c>
      <x:c r="C12" s="44" t="str">
        <x:v>10% annual renewal of qualified positions</x:v>
      </x:c>
      <x:c r="D12" s="44" t="str">
        <x:v>Pipeline output; not a ready formation</x:v>
      </x:c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39" t="str">
        <x:v>Two-year learner pipeline</x:v>
      </x:c>
      <x:c r="B13" s="46" t="n">
        <x:v>44400</x:v>
      </x:c>
      <x:c r="C13" s="44" t="str">
        <x:v>90% completion planning assumption</x:v>
      </x:c>
      <x:c r="D13" s="44" t="str">
        <x:v>Nested learner status; zero authority</x:v>
      </x:c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52" hidden="0" customWidth="1"/>
    <x:col min="3" max="3" width="57" hidden="0" customWidth="1"/>
    <x:col min="4" max="4" width="64" hidden="0" customWidth="1"/>
    <x:col min="5" max="5" width="66" hidden="0" customWidth="1"/>
  </x:cols>
  <x:sheetData>
    <x:row r="2">
      <x:c r="A2" s="34" t="str">
        <x:v>Credential formation and renewal pipeline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37" t="str">
        <x:v>A credential is portable public infrastructure; employer loss cannot erase it and course completion cannot substitute for task evidence.</x:v>
      </x:c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8" t="str">
        <x:v>Layer</x:v>
      </x:c>
      <x:c r="B6" s="38" t="str">
        <x:v>Owner</x:v>
      </x:c>
      <x:c r="C6" s="38" t="str">
        <x:v>Admission object</x:v>
      </x:c>
      <x:c r="D6" s="38" t="str">
        <x:v>Completion object</x:v>
      </x:c>
      <x:c r="E6" s="38" t="str">
        <x:v>Failure / renewal</x:v>
      </x:c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 ht="48" customHeight="1">
      <x:c r="A7" s="44" t="str">
        <x:v>Foundational service education</x:v>
      </x:c>
      <x:c r="B7" s="44" t="str">
        <x:v>Accredited public academies</x:v>
      </x:c>
      <x:c r="C7" s="44" t="str">
        <x:v>Eligible learner + rights covenant</x:v>
      </x:c>
      <x:c r="D7" s="44" t="str">
        <x:v>Service citizenship entry preparation</x:v>
      </x:c>
      <x:c r="E7" s="44" t="str">
        <x:v>Repeat or exit without penalty</x:v>
      </x:c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 ht="48" customHeight="1">
      <x:c r="A8" s="44" t="str">
        <x:v>Occupational profession</x:v>
      </x:c>
      <x:c r="B8" s="44" t="str">
        <x:v>Independent professional colleges</x:v>
      </x:c>
      <x:c r="C8" s="44" t="str">
        <x:v>Education and supervised practice</x:v>
      </x:c>
      <x:c r="D8" s="44" t="str">
        <x:v>PW02 occupational license</x:v>
      </x:c>
      <x:c r="E8" s="44" t="str">
        <x:v>Scope-specific discipline and continuing education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 ht="48" customHeight="1">
      <x:c r="A9" s="44" t="str">
        <x:v>Department task qualification</x:v>
      </x:c>
      <x:c r="B9" s="44" t="str">
        <x:v>Resilience Proving Service</x:v>
      </x:c>
      <x:c r="C9" s="44" t="str">
        <x:v>Licensed or eligible member</x:v>
      </x:c>
      <x:c r="D9" s="44" t="str">
        <x:v>PW03 exact role qualification</x:v>
      </x:c>
      <x:c r="E9" s="44" t="str">
        <x:v>Expiry, technology change or adverse evidence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 ht="48" customHeight="1">
      <x:c r="A10" s="44" t="str">
        <x:v>Formation crew rehearsal</x:v>
      </x:c>
      <x:c r="B10" s="44" t="str">
        <x:v>Generating service</x:v>
      </x:c>
      <x:c r="C10" s="44" t="str">
        <x:v>Qualified assigned members</x:v>
      </x:c>
      <x:c r="D10" s="44" t="str">
        <x:v>PW07 valid crew manifest</x:v>
      </x:c>
      <x:c r="E10" s="44" t="str">
        <x:v>Any missing role removes readiness</x:v>
      </x:c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 ht="48" customHeight="1">
      <x:c r="A11" s="44" t="str">
        <x:v>Joint campaign exercise</x:v>
      </x:c>
      <x:c r="B11" s="44" t="str">
        <x:v>Joint Capacity Authority + receivers</x:v>
      </x:c>
      <x:c r="C11" s="44" t="str">
        <x:v>Ready formations and admitted receiver seams</x:v>
      </x:c>
      <x:c r="D11" s="44" t="str">
        <x:v>Campaign contribution evidence</x:v>
      </x:c>
      <x:c r="E11" s="44" t="str">
        <x:v>No effect or readiness credit from attendance</x:v>
      </x:c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 ht="48" customHeight="1">
      <x:c r="A12" s="44" t="str">
        <x:v>Cold reconstruction academy</x:v>
      </x:c>
      <x:c r="B12" s="44" t="str">
        <x:v>Productive Commonwealth</x:v>
      </x:c>
      <x:c r="C12" s="44" t="str">
        <x:v>Qualified industrial cohort</x:v>
      </x:c>
      <x:c r="D12" s="44" t="str">
        <x:v>Reproduced service lot and accepted evidence</x:v>
      </x:c>
      <x:c r="E12" s="44" t="str">
        <x:v>Failure routes to redesign or requalification</x:v>
      </x:c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 ht="48" customHeight="1">
      <x:c r="A13" s="44" t="str">
        <x:v>Leadership and rights command</x:v>
      </x:c>
      <x:c r="B13" s="44" t="str">
        <x:v>Service Rights Tribunal + academies</x:v>
      </x:c>
      <x:c r="C13" s="44" t="str">
        <x:v>Assigned supervisors and representatives</x:v>
      </x:c>
      <x:c r="D13" s="44" t="str">
        <x:v>Temporary task-command qualification</x:v>
      </x:c>
      <x:c r="E13" s="44" t="str">
        <x:v>Abuse, false record or rights failure revokes scope</x:v>
      </x:c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9" hidden="0" customWidth="1"/>
    <x:col min="2" max="2" width="24" hidden="0" customWidth="1"/>
    <x:col min="3" max="3" width="27" hidden="0" customWidth="1"/>
    <x:col min="4" max="4" width="22" hidden="0" customWidth="1"/>
    <x:col min="5" max="5" width="76" hidden="0" customWidth="1"/>
  </x:cols>
  <x:sheetData>
    <x:row r="2">
      <x:c r="A2" s="34" t="str">
        <x:v>Mature annual workforce and readiness economy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37" t="str">
        <x:v>The component-derived people floor replaces the under-specified 40% top-down allocation while preserving the prior nonpeople readiness floor.</x:v>
      </x:c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8" t="str">
        <x:v>Account</x:v>
      </x:c>
      <x:c r="B6" s="38" t="str">
        <x:v>Affiliates / basis</x:v>
      </x:c>
      <x:c r="C6" s="38" t="str">
        <x:v>Loaded rate or share</x:v>
      </x:c>
      <x:c r="D6" s="38" t="str">
        <x:v>Annual USD B</x:v>
      </x:c>
      <x:c r="E6" s="38" t="str">
        <x:v>Boundary</x:v>
      </x:c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9" t="str">
        <x:v>National Career Service</x:v>
      </x:c>
      <x:c r="B7" s="46" t="n">
        <x:f>'Membership Ledger'!B7</x:f>
        <x:v>5569744.61</x:v>
      </x:c>
      <x:c r="C7" s="48" t="n">
        <x:v>160000</x:v>
      </x:c>
      <x:c r="D7" s="49" t="n">
        <x:f>B7*C7/1000000000</x:f>
        <x:v>891.1591376</x:v>
      </x:c>
      <x:c r="E7" s="39" t="str">
        <x:v>Direct permanent + institutional + common</x:v>
      </x:c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9" t="str">
        <x:v>National Ready Reserve</x:v>
      </x:c>
      <x:c r="B8" s="46" t="n">
        <x:f>'Membership Ledger'!B8</x:f>
        <x:v>2941258</x:v>
      </x:c>
      <x:c r="C8" s="48" t="n">
        <x:v>50000</x:v>
      </x:c>
      <x:c r="D8" s="49" t="n">
        <x:f>B8*C8/1000000000</x:f>
        <x:v>147.0629</x:v>
      </x:c>
      <x:c r="E8" s="39" t="str">
        <x:v>Inherited reserve component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9" t="str">
        <x:v>Sovereign Covenant Services</x:v>
      </x:c>
      <x:c r="B9" s="46" t="n">
        <x:f>'Membership Ledger'!B9</x:f>
        <x:v>2434330.4</x:v>
      </x:c>
      <x:c r="C9" s="48" t="n">
        <x:v>55000</x:v>
      </x:c>
      <x:c r="D9" s="49" t="n">
        <x:f>B9*C9/1000000000</x:f>
        <x:v>133.888172</x:v>
      </x:c>
      <x:c r="E9" s="39" t="str">
        <x:v>Combined covenant account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9" t="str">
        <x:v>Productive Commonwealth Service</x:v>
      </x:c>
      <x:c r="B10" s="46" t="n">
        <x:f>'Membership Ledger'!B10</x:f>
        <x:v>2073164.35</x:v>
      </x:c>
      <x:c r="C10" s="48" t="n">
        <x:v>90000</x:v>
      </x:c>
      <x:c r="D10" s="49" t="n">
        <x:f>B10*C10/1000000000</x:f>
        <x:v>186.5847915</x:v>
      </x:c>
      <x:c r="E10" s="39" t="str">
        <x:v>Inherited productive component</x:v>
      </x:c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9" t="str">
        <x:v>Invited Partner Fellows</x:v>
      </x:c>
      <x:c r="B11" s="46" t="n">
        <x:f>'Membership Ledger'!B11</x:f>
        <x:v>20738.75</x:v>
      </x:c>
      <x:c r="C11" s="48" t="n">
        <x:v>20000</x:v>
      </x:c>
      <x:c r="D11" s="49" t="n">
        <x:f>B11*C11/1000000000</x:f>
        <x:v>0.414775</x:v>
      </x:c>
      <x:c r="E11" s="39" t="str">
        <x:v>Bilateral roles</x:v>
      </x:c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45" t="str">
        <x:v>People and household floor</x:v>
      </x:c>
      <x:c r="B12" s="57" t="n">
        <x:f>'Membership Ledger'!B15</x:f>
        <x:v>13039236.11</x:v>
      </x:c>
      <x:c r="C12" s="45"/>
      <x:c r="D12" s="59" t="n">
        <x:f>SUM(D7:D11)</x:f>
        <x:v>1359.1097760999999</x:v>
      </x:c>
      <x:c r="E12" s="45" t="str">
        <x:v>Component-derived; replaces top-down share</x:v>
      </x:c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45" t="str">
        <x:v>Prior top-down people allocation</x:v>
      </x:c>
      <x:c r="B13" s="45" t="n">
        <x:v>2110</x:v>
      </x:c>
      <x:c r="C13" s="61" t="n">
        <x:v>0.4</x:v>
      </x:c>
      <x:c r="D13" s="59" t="n">
        <x:f>B13*C13</x:f>
        <x:v>844</x:v>
      </x:c>
      <x:c r="E13" s="45" t="str">
        <x:v>Retired reference</x:v>
      </x:c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>
      <x:c r="A14" s="45" t="str">
        <x:v>Personnel gap to prior allocation</x:v>
      </x:c>
      <x:c r="B14" s="45"/>
      <x:c r="C14" s="61"/>
      <x:c r="D14" s="59" t="n">
        <x:f>D12-D13</x:f>
        <x:v>515.1097760999999</x:v>
      </x:c>
      <x:c r="E14" s="45" t="str">
        <x:v>Unfunded if inherited operations are retained</x:v>
      </x:c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>
      <x:c r="A15" s="45" t="str">
        <x:v>Preserved nonpeople readiness floor</x:v>
      </x:c>
      <x:c r="B15" s="45" t="n">
        <x:v>2110</x:v>
      </x:c>
      <x:c r="C15" s="61" t="n">
        <x:v>0.6</x:v>
      </x:c>
      <x:c r="D15" s="59" t="n">
        <x:f>B15*C15</x:f>
        <x:v>1266</x:v>
      </x:c>
      <x:c r="E15" s="45" t="str">
        <x:v>Maintenance, stocks, receivers, proof and mobility</x:v>
      </x:c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>
      <x:c r="A16" s="45" t="str">
        <x:v>Revised mature operations</x:v>
      </x:c>
      <x:c r="B16" s="45"/>
      <x:c r="C16" s="45"/>
      <x:c r="D16" s="59" t="n">
        <x:f>D12+D15</x:f>
        <x:v>2625.1097761</x:v>
      </x:c>
      <x:c r="E16" s="45" t="str">
        <x:v>People floor + preserved nonpeople floor</x:v>
      </x:c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>
      <x:c r="A17" s="35"/>
      <x:c r="B17" s="35"/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>
      <x:c r="A19" s="53" t="str">
        <x:v>Revised operations bridge</x:v>
      </x:c>
      <x:c r="B19" s="53" t="str">
        <x:v>USD B/year</x:v>
      </x:c>
      <x:c r="C19" s="53" t="str">
        <x:v>Share of revised operations</x:v>
      </x:c>
      <x:c r="D19" s="35"/>
      <x:c r="E19" s="35"/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>
      <x:c r="A20" s="45" t="str">
        <x:v>People and household floor</x:v>
      </x:c>
      <x:c r="B20" s="59" t="n">
        <x:f>D12</x:f>
        <x:v>1359.1097760999999</x:v>
      </x:c>
      <x:c r="C20" s="58" t="n">
        <x:f>B20/$B$22</x:f>
        <x:v>0.5177344538022194</x:v>
      </x:c>
      <x:c r="D20" s="35"/>
      <x:c r="E20" s="35"/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>
      <x:c r="A21" s="45" t="str">
        <x:v>Preserved nonpeople floor</x:v>
      </x:c>
      <x:c r="B21" s="59" t="n">
        <x:f>D15</x:f>
        <x:v>1266</x:v>
      </x:c>
      <x:c r="C21" s="58" t="n">
        <x:f>B21/$B$22</x:f>
        <x:v>0.48226554619778056</x:v>
      </x:c>
      <x:c r="D21" s="35"/>
      <x:c r="E21" s="35"/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>
      <x:c r="A22" s="45" t="str">
        <x:v>Revised mature operations</x:v>
      </x:c>
      <x:c r="B22" s="59" t="n">
        <x:f>SUM(B20:B21)</x:f>
        <x:v>2625.1097761</x:v>
      </x:c>
      <x:c r="C22" s="58" t="n">
        <x:f>SUM(C20:C21)</x:f>
        <x:v>1</x:v>
      </x:c>
      <x:c r="D22" s="35"/>
      <x:c r="E22" s="35"/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24" hidden="0" customWidth="1"/>
    <x:col min="4" max="4" width="24" hidden="0" customWidth="1"/>
    <x:col min="5" max="5" width="28" hidden="0" customWidth="1"/>
    <x:col min="6" max="6" width="27" hidden="0" customWidth="1"/>
    <x:col min="7" max="7" width="28" hidden="0" customWidth="1"/>
    <x:col min="8" max="8" width="25" hidden="0" customWidth="1"/>
  </x:cols>
  <x:sheetData>
    <x:row r="2">
      <x:c r="A2" s="34" t="str">
        <x:v>Twenty-five-year fiscal revision and sensitivity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37" t="str">
        <x:v>Operations follow the inherited build-share ramp; technology and capital remain separate and unchanged.</x:v>
      </x:c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8" t="str">
        <x:v>Year</x:v>
      </x:c>
      <x:c r="B6" s="38" t="str">
        <x:v>Built share</x:v>
      </x:c>
      <x:c r="C6" s="38" t="str">
        <x:v>Personnel USD B</x:v>
      </x:c>
      <x:c r="D6" s="38" t="str">
        <x:v>Nonpeople USD B</x:v>
      </x:c>
      <x:c r="E6" s="38" t="str">
        <x:v>Revised operations USD B</x:v>
      </x:c>
      <x:c r="F6" s="38" t="str">
        <x:v>Inherited operations USD B</x:v>
      </x:c>
      <x:c r="G6" s="38" t="str">
        <x:v>Operations increment USD B</x:v>
      </x:c>
      <x:c r="H6" s="38" t="str">
        <x:v>Public outlay USD B</x:v>
      </x:c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9" t="n">
        <x:v>1</x:v>
      </x:c>
      <x:c r="B7" s="62" t="n">
        <x:v>0.02</x:v>
      </x:c>
      <x:c r="C7" s="49" t="n">
        <x:f>B7*'Workforce Economy'!$B$20</x:f>
        <x:v>27.182195521999997</x:v>
      </x:c>
      <x:c r="D7" s="49" t="n">
        <x:f>B7*'Workforce Economy'!$B$21</x:f>
        <x:v>25.32</x:v>
      </x:c>
      <x:c r="E7" s="49" t="n">
        <x:f>C7+D7</x:f>
        <x:v>52.502195521999994</x:v>
      </x:c>
      <x:c r="F7" s="49" t="n">
        <x:f>B7*Controls!$B$22</x:f>
        <x:v>42.2</x:v>
      </x:c>
      <x:c r="G7" s="49" t="n">
        <x:f>E7-F7</x:f>
        <x:v>10.302195521999991</x:v>
      </x:c>
      <x:c r="H7" s="49" t="n">
        <x:f>E7+IF(A7&lt;=11,17400/11,0)+IF(A7&lt;=10,88,8)</x:f>
        <x:v>1722.3203773401817</x:v>
      </x:c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9" t="n">
        <x:v>2</x:v>
      </x:c>
      <x:c r="B8" s="62" t="n">
        <x:v>0.05</x:v>
      </x:c>
      <x:c r="C8" s="49" t="n">
        <x:f>B8*'Workforce Economy'!$B$20</x:f>
        <x:v>67.955488805</x:v>
      </x:c>
      <x:c r="D8" s="49" t="n">
        <x:f>B8*'Workforce Economy'!$B$21</x:f>
        <x:v>63.300000000000004</x:v>
      </x:c>
      <x:c r="E8" s="49" t="n">
        <x:f>C8+D8</x:f>
        <x:v>131.255488805</x:v>
      </x:c>
      <x:c r="F8" s="49" t="n">
        <x:f>B8*Controls!$B$22</x:f>
        <x:v>105.5</x:v>
      </x:c>
      <x:c r="G8" s="49" t="n">
        <x:f>E8-F8</x:f>
        <x:v>25.755488805</x:v>
      </x:c>
      <x:c r="H8" s="49" t="n">
        <x:f>E8+IF(A8&lt;=11,17400/11,0)+IF(A8&lt;=10,88,8)</x:f>
        <x:v>1801.0736706231817</x:v>
      </x:c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9" t="n">
        <x:v>3</x:v>
      </x:c>
      <x:c r="B9" s="62" t="n">
        <x:v>0.1</x:v>
      </x:c>
      <x:c r="C9" s="49" t="n">
        <x:f>B9*'Workforce Economy'!$B$20</x:f>
        <x:v>135.91097761</x:v>
      </x:c>
      <x:c r="D9" s="49" t="n">
        <x:f>B9*'Workforce Economy'!$B$21</x:f>
        <x:v>126.60000000000001</x:v>
      </x:c>
      <x:c r="E9" s="49" t="n">
        <x:f>C9+D9</x:f>
        <x:v>262.51097761</x:v>
      </x:c>
      <x:c r="F9" s="49" t="n">
        <x:f>B9*Controls!$B$22</x:f>
        <x:v>211</x:v>
      </x:c>
      <x:c r="G9" s="49" t="n">
        <x:f>E9-F9</x:f>
        <x:v>51.51097761</x:v>
      </x:c>
      <x:c r="H9" s="49" t="n">
        <x:f>E9+IF(A9&lt;=11,17400/11,0)+IF(A9&lt;=10,88,8)</x:f>
        <x:v>1932.3291594281818</x:v>
      </x:c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9" t="n">
        <x:v>4</x:v>
      </x:c>
      <x:c r="B10" s="62" t="n">
        <x:v>0.18</x:v>
      </x:c>
      <x:c r="C10" s="49" t="n">
        <x:f>B10*'Workforce Economy'!$B$20</x:f>
        <x:v>244.63975969799998</x:v>
      </x:c>
      <x:c r="D10" s="49" t="n">
        <x:f>B10*'Workforce Economy'!$B$21</x:f>
        <x:v>227.88</x:v>
      </x:c>
      <x:c r="E10" s="49" t="n">
        <x:f>C10+D10</x:f>
        <x:v>472.519759698</x:v>
      </x:c>
      <x:c r="F10" s="49" t="n">
        <x:f>B10*Controls!$B$22</x:f>
        <x:v>379.8</x:v>
      </x:c>
      <x:c r="G10" s="49" t="n">
        <x:f>E10-F10</x:f>
        <x:v>92.71975969799996</x:v>
      </x:c>
      <x:c r="H10" s="49" t="n">
        <x:f>E10+IF(A10&lt;=11,17400/11,0)+IF(A10&lt;=10,88,8)</x:f>
        <x:v>2142.3379415161817</x:v>
      </x:c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9" t="n">
        <x:v>5</x:v>
      </x:c>
      <x:c r="B11" s="62" t="n">
        <x:v>0.28</x:v>
      </x:c>
      <x:c r="C11" s="49" t="n">
        <x:f>B11*'Workforce Economy'!$B$20</x:f>
        <x:v>380.550737308</x:v>
      </x:c>
      <x:c r="D11" s="49" t="n">
        <x:f>B11*'Workforce Economy'!$B$21</x:f>
        <x:v>354.48</x:v>
      </x:c>
      <x:c r="E11" s="49" t="n">
        <x:f>C11+D11</x:f>
        <x:v>735.030737308</x:v>
      </x:c>
      <x:c r="F11" s="49" t="n">
        <x:f>B11*Controls!$B$22</x:f>
        <x:v>590.8000000000001</x:v>
      </x:c>
      <x:c r="G11" s="49" t="n">
        <x:f>E11-F11</x:f>
        <x:v>144.2307373079999</x:v>
      </x:c>
      <x:c r="H11" s="49" t="n">
        <x:f>E11+IF(A11&lt;=11,17400/11,0)+IF(A11&lt;=10,88,8)</x:f>
        <x:v>2404.8489191261815</x:v>
      </x:c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9" t="n">
        <x:v>6</x:v>
      </x:c>
      <x:c r="B12" s="62" t="n">
        <x:v>0.4</x:v>
      </x:c>
      <x:c r="C12" s="49" t="n">
        <x:f>B12*'Workforce Economy'!$B$20</x:f>
        <x:v>543.64391044</x:v>
      </x:c>
      <x:c r="D12" s="49" t="n">
        <x:f>B12*'Workforce Economy'!$B$21</x:f>
        <x:v>506.40000000000003</x:v>
      </x:c>
      <x:c r="E12" s="49" t="n">
        <x:f>C12+D12</x:f>
        <x:v>1050.04391044</x:v>
      </x:c>
      <x:c r="F12" s="49" t="n">
        <x:f>B12*Controls!$B$22</x:f>
        <x:v>844</x:v>
      </x:c>
      <x:c r="G12" s="49" t="n">
        <x:f>E12-F12</x:f>
        <x:v>206.04391044</x:v>
      </x:c>
      <x:c r="H12" s="49" t="n">
        <x:f>E12+IF(A12&lt;=11,17400/11,0)+IF(A12&lt;=10,88,8)</x:f>
        <x:v>2719.8620922581817</x:v>
      </x:c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39" t="n">
        <x:v>7</x:v>
      </x:c>
      <x:c r="B13" s="62" t="n">
        <x:v>0.54</x:v>
      </x:c>
      <x:c r="C13" s="49" t="n">
        <x:f>B13*'Workforce Economy'!$B$20</x:f>
        <x:v>733.919279094</x:v>
      </x:c>
      <x:c r="D13" s="49" t="n">
        <x:f>B13*'Workforce Economy'!$B$21</x:f>
        <x:v>683.6400000000001</x:v>
      </x:c>
      <x:c r="E13" s="49" t="n">
        <x:f>C13+D13</x:f>
        <x:v>1417.559279094</x:v>
      </x:c>
      <x:c r="F13" s="49" t="n">
        <x:f>B13*Controls!$B$22</x:f>
        <x:v>1139.4</x:v>
      </x:c>
      <x:c r="G13" s="49" t="n">
        <x:f>E13-F13</x:f>
        <x:v>278.1592790939999</x:v>
      </x:c>
      <x:c r="H13" s="49" t="n">
        <x:f>E13+IF(A13&lt;=11,17400/11,0)+IF(A13&lt;=10,88,8)</x:f>
        <x:v>3087.377460912182</x:v>
      </x:c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>
      <x:c r="A14" s="39" t="n">
        <x:v>8</x:v>
      </x:c>
      <x:c r="B14" s="62" t="n">
        <x:v>0.7</x:v>
      </x:c>
      <x:c r="C14" s="49" t="n">
        <x:f>B14*'Workforce Economy'!$B$20</x:f>
        <x:v>951.3768432699999</x:v>
      </x:c>
      <x:c r="D14" s="49" t="n">
        <x:f>B14*'Workforce Economy'!$B$21</x:f>
        <x:v>886.1999999999999</x:v>
      </x:c>
      <x:c r="E14" s="49" t="n">
        <x:f>C14+D14</x:f>
        <x:v>1837.5768432699997</x:v>
      </x:c>
      <x:c r="F14" s="49" t="n">
        <x:f>B14*Controls!$B$22</x:f>
        <x:v>1477</x:v>
      </x:c>
      <x:c r="G14" s="49" t="n">
        <x:f>E14-F14</x:f>
        <x:v>360.5768432699997</x:v>
      </x:c>
      <x:c r="H14" s="49" t="n">
        <x:f>E14+IF(A14&lt;=11,17400/11,0)+IF(A14&lt;=10,88,8)</x:f>
        <x:v>3507.3950250881817</x:v>
      </x:c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>
      <x:c r="A15" s="39" t="n">
        <x:v>9</x:v>
      </x:c>
      <x:c r="B15" s="62" t="n">
        <x:v>0.84</x:v>
      </x:c>
      <x:c r="C15" s="49" t="n">
        <x:f>B15*'Workforce Economy'!$B$20</x:f>
        <x:v>1141.6522119239999</x:v>
      </x:c>
      <x:c r="D15" s="49" t="n">
        <x:f>B15*'Workforce Economy'!$B$21</x:f>
        <x:v>1063.44</x:v>
      </x:c>
      <x:c r="E15" s="49" t="n">
        <x:f>C15+D15</x:f>
        <x:v>2205.092211924</x:v>
      </x:c>
      <x:c r="F15" s="49" t="n">
        <x:f>B15*Controls!$B$22</x:f>
        <x:v>1772.3999999999999</x:v>
      </x:c>
      <x:c r="G15" s="49" t="n">
        <x:f>E15-F15</x:f>
        <x:v>432.69221192400005</x:v>
      </x:c>
      <x:c r="H15" s="49" t="n">
        <x:f>E15+IF(A15&lt;=11,17400/11,0)+IF(A15&lt;=10,88,8)</x:f>
        <x:v>3874.9103937421814</x:v>
      </x:c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>
      <x:c r="A16" s="39" t="n">
        <x:v>10</x:v>
      </x:c>
      <x:c r="B16" s="62" t="n">
        <x:v>0.94</x:v>
      </x:c>
      <x:c r="C16" s="49" t="n">
        <x:f>B16*'Workforce Economy'!$B$20</x:f>
        <x:v>1277.5631895339998</x:v>
      </x:c>
      <x:c r="D16" s="49" t="n">
        <x:f>B16*'Workforce Economy'!$B$21</x:f>
        <x:v>1190.04</x:v>
      </x:c>
      <x:c r="E16" s="49" t="n">
        <x:f>C16+D16</x:f>
        <x:v>2467.6031895339997</x:v>
      </x:c>
      <x:c r="F16" s="49" t="n">
        <x:f>B16*Controls!$B$22</x:f>
        <x:v>1983.3999999999999</x:v>
      </x:c>
      <x:c r="G16" s="49" t="n">
        <x:f>E16-F16</x:f>
        <x:v>484.2031895339999</x:v>
      </x:c>
      <x:c r="H16" s="49" t="n">
        <x:f>E16+IF(A16&lt;=11,17400/11,0)+IF(A16&lt;=10,88,8)</x:f>
        <x:v>4137.421371352181</x:v>
      </x:c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>
      <x:c r="A17" s="39" t="n">
        <x:v>11</x:v>
      </x:c>
      <x:c r="B17" s="62" t="n">
        <x:v>1</x:v>
      </x:c>
      <x:c r="C17" s="49" t="n">
        <x:f>B17*'Workforce Economy'!$B$20</x:f>
        <x:v>1359.1097760999999</x:v>
      </x:c>
      <x:c r="D17" s="49" t="n">
        <x:f>B17*'Workforce Economy'!$B$21</x:f>
        <x:v>1266</x:v>
      </x:c>
      <x:c r="E17" s="49" t="n">
        <x:f>C17+D17</x:f>
        <x:v>2625.1097761</x:v>
      </x:c>
      <x:c r="F17" s="49" t="n">
        <x:f>B17*Controls!$B$22</x:f>
        <x:v>2110</x:v>
      </x:c>
      <x:c r="G17" s="49" t="n">
        <x:f>E17-F17</x:f>
        <x:v>515.1097761000001</x:v>
      </x:c>
      <x:c r="H17" s="49" t="n">
        <x:f>E17+IF(A17&lt;=11,17400/11,0)+IF(A17&lt;=10,88,8)</x:f>
        <x:v>4214.927957918182</x:v>
      </x:c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>
      <x:c r="A18" s="39" t="n">
        <x:v>12</x:v>
      </x:c>
      <x:c r="B18" s="62" t="n">
        <x:v>1</x:v>
      </x:c>
      <x:c r="C18" s="49" t="n">
        <x:f>B18*'Workforce Economy'!$B$20</x:f>
        <x:v>1359.1097760999999</x:v>
      </x:c>
      <x:c r="D18" s="49" t="n">
        <x:f>B18*'Workforce Economy'!$B$21</x:f>
        <x:v>1266</x:v>
      </x:c>
      <x:c r="E18" s="49" t="n">
        <x:f>C18+D18</x:f>
        <x:v>2625.1097761</x:v>
      </x:c>
      <x:c r="F18" s="49" t="n">
        <x:f>B18*Controls!$B$22</x:f>
        <x:v>2110</x:v>
      </x:c>
      <x:c r="G18" s="49" t="n">
        <x:f>E18-F18</x:f>
        <x:v>515.1097761000001</x:v>
      </x:c>
      <x:c r="H18" s="49" t="n">
        <x:f>E18+IF(A18&lt;=11,17400/11,0)+IF(A18&lt;=10,88,8)</x:f>
        <x:v>2633.1097761</x:v>
      </x:c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>
      <x:c r="A19" s="39" t="n">
        <x:v>13</x:v>
      </x:c>
      <x:c r="B19" s="62" t="n">
        <x:v>1</x:v>
      </x:c>
      <x:c r="C19" s="49" t="n">
        <x:f>B19*'Workforce Economy'!$B$20</x:f>
        <x:v>1359.1097760999999</x:v>
      </x:c>
      <x:c r="D19" s="49" t="n">
        <x:f>B19*'Workforce Economy'!$B$21</x:f>
        <x:v>1266</x:v>
      </x:c>
      <x:c r="E19" s="49" t="n">
        <x:f>C19+D19</x:f>
        <x:v>2625.1097761</x:v>
      </x:c>
      <x:c r="F19" s="49" t="n">
        <x:f>B19*Controls!$B$22</x:f>
        <x:v>2110</x:v>
      </x:c>
      <x:c r="G19" s="49" t="n">
        <x:f>E19-F19</x:f>
        <x:v>515.1097761000001</x:v>
      </x:c>
      <x:c r="H19" s="49" t="n">
        <x:f>E19+IF(A19&lt;=11,17400/11,0)+IF(A19&lt;=10,88,8)</x:f>
        <x:v>2633.1097761</x:v>
      </x:c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>
      <x:c r="A20" s="39" t="n">
        <x:v>14</x:v>
      </x:c>
      <x:c r="B20" s="62" t="n">
        <x:v>1</x:v>
      </x:c>
      <x:c r="C20" s="49" t="n">
        <x:f>B20*'Workforce Economy'!$B$20</x:f>
        <x:v>1359.1097760999999</x:v>
      </x:c>
      <x:c r="D20" s="49" t="n">
        <x:f>B20*'Workforce Economy'!$B$21</x:f>
        <x:v>1266</x:v>
      </x:c>
      <x:c r="E20" s="49" t="n">
        <x:f>C20+D20</x:f>
        <x:v>2625.1097761</x:v>
      </x:c>
      <x:c r="F20" s="49" t="n">
        <x:f>B20*Controls!$B$22</x:f>
        <x:v>2110</x:v>
      </x:c>
      <x:c r="G20" s="49" t="n">
        <x:f>E20-F20</x:f>
        <x:v>515.1097761000001</x:v>
      </x:c>
      <x:c r="H20" s="49" t="n">
        <x:f>E20+IF(A20&lt;=11,17400/11,0)+IF(A20&lt;=10,88,8)</x:f>
        <x:v>2633.1097761</x:v>
      </x:c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>
      <x:c r="A21" s="39" t="n">
        <x:v>15</x:v>
      </x:c>
      <x:c r="B21" s="62" t="n">
        <x:v>1</x:v>
      </x:c>
      <x:c r="C21" s="49" t="n">
        <x:f>B21*'Workforce Economy'!$B$20</x:f>
        <x:v>1359.1097760999999</x:v>
      </x:c>
      <x:c r="D21" s="49" t="n">
        <x:f>B21*'Workforce Economy'!$B$21</x:f>
        <x:v>1266</x:v>
      </x:c>
      <x:c r="E21" s="49" t="n">
        <x:f>C21+D21</x:f>
        <x:v>2625.1097761</x:v>
      </x:c>
      <x:c r="F21" s="49" t="n">
        <x:f>B21*Controls!$B$22</x:f>
        <x:v>2110</x:v>
      </x:c>
      <x:c r="G21" s="49" t="n">
        <x:f>E21-F21</x:f>
        <x:v>515.1097761000001</x:v>
      </x:c>
      <x:c r="H21" s="49" t="n">
        <x:f>E21+IF(A21&lt;=11,17400/11,0)+IF(A21&lt;=10,88,8)</x:f>
        <x:v>2633.1097761</x:v>
      </x:c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>
      <x:c r="A22" s="39" t="n">
        <x:v>16</x:v>
      </x:c>
      <x:c r="B22" s="62" t="n">
        <x:v>1</x:v>
      </x:c>
      <x:c r="C22" s="49" t="n">
        <x:f>B22*'Workforce Economy'!$B$20</x:f>
        <x:v>1359.1097760999999</x:v>
      </x:c>
      <x:c r="D22" s="49" t="n">
        <x:f>B22*'Workforce Economy'!$B$21</x:f>
        <x:v>1266</x:v>
      </x:c>
      <x:c r="E22" s="49" t="n">
        <x:f>C22+D22</x:f>
        <x:v>2625.1097761</x:v>
      </x:c>
      <x:c r="F22" s="49" t="n">
        <x:f>B22*Controls!$B$22</x:f>
        <x:v>2110</x:v>
      </x:c>
      <x:c r="G22" s="49" t="n">
        <x:f>E22-F22</x:f>
        <x:v>515.1097761000001</x:v>
      </x:c>
      <x:c r="H22" s="49" t="n">
        <x:f>E22+IF(A22&lt;=11,17400/11,0)+IF(A22&lt;=10,88,8)</x:f>
        <x:v>2633.1097761</x:v>
      </x:c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>
      <x:c r="A23" s="39" t="n">
        <x:v>17</x:v>
      </x:c>
      <x:c r="B23" s="62" t="n">
        <x:v>1</x:v>
      </x:c>
      <x:c r="C23" s="49" t="n">
        <x:f>B23*'Workforce Economy'!$B$20</x:f>
        <x:v>1359.1097760999999</x:v>
      </x:c>
      <x:c r="D23" s="49" t="n">
        <x:f>B23*'Workforce Economy'!$B$21</x:f>
        <x:v>1266</x:v>
      </x:c>
      <x:c r="E23" s="49" t="n">
        <x:f>C23+D23</x:f>
        <x:v>2625.1097761</x:v>
      </x:c>
      <x:c r="F23" s="49" t="n">
        <x:f>B23*Controls!$B$22</x:f>
        <x:v>2110</x:v>
      </x:c>
      <x:c r="G23" s="49" t="n">
        <x:f>E23-F23</x:f>
        <x:v>515.1097761000001</x:v>
      </x:c>
      <x:c r="H23" s="49" t="n">
        <x:f>E23+IF(A23&lt;=11,17400/11,0)+IF(A23&lt;=10,88,8)</x:f>
        <x:v>2633.1097761</x:v>
      </x:c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>
      <x:c r="A24" s="39" t="n">
        <x:v>18</x:v>
      </x:c>
      <x:c r="B24" s="62" t="n">
        <x:v>1</x:v>
      </x:c>
      <x:c r="C24" s="49" t="n">
        <x:f>B24*'Workforce Economy'!$B$20</x:f>
        <x:v>1359.1097760999999</x:v>
      </x:c>
      <x:c r="D24" s="49" t="n">
        <x:f>B24*'Workforce Economy'!$B$21</x:f>
        <x:v>1266</x:v>
      </x:c>
      <x:c r="E24" s="49" t="n">
        <x:f>C24+D24</x:f>
        <x:v>2625.1097761</x:v>
      </x:c>
      <x:c r="F24" s="49" t="n">
        <x:f>B24*Controls!$B$22</x:f>
        <x:v>2110</x:v>
      </x:c>
      <x:c r="G24" s="49" t="n">
        <x:f>E24-F24</x:f>
        <x:v>515.1097761000001</x:v>
      </x:c>
      <x:c r="H24" s="49" t="n">
        <x:f>E24+IF(A24&lt;=11,17400/11,0)+IF(A24&lt;=10,88,8)</x:f>
        <x:v>2633.1097761</x:v>
      </x:c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>
      <x:c r="A25" s="39" t="n">
        <x:v>19</x:v>
      </x:c>
      <x:c r="B25" s="62" t="n">
        <x:v>1</x:v>
      </x:c>
      <x:c r="C25" s="49" t="n">
        <x:f>B25*'Workforce Economy'!$B$20</x:f>
        <x:v>1359.1097760999999</x:v>
      </x:c>
      <x:c r="D25" s="49" t="n">
        <x:f>B25*'Workforce Economy'!$B$21</x:f>
        <x:v>1266</x:v>
      </x:c>
      <x:c r="E25" s="49" t="n">
        <x:f>C25+D25</x:f>
        <x:v>2625.1097761</x:v>
      </x:c>
      <x:c r="F25" s="49" t="n">
        <x:f>B25*Controls!$B$22</x:f>
        <x:v>2110</x:v>
      </x:c>
      <x:c r="G25" s="49" t="n">
        <x:f>E25-F25</x:f>
        <x:v>515.1097761000001</x:v>
      </x:c>
      <x:c r="H25" s="49" t="n">
        <x:f>E25+IF(A25&lt;=11,17400/11,0)+IF(A25&lt;=10,88,8)</x:f>
        <x:v>2633.1097761</x:v>
      </x:c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>
      <x:c r="A26" s="39" t="n">
        <x:v>20</x:v>
      </x:c>
      <x:c r="B26" s="62" t="n">
        <x:v>1</x:v>
      </x:c>
      <x:c r="C26" s="49" t="n">
        <x:f>B26*'Workforce Economy'!$B$20</x:f>
        <x:v>1359.1097760999999</x:v>
      </x:c>
      <x:c r="D26" s="49" t="n">
        <x:f>B26*'Workforce Economy'!$B$21</x:f>
        <x:v>1266</x:v>
      </x:c>
      <x:c r="E26" s="49" t="n">
        <x:f>C26+D26</x:f>
        <x:v>2625.1097761</x:v>
      </x:c>
      <x:c r="F26" s="49" t="n">
        <x:f>B26*Controls!$B$22</x:f>
        <x:v>2110</x:v>
      </x:c>
      <x:c r="G26" s="49" t="n">
        <x:f>E26-F26</x:f>
        <x:v>515.1097761000001</x:v>
      </x:c>
      <x:c r="H26" s="49" t="n">
        <x:f>E26+IF(A26&lt;=11,17400/11,0)+IF(A26&lt;=10,88,8)</x:f>
        <x:v>2633.1097761</x:v>
      </x:c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>
      <x:c r="A27" s="39" t="n">
        <x:v>21</x:v>
      </x:c>
      <x:c r="B27" s="62" t="n">
        <x:v>1</x:v>
      </x:c>
      <x:c r="C27" s="49" t="n">
        <x:f>B27*'Workforce Economy'!$B$20</x:f>
        <x:v>1359.1097760999999</x:v>
      </x:c>
      <x:c r="D27" s="49" t="n">
        <x:f>B27*'Workforce Economy'!$B$21</x:f>
        <x:v>1266</x:v>
      </x:c>
      <x:c r="E27" s="49" t="n">
        <x:f>C27+D27</x:f>
        <x:v>2625.1097761</x:v>
      </x:c>
      <x:c r="F27" s="49" t="n">
        <x:f>B27*Controls!$B$22</x:f>
        <x:v>2110</x:v>
      </x:c>
      <x:c r="G27" s="49" t="n">
        <x:f>E27-F27</x:f>
        <x:v>515.1097761000001</x:v>
      </x:c>
      <x:c r="H27" s="49" t="n">
        <x:f>E27+IF(A27&lt;=11,17400/11,0)+IF(A27&lt;=10,88,8)</x:f>
        <x:v>2633.1097761</x:v>
      </x:c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>
      <x:c r="A28" s="39" t="n">
        <x:v>22</x:v>
      </x:c>
      <x:c r="B28" s="62" t="n">
        <x:v>1</x:v>
      </x:c>
      <x:c r="C28" s="49" t="n">
        <x:f>B28*'Workforce Economy'!$B$20</x:f>
        <x:v>1359.1097760999999</x:v>
      </x:c>
      <x:c r="D28" s="49" t="n">
        <x:f>B28*'Workforce Economy'!$B$21</x:f>
        <x:v>1266</x:v>
      </x:c>
      <x:c r="E28" s="49" t="n">
        <x:f>C28+D28</x:f>
        <x:v>2625.1097761</x:v>
      </x:c>
      <x:c r="F28" s="49" t="n">
        <x:f>B28*Controls!$B$22</x:f>
        <x:v>2110</x:v>
      </x:c>
      <x:c r="G28" s="49" t="n">
        <x:f>E28-F28</x:f>
        <x:v>515.1097761000001</x:v>
      </x:c>
      <x:c r="H28" s="49" t="n">
        <x:f>E28+IF(A28&lt;=11,17400/11,0)+IF(A28&lt;=10,88,8)</x:f>
        <x:v>2633.1097761</x:v>
      </x:c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>
      <x:c r="A29" s="39" t="n">
        <x:v>23</x:v>
      </x:c>
      <x:c r="B29" s="62" t="n">
        <x:v>1</x:v>
      </x:c>
      <x:c r="C29" s="49" t="n">
        <x:f>B29*'Workforce Economy'!$B$20</x:f>
        <x:v>1359.1097760999999</x:v>
      </x:c>
      <x:c r="D29" s="49" t="n">
        <x:f>B29*'Workforce Economy'!$B$21</x:f>
        <x:v>1266</x:v>
      </x:c>
      <x:c r="E29" s="49" t="n">
        <x:f>C29+D29</x:f>
        <x:v>2625.1097761</x:v>
      </x:c>
      <x:c r="F29" s="49" t="n">
        <x:f>B29*Controls!$B$22</x:f>
        <x:v>2110</x:v>
      </x:c>
      <x:c r="G29" s="49" t="n">
        <x:f>E29-F29</x:f>
        <x:v>515.1097761000001</x:v>
      </x:c>
      <x:c r="H29" s="49" t="n">
        <x:f>E29+IF(A29&lt;=11,17400/11,0)+IF(A29&lt;=10,88,8)</x:f>
        <x:v>2633.1097761</x:v>
      </x:c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>
      <x:c r="A30" s="39" t="n">
        <x:v>24</x:v>
      </x:c>
      <x:c r="B30" s="62" t="n">
        <x:v>1</x:v>
      </x:c>
      <x:c r="C30" s="49" t="n">
        <x:f>B30*'Workforce Economy'!$B$20</x:f>
        <x:v>1359.1097760999999</x:v>
      </x:c>
      <x:c r="D30" s="49" t="n">
        <x:f>B30*'Workforce Economy'!$B$21</x:f>
        <x:v>1266</x:v>
      </x:c>
      <x:c r="E30" s="49" t="n">
        <x:f>C30+D30</x:f>
        <x:v>2625.1097761</x:v>
      </x:c>
      <x:c r="F30" s="49" t="n">
        <x:f>B30*Controls!$B$22</x:f>
        <x:v>2110</x:v>
      </x:c>
      <x:c r="G30" s="49" t="n">
        <x:f>E30-F30</x:f>
        <x:v>515.1097761000001</x:v>
      </x:c>
      <x:c r="H30" s="49" t="n">
        <x:f>E30+IF(A30&lt;=11,17400/11,0)+IF(A30&lt;=10,88,8)</x:f>
        <x:v>2633.1097761</x:v>
      </x:c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>
      <x:c r="A31" s="39" t="n">
        <x:v>25</x:v>
      </x:c>
      <x:c r="B31" s="62" t="n">
        <x:v>1</x:v>
      </x:c>
      <x:c r="C31" s="49" t="n">
        <x:f>B31*'Workforce Economy'!$B$20</x:f>
        <x:v>1359.1097760999999</x:v>
      </x:c>
      <x:c r="D31" s="49" t="n">
        <x:f>B31*'Workforce Economy'!$B$21</x:f>
        <x:v>1266</x:v>
      </x:c>
      <x:c r="E31" s="49" t="n">
        <x:f>C31+D31</x:f>
        <x:v>2625.1097761</x:v>
      </x:c>
      <x:c r="F31" s="49" t="n">
        <x:f>B31*Controls!$B$22</x:f>
        <x:v>2110</x:v>
      </x:c>
      <x:c r="G31" s="49" t="n">
        <x:f>E31-F31</x:f>
        <x:v>515.1097761000001</x:v>
      </x:c>
      <x:c r="H31" s="49" t="n">
        <x:f>E31+IF(A31&lt;=11,17400/11,0)+IF(A31&lt;=10,88,8)</x:f>
        <x:v>2633.1097761</x:v>
      </x:c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>
      <x:c r="A32" s="35"/>
      <x:c r="B32" s="35"/>
      <x:c r="C32" s="52"/>
      <x:c r="D32" s="52"/>
      <x:c r="E32" s="52"/>
      <x:c r="F32" s="52"/>
      <x:c r="G32" s="52"/>
      <x:c r="H32" s="52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>
      <x:c r="A33" s="53" t="str">
        <x:v>Total</x:v>
      </x:c>
      <x:c r="B33" s="53" t="str">
        <x:v>Mature-year equivalents</x:v>
      </x:c>
      <x:c r="C33" s="56" t="str">
        <x:v>Personnel</x:v>
      </x:c>
      <x:c r="D33" s="56" t="str">
        <x:v>Nonpeople</x:v>
      </x:c>
      <x:c r="E33" s="56" t="str">
        <x:v>Revised operations</x:v>
      </x:c>
      <x:c r="F33" s="56" t="str">
        <x:v>Inherited operations</x:v>
      </x:c>
      <x:c r="G33" s="56" t="str">
        <x:v>Increment</x:v>
      </x:c>
      <x:c r="H33" s="56" t="str">
        <x:v>Public outlay</x:v>
      </x:c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>
      <x:c r="A34" s="45" t="str">
        <x:v>25 years</x:v>
      </x:c>
      <x:c r="B34" s="63" t="n">
        <x:f>SUM(B7:B31)</x:f>
        <x:v>19.05</x:v>
      </x:c>
      <x:c r="C34" s="59" t="n">
        <x:f>SUM(C7:C31)</x:f>
        <x:v>25891.04123470499</x:v>
      </x:c>
      <x:c r="D34" s="59" t="n">
        <x:f>SUM(D7:D31)</x:f>
        <x:v>24117.3</x:v>
      </x:c>
      <x:c r="E34" s="59" t="n">
        <x:f>SUM(E7:E31)</x:f>
        <x:v>50008.34123470498</x:v>
      </x:c>
      <x:c r="F34" s="59" t="n">
        <x:f>SUM(F7:F31)</x:f>
        <x:v>40195.5</x:v>
      </x:c>
      <x:c r="G34" s="59" t="n">
        <x:f>SUM(G7:G31)</x:f>
        <x:v>9812.841234705002</x:v>
      </x:c>
      <x:c r="H34" s="59" t="n">
        <x:f>SUM(H7:H31)</x:f>
        <x:v>68408.34123470499</x:v>
      </x:c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  <x:row r="35">
      <x:c r="A35" s="35"/>
      <x:c r="B35" s="35"/>
      <x:c r="C35" s="35"/>
      <x:c r="D35" s="35"/>
      <x:c r="E35" s="35"/>
      <x:c r="F35" s="35"/>
      <x:c r="G35" s="35"/>
      <x:c r="H35" s="35"/>
      <x:c r="I35" s="35"/>
      <x:c r="J35" s="35"/>
      <x:c r="K35" s="35"/>
      <x:c r="L35" s="35"/>
      <x:c r="M35" s="35"/>
      <x:c r="N35" s="35"/>
      <x:c r="O35" s="35"/>
      <x:c r="P35" s="35"/>
      <x:c r="Q35" s="35"/>
      <x:c r="R35" s="35"/>
      <x:c r="S35" s="35"/>
      <x:c r="T35" s="35"/>
      <x:c r="U35" s="35"/>
      <x:c r="V35" s="35"/>
      <x:c r="W35" s="35"/>
      <x:c r="X35" s="35"/>
      <x:c r="Y35" s="35"/>
      <x:c r="Z35" s="35"/>
    </x:row>
    <x:row r="36">
      <x:c r="A36" s="35"/>
      <x:c r="B36" s="35"/>
      <x:c r="C36" s="35"/>
      <x:c r="D36" s="35"/>
      <x:c r="E36" s="35"/>
      <x:c r="F36" s="35"/>
      <x:c r="G36" s="35"/>
      <x:c r="H36" s="35"/>
      <x:c r="I36" s="35"/>
      <x:c r="J36" s="35"/>
      <x:c r="K36" s="35"/>
      <x:c r="L36" s="35"/>
      <x:c r="M36" s="35"/>
      <x:c r="N36" s="35"/>
      <x:c r="O36" s="35"/>
      <x:c r="P36" s="35"/>
      <x:c r="Q36" s="35"/>
      <x:c r="R36" s="35"/>
      <x:c r="S36" s="35"/>
      <x:c r="T36" s="35"/>
      <x:c r="U36" s="35"/>
      <x:c r="V36" s="35"/>
      <x:c r="W36" s="35"/>
      <x:c r="X36" s="35"/>
      <x:c r="Y36" s="35"/>
      <x:c r="Z36" s="35"/>
    </x:row>
    <x:row r="37">
      <x:c r="A37" s="38" t="str">
        <x:v>Case</x:v>
      </x:c>
      <x:c r="B37" s="38" t="str">
        <x:v>Personnel factor</x:v>
      </x:c>
      <x:c r="C37" s="38" t="str">
        <x:v>Mature operations USD B</x:v>
      </x:c>
      <x:c r="D37" s="38" t="str">
        <x:v>25-year operations USD B</x:v>
      </x:c>
      <x:c r="E37" s="38" t="str">
        <x:v>25-year public outlay USD B</x:v>
      </x:c>
      <x:c r="F37" s="35"/>
      <x:c r="G37" s="35"/>
      <x:c r="H37" s="35"/>
      <x:c r="I37" s="35"/>
      <x:c r="J37" s="35"/>
      <x:c r="K37" s="35"/>
      <x:c r="L37" s="35"/>
      <x:c r="M37" s="35"/>
      <x:c r="N37" s="35"/>
      <x:c r="O37" s="35"/>
      <x:c r="P37" s="35"/>
      <x:c r="Q37" s="35"/>
      <x:c r="R37" s="35"/>
      <x:c r="S37" s="35"/>
      <x:c r="T37" s="35"/>
      <x:c r="U37" s="35"/>
      <x:c r="V37" s="35"/>
      <x:c r="W37" s="35"/>
      <x:c r="X37" s="35"/>
      <x:c r="Y37" s="35"/>
      <x:c r="Z37" s="35"/>
    </x:row>
    <x:row r="38">
      <x:c r="A38" s="39" t="str">
        <x:v>Low</x:v>
      </x:c>
      <x:c r="B38" s="62" t="n">
        <x:v>0.8</x:v>
      </x:c>
      <x:c r="C38" s="49" t="n">
        <x:f>'Workforce Economy'!$B$20*B38+'Workforce Economy'!$B$21</x:f>
        <x:v>2353.2878208800003</x:v>
      </x:c>
      <x:c r="D38" s="49" t="n">
        <x:f>C38*Controls!$B$25</x:f>
        <x:v>44830.13298776401</x:v>
      </x:c>
      <x:c r="E38" s="49" t="n">
        <x:f>D38+Controls!$B$26+Controls!$B$27</x:f>
        <x:v>63230.13298776401</x:v>
      </x:c>
      <x:c r="F38" s="35"/>
      <x:c r="G38" s="35"/>
      <x:c r="H38" s="35"/>
      <x:c r="I38" s="35"/>
      <x:c r="J38" s="35"/>
      <x:c r="K38" s="35"/>
      <x:c r="L38" s="35"/>
      <x:c r="M38" s="35"/>
      <x:c r="N38" s="35"/>
      <x:c r="O38" s="35"/>
      <x:c r="P38" s="35"/>
      <x:c r="Q38" s="35"/>
      <x:c r="R38" s="35"/>
      <x:c r="S38" s="35"/>
      <x:c r="T38" s="35"/>
      <x:c r="U38" s="35"/>
      <x:c r="V38" s="35"/>
      <x:c r="W38" s="35"/>
      <x:c r="X38" s="35"/>
      <x:c r="Y38" s="35"/>
      <x:c r="Z38" s="35"/>
    </x:row>
    <x:row r="39">
      <x:c r="A39" s="39" t="str">
        <x:v>Base</x:v>
      </x:c>
      <x:c r="B39" s="62" t="n">
        <x:v>1</x:v>
      </x:c>
      <x:c r="C39" s="49" t="n">
        <x:f>'Workforce Economy'!$B$20*B39+'Workforce Economy'!$B$21</x:f>
        <x:v>2625.1097761</x:v>
      </x:c>
      <x:c r="D39" s="49" t="n">
        <x:f>C39*Controls!$B$25</x:f>
        <x:v>50008.341234705</x:v>
      </x:c>
      <x:c r="E39" s="49" t="n">
        <x:f>D39+Controls!$B$26+Controls!$B$27</x:f>
        <x:v>68408.341234705</x:v>
      </x:c>
      <x:c r="F39" s="35"/>
      <x:c r="G39" s="35"/>
      <x:c r="H39" s="35"/>
      <x:c r="I39" s="35"/>
      <x:c r="J39" s="35"/>
      <x:c r="K39" s="35"/>
      <x:c r="L39" s="35"/>
      <x:c r="M39" s="35"/>
      <x:c r="N39" s="35"/>
      <x:c r="O39" s="35"/>
      <x:c r="P39" s="35"/>
      <x:c r="Q39" s="35"/>
      <x:c r="R39" s="35"/>
      <x:c r="S39" s="35"/>
      <x:c r="T39" s="35"/>
      <x:c r="U39" s="35"/>
      <x:c r="V39" s="35"/>
      <x:c r="W39" s="35"/>
      <x:c r="X39" s="35"/>
      <x:c r="Y39" s="35"/>
      <x:c r="Z39" s="35"/>
    </x:row>
    <x:row r="40">
      <x:c r="A40" s="39" t="str">
        <x:v>High</x:v>
      </x:c>
      <x:c r="B40" s="62" t="n">
        <x:v>1.2</x:v>
      </x:c>
      <x:c r="C40" s="49" t="n">
        <x:f>'Workforce Economy'!$B$20*B40+'Workforce Economy'!$B$21</x:f>
        <x:v>2896.93173132</x:v>
      </x:c>
      <x:c r="D40" s="49" t="n">
        <x:f>C40*Controls!$B$25</x:f>
        <x:v>55186.549481646</x:v>
      </x:c>
      <x:c r="E40" s="49" t="n">
        <x:f>D40+Controls!$B$26+Controls!$B$27</x:f>
        <x:v>73586.549481646</x:v>
      </x:c>
      <x:c r="F40" s="35"/>
      <x:c r="G40" s="35"/>
      <x:c r="H40" s="35"/>
      <x:c r="I40" s="35"/>
      <x:c r="J40" s="35"/>
      <x:c r="K40" s="35"/>
      <x:c r="L40" s="35"/>
      <x:c r="M40" s="35"/>
      <x:c r="N40" s="35"/>
      <x:c r="O40" s="35"/>
      <x:c r="P40" s="35"/>
      <x:c r="Q40" s="35"/>
      <x:c r="R40" s="35"/>
      <x:c r="S40" s="35"/>
      <x:c r="T40" s="35"/>
      <x:c r="U40" s="35"/>
      <x:c r="V40" s="35"/>
      <x:c r="W40" s="35"/>
      <x:c r="X40" s="35"/>
      <x:c r="Y40" s="35"/>
      <x:c r="Z40" s="35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3" hidden="0" customWidth="1"/>
    <x:col min="3" max="3" width="126" hidden="0" customWidth="1"/>
  </x:cols>
  <x:sheetData>
    <x:row r="2">
      <x:c r="A2" s="34" t="str">
        <x:v>Twelve workforce technology frontiers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37" t="str">
        <x:v>The Civil Service Commonwealth drives new national systems for skill, continuity, rights and mobilization; these are not ordinary HR applications.</x:v>
      </x:c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8" t="str">
        <x:v>ID</x:v>
      </x:c>
      <x:c r="B6" s="38" t="str">
        <x:v>Frontier</x:v>
      </x:c>
      <x:c r="C6" s="38" t="str">
        <x:v>Required capability</x:v>
      </x:c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 ht="41" customHeight="1">
      <x:c r="A7" s="39" t="str">
        <x:v>WT-01</x:v>
      </x:c>
      <x:c r="B7" s="44" t="str">
        <x:v>Sovereign credential wallet</x:v>
      </x:c>
      <x:c r="C7" s="44" t="str">
        <x:v>Offline, privacy-preserving proof of membership, license, qualification and expiry without one surveillance database</x:v>
      </x:c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 ht="41" customHeight="1">
      <x:c r="A8" s="39" t="str">
        <x:v>WT-02</x:v>
      </x:c>
      <x:c r="B8" s="44" t="str">
        <x:v>Reconstructable skill graph</x:v>
      </x:c>
      <x:c r="C8" s="44" t="str">
        <x:v>Compile every role, substitute, credential dependency and decay path across 5,251 formations</x:v>
      </x:c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 ht="41" customHeight="1">
      <x:c r="A9" s="39" t="str">
        <x:v>WT-03</x:v>
      </x:c>
      <x:c r="B9" s="44" t="str">
        <x:v>Crew-integrity governor</x:v>
      </x:c>
      <x:c r="C9" s="44" t="str">
        <x:v>Prevent double-manifesting and reject a formation when any exact role or duty window is invalid</x:v>
      </x:c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 ht="41" customHeight="1">
      <x:c r="A10" s="39" t="str">
        <x:v>WT-04</x:v>
      </x:c>
      <x:c r="B10" s="44" t="str">
        <x:v>Household-continuity twin</x:v>
      </x:c>
      <x:c r="C10" s="44" t="str">
        <x:v>Model dependent care, housing, transport, communications and employment return as readiness predicates</x:v>
      </x:c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 ht="41" customHeight="1">
      <x:c r="A11" s="39" t="str">
        <x:v>WT-05</x:v>
      </x:c>
      <x:c r="B11" s="44" t="str">
        <x:v>Exposure and fatigue governor</x:v>
      </x:c>
      <x:c r="C11" s="44" t="str">
        <x:v>Combine wearable, environmental and task evidence with protected stop and long-tail care</x:v>
      </x:c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 ht="41" customHeight="1">
      <x:c r="A12" s="39" t="str">
        <x:v>WT-06</x:v>
      </x:c>
      <x:c r="B12" s="44" t="str">
        <x:v>Offline mobilization ledger</x:v>
      </x:c>
      <x:c r="C12" s="44" t="str">
        <x:v>Rebuild orders, acknowledgments, appeals, substitutions and releases under grid and network loss</x:v>
      </x:c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 ht="41" customHeight="1">
      <x:c r="A13" s="39" t="str">
        <x:v>WT-07</x:v>
      </x:c>
      <x:c r="B13" s="44" t="str">
        <x:v>Robotic qualification range</x:v>
      </x:c>
      <x:c r="C13" s="44" t="str">
        <x:v>Create repeatable hazardous, degraded and denial training without using real disasters as first trials</x:v>
      </x:c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 ht="41" customHeight="1">
      <x:c r="A14" s="39" t="str">
        <x:v>WT-08</x:v>
      </x:c>
      <x:c r="B14" s="44" t="str">
        <x:v>Multilingual mixed-reality academy</x:v>
      </x:c>
      <x:c r="C14" s="44" t="str">
        <x:v>Scale role-native instruction, receiver rehearsal and cross-service interfaces to millions</x:v>
      </x:c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 ht="41" customHeight="1">
      <x:c r="A15" s="39" t="str">
        <x:v>WT-09</x:v>
      </x:c>
      <x:c r="B15" s="44" t="str">
        <x:v>Causal skill-decay model</x:v>
      </x:c>
      <x:c r="C15" s="44" t="str">
        <x:v>Predict which combinations of time, task absence and technology change require requalification</x:v>
      </x:c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 ht="41" customHeight="1">
      <x:c r="A16" s="39" t="str">
        <x:v>WT-10</x:v>
      </x:c>
      <x:c r="B16" s="44" t="str">
        <x:v>Portable-benefit clearing utility</x:v>
      </x:c>
      <x:c r="C16" s="44" t="str">
        <x:v>Keep pay, pension, health, injury, family and employer-return accounts continuous across statuses</x:v>
      </x:c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 ht="41" customHeight="1">
      <x:c r="A17" s="39" t="str">
        <x:v>WT-11</x:v>
      </x:c>
      <x:c r="B17" s="44" t="str">
        <x:v>Adversarial labor-rights simulator</x:v>
      </x:c>
      <x:c r="C17" s="44" t="str">
        <x:v>Exercise illegal orders, employer failure, strike, false fitness, data abuse and mass call collisions</x:v>
      </x:c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 ht="41" customHeight="1">
      <x:c r="A18" s="39" t="str">
        <x:v>WT-12</x:v>
      </x:c>
      <x:c r="B18" s="44" t="str">
        <x:v>Public workforce observatory</x:v>
      </x:c>
      <x:c r="C18" s="44" t="str">
        <x:v>Publish aggregate capacity and adverse findings while cryptographically excluding personal surveillance</x:v>
      </x:c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7" hidden="0" customWidth="1"/>
    <x:col min="2" max="2" width="96" hidden="0" customWidth="1"/>
    <x:col min="3" max="3" width="71" hidden="0" customWidth="1"/>
  </x:cols>
  <x:sheetData>
    <x:row r="2">
      <x:c r="A2" s="34" t="str">
        <x:v>Adversarial workforce cases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37" t="str">
        <x:v>Each case returns to the exact missing predicate or authority; urgency never makes an invalid person, crew or command valid.</x:v>
      </x:c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8" t="str">
        <x:v>Case</x:v>
      </x:c>
      <x:c r="B6" s="38" t="str">
        <x:v>Required disposition</x:v>
      </x:c>
      <x:c r="C6" s="38" t="str">
        <x:v>Constitutional rule</x:v>
      </x:c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 ht="43" customHeight="1">
      <x:c r="A7" s="44" t="str">
        <x:v>Employer blocks a valid reserve call</x:v>
      </x:c>
      <x:c r="B7" s="44" t="str">
        <x:v>Public duty proceeds; continuity fund reimburses verified employer burden</x:v>
      </x:c>
      <x:c r="C7" s="44" t="str">
        <x:v>Employer relationship cannot extinguish accepted service duty</x:v>
      </x:c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 ht="43" customHeight="1">
      <x:c r="A8" s="44" t="str">
        <x:v>Commander orders an unsafe shortcut</x:v>
      </x:c>
      <x:c r="B8" s="44" t="str">
        <x:v>Member stops exact act; safety review and qualified alternate follow</x:v>
      </x:c>
      <x:c r="C8" s="44" t="str">
        <x:v>Command cannot override professional or safety truth</x:v>
      </x:c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 ht="43" customHeight="1">
      <x:c r="A9" s="44" t="str">
        <x:v>Union action begins during an accepted critical service</x:v>
      </x:c>
      <x:c r="B9" s="44" t="str">
        <x:v>Continuity arbitration and safe minimum handoff apply to exact function</x:v>
      </x:c>
      <x:c r="C9" s="44" t="str">
        <x:v>Institution fields relief; no criminalized labor status</x:v>
      </x:c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 ht="43" customHeight="1">
      <x:c r="A10" s="44" t="str">
        <x:v>Tribal service member is routed through a state chain</x:v>
      </x:c>
      <x:c r="B10" s="44" t="str">
        <x:v>Reject the transaction and restore direct sovereign warrant path</x:v>
      </x:c>
      <x:c r="C10" s="44" t="str">
        <x:v>Tribal service is not a state component</x:v>
      </x:c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 ht="43" customHeight="1">
      <x:c r="A11" s="44" t="str">
        <x:v>Industrial member is assigned field repair</x:v>
      </x:c>
      <x:c r="B11" s="44" t="str">
        <x:v>Require separate field qualification and manifest</x:v>
      </x:c>
      <x:c r="C11" s="44" t="str">
        <x:v>Production status is not deployment competence</x:v>
      </x:c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 ht="43" customHeight="1">
      <x:c r="A12" s="44" t="str">
        <x:v>Partner fellow is called to a domestic campaign</x:v>
      </x:c>
      <x:c r="B12" s="44" t="str">
        <x:v>Reject mobilization</x:v>
      </x:c>
      <x:c r="C12" s="44" t="str">
        <x:v>Invited bilateral status has no domestic authority</x:v>
      </x:c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 ht="43" customHeight="1">
      <x:c r="A13" s="44" t="str">
        <x:v>License is current but Department trial expired</x:v>
      </x:c>
      <x:c r="B13" s="44" t="str">
        <x:v>Remove from manifest until PW03 is renewed</x:v>
      </x:c>
      <x:c r="C13" s="44" t="str">
        <x:v>Professional license is not operational qualification</x:v>
      </x:c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 ht="43" customHeight="1">
      <x:c r="A14" s="44" t="str">
        <x:v>Household care fails hours before movement</x:v>
      </x:c>
      <x:c r="B14" s="44" t="str">
        <x:v>Replace or remedy; do not conceal the failed predicate</x:v>
      </x:c>
      <x:c r="C14" s="44" t="str">
        <x:v>A person is not available when the household covenant is broken</x:v>
      </x:c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 ht="43" customHeight="1">
      <x:c r="A15" s="44" t="str">
        <x:v>One person appears on two formation manifests</x:v>
      </x:c>
      <x:c r="B15" s="44" t="str">
        <x:v>Crew-integrity governor rejects both claims until one is released</x:v>
      </x:c>
      <x:c r="C15" s="44" t="str">
        <x:v>Affiliation cannot be double-spent</x:v>
      </x:c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 ht="43" customHeight="1">
      <x:c r="A16" s="44" t="str">
        <x:v>Model flags a member as high-risk without explainable evidence</x:v>
      </x:c>
      <x:c r="B16" s="44" t="str">
        <x:v>HOLD adverse action and open data appeal</x:v>
      </x:c>
      <x:c r="C16" s="44" t="str">
        <x:v>Prediction is not fitness truth</x:v>
      </x:c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 ht="43" customHeight="1">
      <x:c r="A17" s="44" t="str">
        <x:v>Campaign reaches day 181 on executive renewals</x:v>
      </x:c>
      <x:c r="B17" s="44" t="str">
        <x:v>Stop or obtain fresh legislative authority</x:v>
      </x:c>
      <x:c r="C17" s="44" t="str">
        <x:v>Emergency repetition cannot create permanent labor power</x:v>
      </x:c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 ht="43" customHeight="1">
      <x:c r="A18" s="44" t="str">
        <x:v>A learner fills a vacant required role</x:v>
      </x:c>
      <x:c r="B18" s="44" t="str">
        <x:v>Formation loses readiness credit</x:v>
      </x:c>
      <x:c r="C18" s="44" t="str">
        <x:v>Training participation is not qualified crew depth</x:v>
      </x:c>
      <x:c r="D18" s="35"/>
      <x:c r="E18" s="35"/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2" hidden="0" customWidth="1"/>
    <x:col min="2" max="2" width="24" hidden="0" customWidth="1"/>
    <x:col min="3" max="3" width="24" hidden="0" customWidth="1"/>
    <x:col min="4" max="4" width="20" hidden="0" customWidth="1"/>
    <x:col min="5" max="5" width="15" hidden="0" customWidth="1"/>
  </x:cols>
  <x:sheetData>
    <x:row r="2">
      <x:c r="A2" s="34" t="str">
        <x:v>Terminal model audit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37" t="str">
        <x:v>Audits read the model and never feed an operating, readiness or fiscal calculation.</x:v>
      </x:c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8" t="str">
        <x:v>Audit</x:v>
      </x:c>
      <x:c r="B6" s="38" t="str">
        <x:v>Expected</x:v>
      </x:c>
      <x:c r="C6" s="38" t="str">
        <x:v>Observed</x:v>
      </x:c>
      <x:c r="D6" s="38" t="str">
        <x:v>Difference</x:v>
      </x:c>
      <x:c r="E6" s="38" t="str">
        <x:v>Result</x:v>
      </x:c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9" t="str">
        <x:v>Architecture candidates</x:v>
      </x:c>
      <x:c r="B7" s="39" t="n">
        <x:v>6</x:v>
      </x:c>
      <x:c r="C7" s="39" t="n">
        <x:f>COUNTA(Architecture!A7:A12)</x:f>
        <x:v>6</x:v>
      </x:c>
      <x:c r="D7" s="40" t="n">
        <x:f>C7-B7</x:f>
        <x:v>0</x:v>
      </x:c>
      <x:c r="E7" s="39" t="str">
        <x:f>IF(ABS(D7)&lt;0.01,"PASS","FAIL")</x:f>
        <x:v>PASS</x:v>
      </x:c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9" t="str">
        <x:v>Selected architectures</x:v>
      </x:c>
      <x:c r="B8" s="39" t="n">
        <x:v>1</x:v>
      </x:c>
      <x:c r="C8" s="39" t="n">
        <x:f>COUNTIF(Architecture!N7:N12,"SELECT")</x:f>
        <x:v>1</x:v>
      </x:c>
      <x:c r="D8" s="40" t="n">
        <x:f>C8-B8</x:f>
        <x:v>0</x:v>
      </x:c>
      <x:c r="E8" s="39" t="str">
        <x:f>IF(ABS(D8)&lt;0.01,"PASS","FAIL")</x:f>
        <x:v>PASS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9" t="str">
        <x:v>Legal statuses</x:v>
      </x:c>
      <x:c r="B9" s="39" t="n">
        <x:v>7</x:v>
      </x:c>
      <x:c r="C9" s="39" t="n">
        <x:f>COUNTA('Service Citizenship'!A7:A13)</x:f>
        <x:v>7</x:v>
      </x:c>
      <x:c r="D9" s="40" t="n">
        <x:f>C9-B9</x:f>
        <x:v>0</x:v>
      </x:c>
      <x:c r="E9" s="39" t="str">
        <x:f>IF(ABS(D9)&lt;0.01,"PASS","FAIL")</x:f>
        <x:v>PASS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9" t="str">
        <x:v>Rights</x:v>
      </x:c>
      <x:c r="B10" s="39" t="n">
        <x:v>12</x:v>
      </x:c>
      <x:c r="C10" s="39" t="n">
        <x:f>COUNTA('Rights Charter'!A7:A18)</x:f>
        <x:v>12</x:v>
      </x:c>
      <x:c r="D10" s="40" t="n">
        <x:f>C10-B10</x:f>
        <x:v>0</x:v>
      </x:c>
      <x:c r="E10" s="39" t="str">
        <x:f>IF(ABS(D10)&lt;0.01,"PASS","FAIL")</x:f>
        <x:v>PASS</x:v>
      </x:c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9" t="str">
        <x:v>Duties</x:v>
      </x:c>
      <x:c r="B11" s="39" t="n">
        <x:v>10</x:v>
      </x:c>
      <x:c r="C11" s="39" t="n">
        <x:f>COUNTA('Duty Covenant'!A7:A16)</x:f>
        <x:v>10</x:v>
      </x:c>
      <x:c r="D11" s="40" t="n">
        <x:f>C11-B11</x:f>
        <x:v>0</x:v>
      </x:c>
      <x:c r="E11" s="39" t="str">
        <x:f>IF(ABS(D11)&lt;0.01,"PASS","FAIL")</x:f>
        <x:v>PASS</x:v>
      </x:c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9" t="str">
        <x:v>Personnel authorities</x:v>
      </x:c>
      <x:c r="B12" s="39" t="n">
        <x:v>12</x:v>
      </x:c>
      <x:c r="C12" s="39" t="n">
        <x:f>COUNTA('Authority Matrix'!A7:A18)</x:f>
        <x:v>12</x:v>
      </x:c>
      <x:c r="D12" s="40" t="n">
        <x:f>C12-B12</x:f>
        <x:v>0</x:v>
      </x:c>
      <x:c r="E12" s="39" t="str">
        <x:f>IF(ABS(D12)&lt;0.01,"PASS","FAIL")</x:f>
        <x:v>PASS</x:v>
      </x:c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>
      <x:c r="A13" s="39" t="str">
        <x:v>Personnel states</x:v>
      </x:c>
      <x:c r="B13" s="39" t="n">
        <x:v>13</x:v>
      </x:c>
      <x:c r="C13" s="39" t="n">
        <x:f>COUNTA('Personnel States'!A7:A19)</x:f>
        <x:v>13</x:v>
      </x:c>
      <x:c r="D13" s="40" t="n">
        <x:f>C13-B13</x:f>
        <x:v>0</x:v>
      </x:c>
      <x:c r="E13" s="39" t="str">
        <x:f>IF(ABS(D13)&lt;0.01,"PASS","FAIL")</x:f>
        <x:v>PASS</x:v>
      </x:c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>
      <x:c r="A14" s="39" t="str">
        <x:v>Personnel warrants</x:v>
      </x:c>
      <x:c r="B14" s="39" t="n">
        <x:v>11</x:v>
      </x:c>
      <x:c r="C14" s="39" t="n">
        <x:f>COUNTA('Personnel Warrants'!A7:A17)</x:f>
        <x:v>11</x:v>
      </x:c>
      <x:c r="D14" s="40" t="n">
        <x:f>C14-B14</x:f>
        <x:v>0</x:v>
      </x:c>
      <x:c r="E14" s="39" t="str">
        <x:f>IF(ABS(D14)&lt;0.01,"PASS","FAIL")</x:f>
        <x:v>PASS</x:v>
      </x:c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>
      <x:c r="A15" s="39" t="str">
        <x:v>Direct billets</x:v>
      </x:c>
      <x:c r="B15" s="39" t="n">
        <x:v>11465213</x:v>
      </x:c>
      <x:c r="C15" s="39" t="n">
        <x:f>'Formation Workforce'!B18</x:f>
        <x:v>11465213</x:v>
      </x:c>
      <x:c r="D15" s="40" t="n">
        <x:f>C15-B15</x:f>
        <x:v>0</x:v>
      </x:c>
      <x:c r="E15" s="39" t="str">
        <x:f>IF(ABS(D15)&lt;0.01,"PASS","FAIL")</x:f>
        <x:v>PASS</x:v>
      </x:c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>
      <x:c r="A16" s="39" t="str">
        <x:v>Direct permanent</x:v>
      </x:c>
      <x:c r="B16" s="39" t="n">
        <x:v>3995721.5</x:v>
      </x:c>
      <x:c r="C16" s="39" t="n">
        <x:f>'Formation Workforce'!C18</x:f>
        <x:v>3995721.5</x:v>
      </x:c>
      <x:c r="D16" s="40" t="n">
        <x:f>C16-B16</x:f>
        <x:v>0</x:v>
      </x:c>
      <x:c r="E16" s="39" t="str">
        <x:f>IF(ABS(D16)&lt;0.01,"PASS","FAIL")</x:f>
        <x:v>PASS</x:v>
      </x:c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>
      <x:c r="A17" s="39" t="str">
        <x:v>Direct reserve</x:v>
      </x:c>
      <x:c r="B17" s="39" t="n">
        <x:v>2941258</x:v>
      </x:c>
      <x:c r="C17" s="39" t="n">
        <x:f>'Formation Workforce'!D18</x:f>
        <x:v>2941258</x:v>
      </x:c>
      <x:c r="D17" s="40" t="n">
        <x:f>C17-B17</x:f>
        <x:v>0</x:v>
      </x:c>
      <x:c r="E17" s="39" t="str">
        <x:f>IF(ABS(D17)&lt;0.01,"PASS","FAIL")</x:f>
        <x:v>PASS</x:v>
      </x:c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  <x:row r="18">
      <x:c r="A18" s="39" t="str">
        <x:v>Direct covenant</x:v>
      </x:c>
      <x:c r="B18" s="39" t="n">
        <x:v>2434330.4</x:v>
      </x:c>
      <x:c r="C18" s="39" t="n">
        <x:f>'Formation Workforce'!E18</x:f>
        <x:v>2434330.4</x:v>
      </x:c>
      <x:c r="D18" s="40" t="n">
        <x:f>C18-B18</x:f>
        <x:v>0</x:v>
      </x:c>
      <x:c r="E18" s="39" t="str">
        <x:f>IF(ABS(D18)&lt;0.01,"PASS","FAIL")</x:f>
        <x:v>PASS</x:v>
      </x:c>
      <x:c r="F18" s="35"/>
      <x:c r="G18" s="35"/>
      <x:c r="H18" s="35"/>
      <x:c r="I18" s="35"/>
      <x:c r="J18" s="35"/>
      <x:c r="K18" s="35"/>
      <x:c r="L18" s="35"/>
      <x:c r="M18" s="35"/>
      <x:c r="N18" s="35"/>
      <x:c r="O18" s="35"/>
      <x:c r="P18" s="35"/>
      <x:c r="Q18" s="35"/>
      <x:c r="R18" s="35"/>
      <x:c r="S18" s="35"/>
      <x:c r="T18" s="35"/>
      <x:c r="U18" s="35"/>
      <x:c r="V18" s="35"/>
      <x:c r="W18" s="35"/>
      <x:c r="X18" s="35"/>
      <x:c r="Y18" s="35"/>
      <x:c r="Z18" s="35"/>
    </x:row>
    <x:row r="19">
      <x:c r="A19" s="39" t="str">
        <x:v>Direct productive</x:v>
      </x:c>
      <x:c r="B19" s="39" t="n">
        <x:v>2073164.35</x:v>
      </x:c>
      <x:c r="C19" s="39" t="n">
        <x:f>'Formation Workforce'!F18</x:f>
        <x:v>2073164.35</x:v>
      </x:c>
      <x:c r="D19" s="40" t="n">
        <x:f>C19-B19</x:f>
        <x:v>0</x:v>
      </x:c>
      <x:c r="E19" s="39" t="str">
        <x:f>IF(ABS(D19)&lt;0.01,"PASS","FAIL")</x:f>
        <x:v>PASS</x:v>
      </x:c>
      <x:c r="F19" s="35"/>
      <x:c r="G19" s="35"/>
      <x:c r="H19" s="35"/>
      <x:c r="I19" s="35"/>
      <x:c r="J19" s="35"/>
      <x:c r="K19" s="35"/>
      <x:c r="L19" s="35"/>
      <x:c r="M19" s="35"/>
      <x:c r="N19" s="35"/>
      <x:c r="O19" s="35"/>
      <x:c r="P19" s="35"/>
      <x:c r="Q19" s="35"/>
      <x:c r="R19" s="35"/>
      <x:c r="S19" s="35"/>
      <x:c r="T19" s="35"/>
      <x:c r="U19" s="35"/>
      <x:c r="V19" s="35"/>
      <x:c r="W19" s="35"/>
      <x:c r="X19" s="35"/>
      <x:c r="Y19" s="35"/>
      <x:c r="Z19" s="35"/>
    </x:row>
    <x:row r="20">
      <x:c r="A20" s="39" t="str">
        <x:v>Direct partner</x:v>
      </x:c>
      <x:c r="B20" s="39" t="n">
        <x:v>20738.75</x:v>
      </x:c>
      <x:c r="C20" s="39" t="n">
        <x:f>'Formation Workforce'!G18</x:f>
        <x:v>20738.75</x:v>
      </x:c>
      <x:c r="D20" s="40" t="n">
        <x:f>C20-B20</x:f>
        <x:v>0</x:v>
      </x:c>
      <x:c r="E20" s="39" t="str">
        <x:f>IF(ABS(D20)&lt;0.01,"PASS","FAIL")</x:f>
        <x:v>PASS</x:v>
      </x:c>
      <x:c r="F20" s="35"/>
      <x:c r="G20" s="35"/>
      <x:c r="H20" s="35"/>
      <x:c r="I20" s="35"/>
      <x:c r="J20" s="35"/>
      <x:c r="K20" s="35"/>
      <x:c r="L20" s="35"/>
      <x:c r="M20" s="35"/>
      <x:c r="N20" s="35"/>
      <x:c r="O20" s="35"/>
      <x:c r="P20" s="35"/>
      <x:c r="Q20" s="35"/>
      <x:c r="R20" s="35"/>
      <x:c r="S20" s="35"/>
      <x:c r="T20" s="35"/>
      <x:c r="U20" s="35"/>
      <x:c r="V20" s="35"/>
      <x:c r="W20" s="35"/>
      <x:c r="X20" s="35"/>
      <x:c r="Y20" s="35"/>
      <x:c r="Z20" s="35"/>
    </x:row>
    <x:row r="21">
      <x:c r="A21" s="39" t="str">
        <x:v>Career service</x:v>
      </x:c>
      <x:c r="B21" s="39" t="n">
        <x:v>5569744.61</x:v>
      </x:c>
      <x:c r="C21" s="39" t="n">
        <x:f>'Membership Ledger'!B7</x:f>
        <x:v>5569744.61</x:v>
      </x:c>
      <x:c r="D21" s="40" t="n">
        <x:f>C21-B21</x:f>
        <x:v>0</x:v>
      </x:c>
      <x:c r="E21" s="39" t="str">
        <x:f>IF(ABS(D21)&lt;0.01,"PASS","FAIL")</x:f>
        <x:v>PASS</x:v>
      </x:c>
      <x:c r="F21" s="35"/>
      <x:c r="G21" s="35"/>
      <x:c r="H21" s="35"/>
      <x:c r="I21" s="35"/>
      <x:c r="J21" s="35"/>
      <x:c r="K21" s="35"/>
      <x:c r="L21" s="35"/>
      <x:c r="M21" s="35"/>
      <x:c r="N21" s="35"/>
      <x:c r="O21" s="35"/>
      <x:c r="P21" s="35"/>
      <x:c r="Q21" s="35"/>
      <x:c r="R21" s="35"/>
      <x:c r="S21" s="35"/>
      <x:c r="T21" s="35"/>
      <x:c r="U21" s="35"/>
      <x:c r="V21" s="35"/>
      <x:c r="W21" s="35"/>
      <x:c r="X21" s="35"/>
      <x:c r="Y21" s="35"/>
      <x:c r="Z21" s="35"/>
    </x:row>
    <x:row r="22">
      <x:c r="A22" s="39" t="str">
        <x:v>Affiliated establishment</x:v>
      </x:c>
      <x:c r="B22" s="39" t="n">
        <x:v>13039236.11</x:v>
      </x:c>
      <x:c r="C22" s="39" t="n">
        <x:f>'Membership Ledger'!B15</x:f>
        <x:v>13039236.11</x:v>
      </x:c>
      <x:c r="D22" s="40" t="n">
        <x:f>C22-B22</x:f>
        <x:v>0</x:v>
      </x:c>
      <x:c r="E22" s="39" t="str">
        <x:f>IF(ABS(D22)&lt;0.01,"PASS","FAIL")</x:f>
        <x:v>PASS</x:v>
      </x:c>
      <x:c r="F22" s="35"/>
      <x:c r="G22" s="35"/>
      <x:c r="H22" s="35"/>
      <x:c r="I22" s="35"/>
      <x:c r="J22" s="35"/>
      <x:c r="K22" s="35"/>
      <x:c r="L22" s="35"/>
      <x:c r="M22" s="35"/>
      <x:c r="N22" s="35"/>
      <x:c r="O22" s="35"/>
      <x:c r="P22" s="35"/>
      <x:c r="Q22" s="35"/>
      <x:c r="R22" s="35"/>
      <x:c r="S22" s="35"/>
      <x:c r="T22" s="35"/>
      <x:c r="U22" s="35"/>
      <x:c r="V22" s="35"/>
      <x:c r="W22" s="35"/>
      <x:c r="X22" s="35"/>
      <x:c r="Y22" s="35"/>
      <x:c r="Z22" s="35"/>
    </x:row>
    <x:row r="23">
      <x:c r="A23" s="39" t="str">
        <x:v>Membership shares</x:v>
      </x:c>
      <x:c r="B23" s="39" t="n">
        <x:v>1</x:v>
      </x:c>
      <x:c r="C23" s="39" t="n">
        <x:f>'Membership Ledger'!C15</x:f>
        <x:v>1</x:v>
      </x:c>
      <x:c r="D23" s="40" t="n">
        <x:f>C23-B23</x:f>
        <x:v>0</x:v>
      </x:c>
      <x:c r="E23" s="39" t="str">
        <x:f>IF(ABS(D23)&lt;0.01,"PASS","FAIL")</x:f>
        <x:v>PASS</x:v>
      </x:c>
      <x:c r="F23" s="35"/>
      <x:c r="G23" s="35"/>
      <x:c r="H23" s="35"/>
      <x:c r="I23" s="35"/>
      <x:c r="J23" s="35"/>
      <x:c r="K23" s="35"/>
      <x:c r="L23" s="35"/>
      <x:c r="M23" s="35"/>
      <x:c r="N23" s="35"/>
      <x:c r="O23" s="35"/>
      <x:c r="P23" s="35"/>
      <x:c r="Q23" s="35"/>
      <x:c r="R23" s="35"/>
      <x:c r="S23" s="35"/>
      <x:c r="T23" s="35"/>
      <x:c r="U23" s="35"/>
      <x:c r="V23" s="35"/>
      <x:c r="W23" s="35"/>
      <x:c r="X23" s="35"/>
      <x:c r="Y23" s="35"/>
      <x:c r="Z23" s="35"/>
    </x:row>
    <x:row r="24">
      <x:c r="A24" s="39" t="str">
        <x:v>People floor USD B</x:v>
      </x:c>
      <x:c r="B24" s="39" t="n">
        <x:v>1359.1097761</x:v>
      </x:c>
      <x:c r="C24" s="39" t="n">
        <x:f>'Workforce Economy'!D12</x:f>
        <x:v>1359.1097760999999</x:v>
      </x:c>
      <x:c r="D24" s="40" t="n">
        <x:f>C24-B24</x:f>
        <x:v>-2.2737367544323206e-13</x:v>
      </x:c>
      <x:c r="E24" s="39" t="str">
        <x:f>IF(ABS(D24)&lt;0.01,"PASS","FAIL")</x:f>
        <x:v>PASS</x:v>
      </x:c>
      <x:c r="F24" s="35"/>
      <x:c r="G24" s="35"/>
      <x:c r="H24" s="35"/>
      <x:c r="I24" s="35"/>
      <x:c r="J24" s="35"/>
      <x:c r="K24" s="35"/>
      <x:c r="L24" s="35"/>
      <x:c r="M24" s="35"/>
      <x:c r="N24" s="35"/>
      <x:c r="O24" s="35"/>
      <x:c r="P24" s="35"/>
      <x:c r="Q24" s="35"/>
      <x:c r="R24" s="35"/>
      <x:c r="S24" s="35"/>
      <x:c r="T24" s="35"/>
      <x:c r="U24" s="35"/>
      <x:c r="V24" s="35"/>
      <x:c r="W24" s="35"/>
      <x:c r="X24" s="35"/>
      <x:c r="Y24" s="35"/>
      <x:c r="Z24" s="35"/>
    </x:row>
    <x:row r="25">
      <x:c r="A25" s="39" t="str">
        <x:v>Prior people allocation USD B</x:v>
      </x:c>
      <x:c r="B25" s="39" t="n">
        <x:v>844</x:v>
      </x:c>
      <x:c r="C25" s="39" t="n">
        <x:f>'Workforce Economy'!D13</x:f>
        <x:v>844</x:v>
      </x:c>
      <x:c r="D25" s="40" t="n">
        <x:f>C25-B25</x:f>
        <x:v>0</x:v>
      </x:c>
      <x:c r="E25" s="39" t="str">
        <x:f>IF(ABS(D25)&lt;0.01,"PASS","FAIL")</x:f>
        <x:v>PASS</x:v>
      </x:c>
      <x:c r="F25" s="35"/>
      <x:c r="G25" s="35"/>
      <x:c r="H25" s="35"/>
      <x:c r="I25" s="35"/>
      <x:c r="J25" s="35"/>
      <x:c r="K25" s="35"/>
      <x:c r="L25" s="35"/>
      <x:c r="M25" s="35"/>
      <x:c r="N25" s="35"/>
      <x:c r="O25" s="35"/>
      <x:c r="P25" s="35"/>
      <x:c r="Q25" s="35"/>
      <x:c r="R25" s="35"/>
      <x:c r="S25" s="35"/>
      <x:c r="T25" s="35"/>
      <x:c r="U25" s="35"/>
      <x:c r="V25" s="35"/>
      <x:c r="W25" s="35"/>
      <x:c r="X25" s="35"/>
      <x:c r="Y25" s="35"/>
      <x:c r="Z25" s="35"/>
    </x:row>
    <x:row r="26">
      <x:c r="A26" s="39" t="str">
        <x:v>Funding gap USD B</x:v>
      </x:c>
      <x:c r="B26" s="39" t="n">
        <x:v>515.1097761</x:v>
      </x:c>
      <x:c r="C26" s="39" t="n">
        <x:f>'Workforce Economy'!D14</x:f>
        <x:v>515.1097760999999</x:v>
      </x:c>
      <x:c r="D26" s="40" t="n">
        <x:f>C26-B26</x:f>
        <x:v>-1.1368683772161603e-13</x:v>
      </x:c>
      <x:c r="E26" s="39" t="str">
        <x:f>IF(ABS(D26)&lt;0.01,"PASS","FAIL")</x:f>
        <x:v>PASS</x:v>
      </x:c>
      <x:c r="F26" s="35"/>
      <x:c r="G26" s="35"/>
      <x:c r="H26" s="35"/>
      <x:c r="I26" s="35"/>
      <x:c r="J26" s="35"/>
      <x:c r="K26" s="35"/>
      <x:c r="L26" s="35"/>
      <x:c r="M26" s="35"/>
      <x:c r="N26" s="35"/>
      <x:c r="O26" s="35"/>
      <x:c r="P26" s="35"/>
      <x:c r="Q26" s="35"/>
      <x:c r="R26" s="35"/>
      <x:c r="S26" s="35"/>
      <x:c r="T26" s="35"/>
      <x:c r="U26" s="35"/>
      <x:c r="V26" s="35"/>
      <x:c r="W26" s="35"/>
      <x:c r="X26" s="35"/>
      <x:c r="Y26" s="35"/>
      <x:c r="Z26" s="35"/>
    </x:row>
    <x:row r="27">
      <x:c r="A27" s="39" t="str">
        <x:v>Preserved nonpeople USD B</x:v>
      </x:c>
      <x:c r="B27" s="39" t="n">
        <x:v>1266</x:v>
      </x:c>
      <x:c r="C27" s="39" t="n">
        <x:f>'Workforce Economy'!D15</x:f>
        <x:v>1266</x:v>
      </x:c>
      <x:c r="D27" s="40" t="n">
        <x:f>C27-B27</x:f>
        <x:v>0</x:v>
      </x:c>
      <x:c r="E27" s="39" t="str">
        <x:f>IF(ABS(D27)&lt;0.01,"PASS","FAIL")</x:f>
        <x:v>PASS</x:v>
      </x:c>
      <x:c r="F27" s="35"/>
      <x:c r="G27" s="35"/>
      <x:c r="H27" s="35"/>
      <x:c r="I27" s="35"/>
      <x:c r="J27" s="35"/>
      <x:c r="K27" s="35"/>
      <x:c r="L27" s="35"/>
      <x:c r="M27" s="35"/>
      <x:c r="N27" s="35"/>
      <x:c r="O27" s="35"/>
      <x:c r="P27" s="35"/>
      <x:c r="Q27" s="35"/>
      <x:c r="R27" s="35"/>
      <x:c r="S27" s="35"/>
      <x:c r="T27" s="35"/>
      <x:c r="U27" s="35"/>
      <x:c r="V27" s="35"/>
      <x:c r="W27" s="35"/>
      <x:c r="X27" s="35"/>
      <x:c r="Y27" s="35"/>
      <x:c r="Z27" s="35"/>
    </x:row>
    <x:row r="28">
      <x:c r="A28" s="39" t="str">
        <x:v>Revised mature operations USD B</x:v>
      </x:c>
      <x:c r="B28" s="39" t="n">
        <x:v>2625.1097761</x:v>
      </x:c>
      <x:c r="C28" s="39" t="n">
        <x:f>'Workforce Economy'!B22</x:f>
        <x:v>2625.1097761</x:v>
      </x:c>
      <x:c r="D28" s="40" t="n">
        <x:f>C28-B28</x:f>
        <x:v>0</x:v>
      </x:c>
      <x:c r="E28" s="39" t="str">
        <x:f>IF(ABS(D28)&lt;0.01,"PASS","FAIL")</x:f>
        <x:v>PASS</x:v>
      </x:c>
      <x:c r="F28" s="35"/>
      <x:c r="G28" s="35"/>
      <x:c r="H28" s="35"/>
      <x:c r="I28" s="35"/>
      <x:c r="J28" s="35"/>
      <x:c r="K28" s="35"/>
      <x:c r="L28" s="35"/>
      <x:c r="M28" s="35"/>
      <x:c r="N28" s="35"/>
      <x:c r="O28" s="35"/>
      <x:c r="P28" s="35"/>
      <x:c r="Q28" s="35"/>
      <x:c r="R28" s="35"/>
      <x:c r="S28" s="35"/>
      <x:c r="T28" s="35"/>
      <x:c r="U28" s="35"/>
      <x:c r="V28" s="35"/>
      <x:c r="W28" s="35"/>
      <x:c r="X28" s="35"/>
      <x:c r="Y28" s="35"/>
      <x:c r="Z28" s="35"/>
    </x:row>
    <x:row r="29">
      <x:c r="A29" s="39" t="str">
        <x:v>Operations ramp factor</x:v>
      </x:c>
      <x:c r="B29" s="39" t="n">
        <x:v>19.05</x:v>
      </x:c>
      <x:c r="C29" s="39" t="n">
        <x:f>Controls!B25</x:f>
        <x:v>19.05</x:v>
      </x:c>
      <x:c r="D29" s="40" t="n">
        <x:f>C29-B29</x:f>
        <x:v>0</x:v>
      </x:c>
      <x:c r="E29" s="39" t="str">
        <x:f>IF(ABS(D29)&lt;0.01,"PASS","FAIL")</x:f>
        <x:v>PASS</x:v>
      </x:c>
      <x:c r="F29" s="35"/>
      <x:c r="G29" s="35"/>
      <x:c r="H29" s="35"/>
      <x:c r="I29" s="35"/>
      <x:c r="J29" s="35"/>
      <x:c r="K29" s="35"/>
      <x:c r="L29" s="35"/>
      <x:c r="M29" s="35"/>
      <x:c r="N29" s="35"/>
      <x:c r="O29" s="35"/>
      <x:c r="P29" s="35"/>
      <x:c r="Q29" s="35"/>
      <x:c r="R29" s="35"/>
      <x:c r="S29" s="35"/>
      <x:c r="T29" s="35"/>
      <x:c r="U29" s="35"/>
      <x:c r="V29" s="35"/>
      <x:c r="W29" s="35"/>
      <x:c r="X29" s="35"/>
      <x:c r="Y29" s="35"/>
      <x:c r="Z29" s="35"/>
    </x:row>
    <x:row r="30">
      <x:c r="A30" s="39" t="str">
        <x:v>25-year revised operations USD B</x:v>
      </x:c>
      <x:c r="B30" s="39" t="n">
        <x:v>50008.341234705</x:v>
      </x:c>
      <x:c r="C30" s="39" t="n">
        <x:f>'25-Year Economy'!E34</x:f>
        <x:v>50008.34123470498</x:v>
      </x:c>
      <x:c r="D30" s="40" t="n">
        <x:f>C30-B30</x:f>
        <x:v>-2.1827872842550278e-11</x:v>
      </x:c>
      <x:c r="E30" s="39" t="str">
        <x:f>IF(ABS(D30)&lt;0.01,"PASS","FAIL")</x:f>
        <x:v>PASS</x:v>
      </x:c>
      <x:c r="F30" s="35"/>
      <x:c r="G30" s="35"/>
      <x:c r="H30" s="35"/>
      <x:c r="I30" s="35"/>
      <x:c r="J30" s="35"/>
      <x:c r="K30" s="35"/>
      <x:c r="L30" s="35"/>
      <x:c r="M30" s="35"/>
      <x:c r="N30" s="35"/>
      <x:c r="O30" s="35"/>
      <x:c r="P30" s="35"/>
      <x:c r="Q30" s="35"/>
      <x:c r="R30" s="35"/>
      <x:c r="S30" s="35"/>
      <x:c r="T30" s="35"/>
      <x:c r="U30" s="35"/>
      <x:c r="V30" s="35"/>
      <x:c r="W30" s="35"/>
      <x:c r="X30" s="35"/>
      <x:c r="Y30" s="35"/>
      <x:c r="Z30" s="35"/>
    </x:row>
    <x:row r="31">
      <x:c r="A31" s="39" t="str">
        <x:v>25-year public outlay USD B</x:v>
      </x:c>
      <x:c r="B31" s="39" t="n">
        <x:v>68408.341234705</x:v>
      </x:c>
      <x:c r="C31" s="39" t="n">
        <x:f>'25-Year Economy'!H34</x:f>
        <x:v>68408.34123470499</x:v>
      </x:c>
      <x:c r="D31" s="40" t="n">
        <x:f>C31-B31</x:f>
        <x:v>-1.4551915228366852e-11</x:v>
      </x:c>
      <x:c r="E31" s="39" t="str">
        <x:f>IF(ABS(D31)&lt;0.01,"PASS","FAIL")</x:f>
        <x:v>PASS</x:v>
      </x:c>
      <x:c r="F31" s="35"/>
      <x:c r="G31" s="35"/>
      <x:c r="H31" s="35"/>
      <x:c r="I31" s="35"/>
      <x:c r="J31" s="35"/>
      <x:c r="K31" s="35"/>
      <x:c r="L31" s="35"/>
      <x:c r="M31" s="35"/>
      <x:c r="N31" s="35"/>
      <x:c r="O31" s="35"/>
      <x:c r="P31" s="35"/>
      <x:c r="Q31" s="35"/>
      <x:c r="R31" s="35"/>
      <x:c r="S31" s="35"/>
      <x:c r="T31" s="35"/>
      <x:c r="U31" s="35"/>
      <x:c r="V31" s="35"/>
      <x:c r="W31" s="35"/>
      <x:c r="X31" s="35"/>
      <x:c r="Y31" s="35"/>
      <x:c r="Z31" s="35"/>
    </x:row>
    <x:row r="32">
      <x:c r="A32" s="39" t="str">
        <x:v>Technology frontiers</x:v>
      </x:c>
      <x:c r="B32" s="39" t="n">
        <x:v>12</x:v>
      </x:c>
      <x:c r="C32" s="39" t="n">
        <x:f>COUNTA(Technology!A7:A18)</x:f>
        <x:v>12</x:v>
      </x:c>
      <x:c r="D32" s="40" t="n">
        <x:f>C32-B32</x:f>
        <x:v>0</x:v>
      </x:c>
      <x:c r="E32" s="39" t="str">
        <x:f>IF(ABS(D32)&lt;0.01,"PASS","FAIL")</x:f>
        <x:v>PASS</x:v>
      </x:c>
      <x:c r="F32" s="35"/>
      <x:c r="G32" s="35"/>
      <x:c r="H32" s="35"/>
      <x:c r="I32" s="35"/>
      <x:c r="J32" s="35"/>
      <x:c r="K32" s="35"/>
      <x:c r="L32" s="35"/>
      <x:c r="M32" s="35"/>
      <x:c r="N32" s="35"/>
      <x:c r="O32" s="35"/>
      <x:c r="P32" s="35"/>
      <x:c r="Q32" s="35"/>
      <x:c r="R32" s="35"/>
      <x:c r="S32" s="35"/>
      <x:c r="T32" s="35"/>
      <x:c r="U32" s="35"/>
      <x:c r="V32" s="35"/>
      <x:c r="W32" s="35"/>
      <x:c r="X32" s="35"/>
      <x:c r="Y32" s="35"/>
      <x:c r="Z32" s="35"/>
    </x:row>
    <x:row r="33">
      <x:c r="A33" s="39" t="str">
        <x:v>Personnel identities</x:v>
      </x:c>
      <x:c r="B33" s="39" t="n">
        <x:v>0</x:v>
      </x:c>
      <x:c r="C33" s="39" t="n">
        <x:f>Controls!B35</x:f>
        <x:v>0</x:v>
      </x:c>
      <x:c r="D33" s="40" t="n">
        <x:f>C33-B33</x:f>
        <x:v>0</x:v>
      </x:c>
      <x:c r="E33" s="39" t="str">
        <x:f>IF(ABS(D33)&lt;0.01,"PASS","FAIL")</x:f>
        <x:v>PASS</x:v>
      </x:c>
      <x:c r="F33" s="35"/>
      <x:c r="G33" s="35"/>
      <x:c r="H33" s="35"/>
      <x:c r="I33" s="35"/>
      <x:c r="J33" s="35"/>
      <x:c r="K33" s="35"/>
      <x:c r="L33" s="35"/>
      <x:c r="M33" s="35"/>
      <x:c r="N33" s="35"/>
      <x:c r="O33" s="35"/>
      <x:c r="P33" s="35"/>
      <x:c r="Q33" s="35"/>
      <x:c r="R33" s="35"/>
      <x:c r="S33" s="35"/>
      <x:c r="T33" s="35"/>
      <x:c r="U33" s="35"/>
      <x:c r="V33" s="35"/>
      <x:c r="W33" s="35"/>
      <x:c r="X33" s="35"/>
      <x:c r="Y33" s="35"/>
      <x:c r="Z33" s="35"/>
    </x:row>
    <x:row r="34">
      <x:c r="A34" s="39" t="str">
        <x:v>Readiness credit</x:v>
      </x:c>
      <x:c r="B34" s="39" t="n">
        <x:v>0</x:v>
      </x:c>
      <x:c r="C34" s="39" t="n">
        <x:f>Controls!B36</x:f>
        <x:v>0</x:v>
      </x:c>
      <x:c r="D34" s="40" t="n">
        <x:f>C34-B34</x:f>
        <x:v>0</x:v>
      </x:c>
      <x:c r="E34" s="39" t="str">
        <x:f>IF(ABS(D34)&lt;0.01,"PASS","FAIL")</x:f>
        <x:v>PASS</x:v>
      </x:c>
      <x:c r="F34" s="35"/>
      <x:c r="G34" s="35"/>
      <x:c r="H34" s="35"/>
      <x:c r="I34" s="35"/>
      <x:c r="J34" s="35"/>
      <x:c r="K34" s="35"/>
      <x:c r="L34" s="35"/>
      <x:c r="M34" s="35"/>
      <x:c r="N34" s="35"/>
      <x:c r="O34" s="35"/>
      <x:c r="P34" s="35"/>
      <x:c r="Q34" s="35"/>
      <x:c r="R34" s="35"/>
      <x:c r="S34" s="35"/>
      <x:c r="T34" s="35"/>
      <x:c r="U34" s="35"/>
      <x:c r="V34" s="35"/>
      <x:c r="W34" s="35"/>
      <x:c r="X34" s="35"/>
      <x:c r="Y34" s="35"/>
      <x:c r="Z34" s="35"/>
    </x:row>
  </x:sheetData>
  <x:conditionalFormatting sqref="E7:E34">
    <x:cfRule type="containsText" dxfId="0" priority="1" operator="containsText" text="FAIL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80" hidden="0" customWidth="1"/>
    <x:col min="3" max="3" width="52" hidden="0" customWidth="1"/>
    <x:col min="4" max="4" width="16" hidden="0" customWidth="1"/>
    <x:col min="5" max="5" width="16" hidden="0" customWidth="1"/>
  </x:cols>
  <x:sheetData>
    <x:row r="2">
      <x:c r="A2" s="34" t="str">
        <x:v>Restored workforce mutations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37" t="str">
        <x:v>Every mutation is expected to fail and is restored before export.</x:v>
      </x:c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8" t="str">
        <x:v>Test</x:v>
      </x:c>
      <x:c r="B6" s="38" t="str">
        <x:v>Mutation</x:v>
      </x:c>
      <x:c r="C6" s="38" t="str">
        <x:v>Expected failure</x:v>
      </x:c>
      <x:c r="D6" s="38" t="str">
        <x:v>Mutated</x:v>
      </x:c>
      <x:c r="E6" s="38" t="str">
        <x:v>Restored</x:v>
      </x:c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9" t="str">
        <x:v>M1</x:v>
      </x:c>
      <x:c r="B7" s="39" t="str">
        <x:v>Treat service citizenship as national citizenship</x:v>
      </x:c>
      <x:c r="C7" s="39" t="str">
        <x:v>Equal civil standing</x:v>
      </x:c>
      <x:c r="D7" s="39" t="str">
        <x:v>FAIL</x:v>
      </x:c>
      <x:c r="E7" s="39" t="str">
        <x:v>PASS</x:v>
      </x:c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9" t="str">
        <x:v>M2</x:v>
      </x:c>
      <x:c r="B8" s="39" t="str">
        <x:v>Let an employer issue operational qualification</x:v>
      </x:c>
      <x:c r="C8" s="39" t="str">
        <x:v>Separated professional truth</x:v>
      </x:c>
      <x:c r="D8" s="39" t="str">
        <x:v>FAIL</x:v>
      </x:c>
      <x:c r="E8" s="39" t="str">
        <x:v>PASS</x:v>
      </x:c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9" t="str">
        <x:v>M3</x:v>
      </x:c>
      <x:c r="B9" s="39" t="str">
        <x:v>Count a learner in a required crew role</x:v>
      </x:c>
      <x:c r="C9" s="39" t="str">
        <x:v>Formation readiness integrity</x:v>
      </x:c>
      <x:c r="D9" s="39" t="str">
        <x:v>FAIL</x:v>
      </x:c>
      <x:c r="E9" s="39" t="str">
        <x:v>PASS</x:v>
      </x:c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9" t="str">
        <x:v>M4</x:v>
      </x:c>
      <x:c r="B10" s="39" t="str">
        <x:v>Mobilize a partner fellow domestically</x:v>
      </x:c>
      <x:c r="C10" s="39" t="str">
        <x:v>Bilateral scope</x:v>
      </x:c>
      <x:c r="D10" s="39" t="str">
        <x:v>FAIL</x:v>
      </x:c>
      <x:c r="E10" s="39" t="str">
        <x:v>PASS</x:v>
      </x:c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9" t="str">
        <x:v>M5</x:v>
      </x:c>
      <x:c r="B11" s="39" t="str">
        <x:v>Renew a reserve call beyond day 180 without legislature</x:v>
      </x:c>
      <x:c r="C11" s="39" t="str">
        <x:v>Bounded civil duty</x:v>
      </x:c>
      <x:c r="D11" s="39" t="str">
        <x:v>FAIL</x:v>
      </x:c>
      <x:c r="E11" s="39" t="str">
        <x:v>PASS</x:v>
      </x:c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9" t="str">
        <x:v>M6</x:v>
      </x:c>
      <x:c r="B12" s="39" t="str">
        <x:v>Use the retired 40% people share as a funded workforce</x:v>
      </x:c>
      <x:c r="C12" s="39" t="str">
        <x:v>Fiscal conservation</x:v>
      </x:c>
      <x:c r="D12" s="39" t="str">
        <x:v>FAIL</x:v>
      </x:c>
      <x:c r="E12" s="39" t="str">
        <x:v>PASS</x:v>
      </x:c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5" hidden="0" customWidth="1"/>
    <x:col min="3" max="3" width="112" hidden="0" customWidth="1"/>
  </x:cols>
  <x:sheetData>
    <x:row r="2">
      <x:c r="A2" s="34" t="str">
        <x:v>Internal source lineage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37" t="str">
        <x:v>No external sites or new datasets are used; implementation identities and actual observations remain source-empty.</x:v>
      </x:c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8" t="str">
        <x:v>Pass / artifact</x:v>
      </x:c>
      <x:c r="B6" s="38" t="str">
        <x:v>Internal source</x:v>
      </x:c>
      <x:c r="C6" s="38" t="str">
        <x:v>Claims used</x:v>
      </x:c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>
      <x:c r="A7" s="39" t="n">
        <x:v>167</x:v>
      </x:c>
      <x:c r="B7" s="44" t="str">
        <x:v>National and invited force-sizing constitution</x:v>
      </x:c>
      <x:c r="C7" s="44" t="str">
        <x:v>13.0M establishment, component shares, loaded rates, service billets and USD 2.11T operations</x:v>
      </x:c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>
      <x:c r="A8" s="39" t="n">
        <x:v>193</x:v>
      </x:c>
      <x:c r="B8" s="44" t="str">
        <x:v>Permanent readiness-cycle constitution</x:v>
      </x:c>
      <x:c r="C8" s="44" t="str">
        <x:v>5,251 formations, 3,667 ready, 15,123.6 crew sets and retired 40% people share</x:v>
      </x:c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>
      <x:c r="A9" s="39" t="n">
        <x:v>190</x:v>
      </x:c>
      <x:c r="B9" s="44" t="str">
        <x:v>Productive Commonwealth return</x:v>
      </x:c>
      <x:c r="C9" s="44" t="str">
        <x:v>200,000 qualified industrial positions, 20,000 completions and 44,400 learners</x:v>
      </x:c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>
      <x:c r="A10" s="39" t="n">
        <x:v>201</x:v>
      </x:c>
      <x:c r="B10" s="44" t="str">
        <x:v>Department constitutional order</x:v>
      </x:c>
      <x:c r="C10" s="44" t="str">
        <x:v>Five-house warrant separation and USD 58.6T predecessor public-outlay screen</x:v>
      </x:c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>
      <x:c r="A11" s="39" t="n">
        <x:v>202</x:v>
      </x:c>
      <x:c r="B11" s="44" t="str">
        <x:v>Domestic sovereignty and activation compact</x:v>
      </x:c>
      <x:c r="C11" s="44" t="str">
        <x:v>Six-day local bridge, thirty-day employment expiry and day-180 review</x:v>
      </x:c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>
      <x:c r="A12" s="39" t="n">
        <x:v>198</x:v>
      </x:c>
      <x:c r="B12" s="44" t="str">
        <x:v>Bilateral activation transaction</x:v>
      </x:c>
      <x:c r="C12" s="44" t="str">
        <x:v>Partner custody, non-recall and bilateral release</x:v>
      </x:c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39" hidden="0" customWidth="1"/>
  </x:cols>
  <x:sheetData>
    <x:row r="2">
      <x:c r="A2" s="34" t="str">
        <x:v>Model use and limits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</x:row>
    <x:row r="3">
      <x:c r="A3" s="36"/>
      <x:c r="B3" s="36"/>
      <x:c r="C3" s="36"/>
      <x:c r="D3" s="36"/>
      <x:c r="E3" s="36"/>
      <x:c r="F3" s="36"/>
      <x:c r="G3" s="36"/>
      <x:c r="H3" s="36"/>
      <x:c r="I3" s="36"/>
      <x:c r="J3" s="36"/>
      <x:c r="K3" s="36"/>
      <x:c r="L3" s="36"/>
      <x:c r="M3" s="36"/>
      <x:c r="N3" s="36"/>
      <x:c r="O3" s="36"/>
      <x:c r="P3" s="36"/>
      <x:c r="Q3" s="36"/>
      <x:c r="R3" s="36"/>
      <x:c r="S3" s="36"/>
      <x:c r="T3" s="36"/>
      <x:c r="U3" s="36"/>
      <x:c r="V3" s="36"/>
      <x:c r="W3" s="36"/>
      <x:c r="X3" s="36"/>
      <x:c r="Y3" s="36"/>
      <x:c r="Z3" s="36"/>
    </x:row>
    <x:row r="4">
      <x:c r="A4" s="37" t="str">
        <x:v>This workbook constitutes a workforce compact and fiscal revision. It does not hire, credential, mobilize or command any person.</x:v>
      </x:c>
      <x:c r="B4" s="35"/>
      <x:c r="C4" s="35"/>
      <x:c r="D4" s="35"/>
      <x:c r="E4" s="35"/>
      <x:c r="F4" s="35"/>
      <x:c r="G4" s="35"/>
      <x:c r="H4" s="35"/>
      <x:c r="I4" s="35"/>
      <x:c r="J4" s="35"/>
      <x:c r="K4" s="35"/>
      <x:c r="L4" s="35"/>
      <x:c r="M4" s="35"/>
      <x:c r="N4" s="35"/>
      <x:c r="O4" s="35"/>
      <x:c r="P4" s="35"/>
      <x:c r="Q4" s="35"/>
      <x:c r="R4" s="35"/>
      <x:c r="S4" s="35"/>
      <x:c r="T4" s="35"/>
      <x:c r="U4" s="35"/>
      <x:c r="V4" s="35"/>
      <x:c r="W4" s="35"/>
      <x:c r="X4" s="35"/>
      <x:c r="Y4" s="35"/>
      <x:c r="Z4" s="35"/>
    </x:row>
    <x:row r="5">
      <x:c r="A5" s="35"/>
      <x:c r="B5" s="35"/>
      <x:c r="C5" s="35"/>
      <x:c r="D5" s="35"/>
      <x:c r="E5" s="35"/>
      <x:c r="F5" s="35"/>
      <x:c r="G5" s="35"/>
      <x:c r="H5" s="35"/>
      <x:c r="I5" s="35"/>
      <x:c r="J5" s="35"/>
      <x:c r="K5" s="35"/>
      <x:c r="L5" s="35"/>
      <x:c r="M5" s="35"/>
      <x:c r="N5" s="35"/>
      <x:c r="O5" s="35"/>
      <x:c r="P5" s="35"/>
      <x:c r="Q5" s="35"/>
      <x:c r="R5" s="35"/>
      <x:c r="S5" s="35"/>
      <x:c r="T5" s="35"/>
      <x:c r="U5" s="35"/>
      <x:c r="V5" s="35"/>
      <x:c r="W5" s="35"/>
      <x:c r="X5" s="35"/>
      <x:c r="Y5" s="35"/>
      <x:c r="Z5" s="35"/>
    </x:row>
    <x:row r="6">
      <x:c r="A6" s="38" t="str">
        <x:v>Topic</x:v>
      </x:c>
      <x:c r="B6" s="38" t="str">
        <x:v>Guidance</x:v>
      </x:c>
      <x:c r="C6" s="35"/>
      <x:c r="D6" s="35"/>
      <x:c r="E6" s="35"/>
      <x:c r="F6" s="35"/>
      <x:c r="G6" s="35"/>
      <x:c r="H6" s="35"/>
      <x:c r="I6" s="35"/>
      <x:c r="J6" s="35"/>
      <x:c r="K6" s="35"/>
      <x:c r="L6" s="35"/>
      <x:c r="M6" s="35"/>
      <x:c r="N6" s="35"/>
      <x:c r="O6" s="35"/>
      <x:c r="P6" s="35"/>
      <x:c r="Q6" s="35"/>
      <x:c r="R6" s="35"/>
      <x:c r="S6" s="35"/>
      <x:c r="T6" s="35"/>
      <x:c r="U6" s="35"/>
      <x:c r="V6" s="35"/>
      <x:c r="W6" s="35"/>
      <x:c r="X6" s="35"/>
      <x:c r="Y6" s="35"/>
      <x:c r="Z6" s="35"/>
    </x:row>
    <x:row r="7" ht="46" customHeight="1">
      <x:c r="A7" s="39" t="str">
        <x:v>Decision</x:v>
      </x:c>
      <x:c r="B7" s="44" t="str">
        <x:v>Select a Civil Service Commonwealth with voluntary entry, seven statuses, enforceable bounded duty and civil law.</x:v>
      </x:c>
      <x:c r="C7" s="35"/>
      <x:c r="D7" s="35"/>
      <x:c r="E7" s="35"/>
      <x:c r="F7" s="35"/>
      <x:c r="G7" s="35"/>
      <x:c r="H7" s="35"/>
      <x:c r="I7" s="35"/>
      <x:c r="J7" s="35"/>
      <x:c r="K7" s="35"/>
      <x:c r="L7" s="35"/>
      <x:c r="M7" s="35"/>
      <x:c r="N7" s="35"/>
      <x:c r="O7" s="35"/>
      <x:c r="P7" s="35"/>
      <x:c r="Q7" s="35"/>
      <x:c r="R7" s="35"/>
      <x:c r="S7" s="35"/>
      <x:c r="T7" s="35"/>
      <x:c r="U7" s="35"/>
      <x:c r="V7" s="35"/>
      <x:c r="W7" s="35"/>
      <x:c r="X7" s="35"/>
      <x:c r="Y7" s="35"/>
      <x:c r="Z7" s="35"/>
    </x:row>
    <x:row r="8" ht="46" customHeight="1">
      <x:c r="A8" s="39" t="str">
        <x:v>Mass</x:v>
      </x:c>
      <x:c r="B8" s="44" t="str">
        <x:v>13.0M is an affiliated establishment: 5.57M career, 2.94M reserve, 2.43M covenant, 2.07M productive and 20,700 partner positions.</x:v>
      </x:c>
      <x:c r="C8" s="35"/>
      <x:c r="D8" s="35"/>
      <x:c r="E8" s="35"/>
      <x:c r="F8" s="35"/>
      <x:c r="G8" s="35"/>
      <x:c r="H8" s="35"/>
      <x:c r="I8" s="35"/>
      <x:c r="J8" s="35"/>
      <x:c r="K8" s="35"/>
      <x:c r="L8" s="35"/>
      <x:c r="M8" s="35"/>
      <x:c r="N8" s="35"/>
      <x:c r="O8" s="35"/>
      <x:c r="P8" s="35"/>
      <x:c r="Q8" s="35"/>
      <x:c r="R8" s="35"/>
      <x:c r="S8" s="35"/>
      <x:c r="T8" s="35"/>
      <x:c r="U8" s="35"/>
      <x:c r="V8" s="35"/>
      <x:c r="W8" s="35"/>
      <x:c r="X8" s="35"/>
      <x:c r="Y8" s="35"/>
      <x:c r="Z8" s="35"/>
    </x:row>
    <x:row r="9" ht="46" customHeight="1">
      <x:c r="A9" s="39" t="str">
        <x:v>Tribal sovereignty</x:v>
      </x:c>
      <x:c r="B9" s="44" t="str">
        <x:v>Tribal status is legally direct; numerical allocation inside the combined covenant account remains source-empty.</x:v>
      </x:c>
      <x:c r="C9" s="35"/>
      <x:c r="D9" s="35"/>
      <x:c r="E9" s="35"/>
      <x:c r="F9" s="35"/>
      <x:c r="G9" s="35"/>
      <x:c r="H9" s="35"/>
      <x:c r="I9" s="35"/>
      <x:c r="J9" s="35"/>
      <x:c r="K9" s="35"/>
      <x:c r="L9" s="35"/>
      <x:c r="M9" s="35"/>
      <x:c r="N9" s="35"/>
      <x:c r="O9" s="35"/>
      <x:c r="P9" s="35"/>
      <x:c r="Q9" s="35"/>
      <x:c r="R9" s="35"/>
      <x:c r="S9" s="35"/>
      <x:c r="T9" s="35"/>
      <x:c r="U9" s="35"/>
      <x:c r="V9" s="35"/>
      <x:c r="W9" s="35"/>
      <x:c r="X9" s="35"/>
      <x:c r="Y9" s="35"/>
      <x:c r="Z9" s="35"/>
    </x:row>
    <x:row r="10" ht="46" customHeight="1">
      <x:c r="A10" s="39" t="str">
        <x:v>Readiness</x:v>
      </x:c>
      <x:c r="B10" s="44" t="str">
        <x:v>Eleven warrants prevent membership, payroll, license, availability or a learner from becoming a ready crew.</x:v>
      </x:c>
      <x:c r="C10" s="35"/>
      <x:c r="D10" s="35"/>
      <x:c r="E10" s="35"/>
      <x:c r="F10" s="35"/>
      <x:c r="G10" s="35"/>
      <x:c r="H10" s="35"/>
      <x:c r="I10" s="35"/>
      <x:c r="J10" s="35"/>
      <x:c r="K10" s="35"/>
      <x:c r="L10" s="35"/>
      <x:c r="M10" s="35"/>
      <x:c r="N10" s="35"/>
      <x:c r="O10" s="35"/>
      <x:c r="P10" s="35"/>
      <x:c r="Q10" s="35"/>
      <x:c r="R10" s="35"/>
      <x:c r="S10" s="35"/>
      <x:c r="T10" s="35"/>
      <x:c r="U10" s="35"/>
      <x:c r="V10" s="35"/>
      <x:c r="W10" s="35"/>
      <x:c r="X10" s="35"/>
      <x:c r="Y10" s="35"/>
      <x:c r="Z10" s="35"/>
    </x:row>
    <x:row r="11" ht="46" customHeight="1">
      <x:c r="A11" s="39" t="str">
        <x:v>Rights</x:v>
      </x:c>
      <x:c r="B11" s="44" t="str">
        <x:v>Twelve rights and ten duties bind every member; unsafe refusal, representation, care, family continuity and return remain nonwaivable.</x:v>
      </x:c>
      <x:c r="C11" s="35"/>
      <x:c r="D11" s="35"/>
      <x:c r="E11" s="35"/>
      <x:c r="F11" s="35"/>
      <x:c r="G11" s="35"/>
      <x:c r="H11" s="35"/>
      <x:c r="I11" s="35"/>
      <x:c r="J11" s="35"/>
      <x:c r="K11" s="35"/>
      <x:c r="L11" s="35"/>
      <x:c r="M11" s="35"/>
      <x:c r="N11" s="35"/>
      <x:c r="O11" s="35"/>
      <x:c r="P11" s="35"/>
      <x:c r="Q11" s="35"/>
      <x:c r="R11" s="35"/>
      <x:c r="S11" s="35"/>
      <x:c r="T11" s="35"/>
      <x:c r="U11" s="35"/>
      <x:c r="V11" s="35"/>
      <x:c r="W11" s="35"/>
      <x:c r="X11" s="35"/>
      <x:c r="Y11" s="35"/>
      <x:c r="Z11" s="35"/>
    </x:row>
    <x:row r="12" ht="46" customHeight="1">
      <x:c r="A12" s="39" t="str">
        <x:v>Duty</x:v>
      </x:c>
      <x:c r="B12" s="44" t="str">
        <x:v>Reserve exposure is capped at 365 days in 730; every employment warrant expires at thirty days and requires legislation after day 180.</x:v>
      </x:c>
      <x:c r="C12" s="35"/>
      <x:c r="D12" s="35"/>
      <x:c r="E12" s="35"/>
      <x:c r="F12" s="35"/>
      <x:c r="G12" s="35"/>
      <x:c r="H12" s="35"/>
      <x:c r="I12" s="35"/>
      <x:c r="J12" s="35"/>
      <x:c r="K12" s="35"/>
      <x:c r="L12" s="35"/>
      <x:c r="M12" s="35"/>
      <x:c r="N12" s="35"/>
      <x:c r="O12" s="35"/>
      <x:c r="P12" s="35"/>
      <x:c r="Q12" s="35"/>
      <x:c r="R12" s="35"/>
      <x:c r="S12" s="35"/>
      <x:c r="T12" s="35"/>
      <x:c r="U12" s="35"/>
      <x:c r="V12" s="35"/>
      <x:c r="W12" s="35"/>
      <x:c r="X12" s="35"/>
      <x:c r="Y12" s="35"/>
      <x:c r="Z12" s="35"/>
    </x:row>
    <x:row r="13" ht="46" customHeight="1">
      <x:c r="A13" s="39" t="str">
        <x:v>Fiscal revision</x:v>
      </x:c>
      <x:c r="B13" s="44" t="str">
        <x:v>Component-derived people cost is USD 1.36T/year. Preserving nonpeople readiness raises mature operations to USD 2.63T/year.</x:v>
      </x:c>
      <x:c r="C13" s="35"/>
      <x:c r="D13" s="35"/>
      <x:c r="E13" s="35"/>
      <x:c r="F13" s="35"/>
      <x:c r="G13" s="35"/>
      <x:c r="H13" s="35"/>
      <x:c r="I13" s="35"/>
      <x:c r="J13" s="35"/>
      <x:c r="K13" s="35"/>
      <x:c r="L13" s="35"/>
      <x:c r="M13" s="35"/>
      <x:c r="N13" s="35"/>
      <x:c r="O13" s="35"/>
      <x:c r="P13" s="35"/>
      <x:c r="Q13" s="35"/>
      <x:c r="R13" s="35"/>
      <x:c r="S13" s="35"/>
      <x:c r="T13" s="35"/>
      <x:c r="U13" s="35"/>
      <x:c r="V13" s="35"/>
      <x:c r="W13" s="35"/>
      <x:c r="X13" s="35"/>
      <x:c r="Y13" s="35"/>
      <x:c r="Z13" s="35"/>
    </x:row>
    <x:row r="14" ht="46" customHeight="1">
      <x:c r="A14" s="39" t="str">
        <x:v>Twenty-five years</x:v>
      </x:c>
      <x:c r="B14" s="44" t="str">
        <x:v>Ramped operations become USD 50.0T and public outlay USD 68.4T; ±20% personnel rates yield USD 63.2–73.6T.</x:v>
      </x:c>
      <x:c r="C14" s="35"/>
      <x:c r="D14" s="35"/>
      <x:c r="E14" s="35"/>
      <x:c r="F14" s="35"/>
      <x:c r="G14" s="35"/>
      <x:c r="H14" s="35"/>
      <x:c r="I14" s="35"/>
      <x:c r="J14" s="35"/>
      <x:c r="K14" s="35"/>
      <x:c r="L14" s="35"/>
      <x:c r="M14" s="35"/>
      <x:c r="N14" s="35"/>
      <x:c r="O14" s="35"/>
      <x:c r="P14" s="35"/>
      <x:c r="Q14" s="35"/>
      <x:c r="R14" s="35"/>
      <x:c r="S14" s="35"/>
      <x:c r="T14" s="35"/>
      <x:c r="U14" s="35"/>
      <x:c r="V14" s="35"/>
      <x:c r="W14" s="35"/>
      <x:c r="X14" s="35"/>
      <x:c r="Y14" s="35"/>
      <x:c r="Z14" s="35"/>
    </x:row>
    <x:row r="15" ht="46" customHeight="1">
      <x:c r="A15" s="39" t="str">
        <x:v>Evidence</x:v>
      </x:c>
      <x:c r="B15" s="44" t="str">
        <x:v>All people, employers, credentials, manifests, calls and observations remain source-empty; authority and readiness credit are zero.</x:v>
      </x:c>
      <x:c r="C15" s="35"/>
      <x:c r="D15" s="35"/>
      <x:c r="E15" s="35"/>
      <x:c r="F15" s="35"/>
      <x:c r="G15" s="35"/>
      <x:c r="H15" s="35"/>
      <x:c r="I15" s="35"/>
      <x:c r="J15" s="35"/>
      <x:c r="K15" s="35"/>
      <x:c r="L15" s="35"/>
      <x:c r="M15" s="35"/>
      <x:c r="N15" s="35"/>
      <x:c r="O15" s="35"/>
      <x:c r="P15" s="35"/>
      <x:c r="Q15" s="35"/>
      <x:c r="R15" s="35"/>
      <x:c r="S15" s="35"/>
      <x:c r="T15" s="35"/>
      <x:c r="U15" s="35"/>
      <x:c r="V15" s="35"/>
      <x:c r="W15" s="35"/>
      <x:c r="X15" s="35"/>
      <x:c r="Y15" s="35"/>
      <x:c r="Z15" s="35"/>
    </x:row>
    <x:row r="16" ht="46" customHeight="1">
      <x:c r="A16" s="39" t="str">
        <x:v>No renderings</x:v>
      </x:c>
      <x:c r="B16" s="44" t="str">
        <x:v>No platform exterior, facility design or geographic site is authorized.</x:v>
      </x:c>
      <x:c r="C16" s="35"/>
      <x:c r="D16" s="35"/>
      <x:c r="E16" s="35"/>
      <x:c r="F16" s="35"/>
      <x:c r="G16" s="35"/>
      <x:c r="H16" s="35"/>
      <x:c r="I16" s="35"/>
      <x:c r="J16" s="35"/>
      <x:c r="K16" s="35"/>
      <x:c r="L16" s="35"/>
      <x:c r="M16" s="35"/>
      <x:c r="N16" s="35"/>
      <x:c r="O16" s="35"/>
      <x:c r="P16" s="35"/>
      <x:c r="Q16" s="35"/>
      <x:c r="R16" s="35"/>
      <x:c r="S16" s="35"/>
      <x:c r="T16" s="35"/>
      <x:c r="U16" s="35"/>
      <x:c r="V16" s="35"/>
      <x:c r="W16" s="35"/>
      <x:c r="X16" s="35"/>
      <x:c r="Y16" s="35"/>
      <x:c r="Z16" s="35"/>
    </x:row>
    <x:row r="17" ht="46" customHeight="1">
      <x:c r="A17" s="39" t="str">
        <x:v>Next</x:v>
      </x:c>
      <x:c r="B17" s="44" t="str">
        <x:v>The next Department resolution is public knowledge, sensing, forecast, data rights and civil privacy.</x:v>
      </x:c>
      <x:c r="C17" s="35"/>
      <x:c r="D17" s="35"/>
      <x:c r="E17" s="35"/>
      <x:c r="F17" s="35"/>
      <x:c r="G17" s="35"/>
      <x:c r="H17" s="35"/>
      <x:c r="I17" s="35"/>
      <x:c r="J17" s="35"/>
      <x:c r="K17" s="35"/>
      <x:c r="L17" s="35"/>
      <x:c r="M17" s="35"/>
      <x:c r="N17" s="35"/>
      <x:c r="O17" s="35"/>
      <x:c r="P17" s="35"/>
      <x:c r="Q17" s="35"/>
      <x:c r="R17" s="35"/>
      <x:c r="S17" s="35"/>
      <x:c r="T17" s="35"/>
      <x:c r="U17" s="35"/>
      <x:c r="V17" s="35"/>
      <x:c r="W17" s="35"/>
      <x:c r="X17" s="35"/>
      <x:c r="Y17" s="35"/>
      <x:c r="Z17" s="35"/>
    </x:row>
  </x:sheetData>
  <x:pageMargins left="0.7" right="0.7" top="0.75" bottom="0.75" header="0.3" footer="0.3"/>
</x:worksheet>
</file>