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cision" sheetId="1" state="visible" r:id="rId3"/>
    <sheet name="Architecture Test" sheetId="2" state="visible" r:id="rId4"/>
    <sheet name="Account Control" sheetId="3" state="visible" r:id="rId5"/>
    <sheet name="Root Options" sheetId="4" state="visible" r:id="rId6"/>
    <sheet name="Field Awards" sheetId="5" state="visible" r:id="rId7"/>
    <sheet name="Ancestry Register" sheetId="6" state="visible" r:id="rId8"/>
    <sheet name="Shared Dependencies" sheetId="7" state="visible" r:id="rId9"/>
    <sheet name="Payment Ladder" sheetId="8" state="visible" r:id="rId10"/>
    <sheet name="Transaction States" sheetId="9" state="visible" r:id="rId11"/>
    <sheet name="Authority" sheetId="10" state="visible" r:id="rId12"/>
    <sheet name="Failure &amp; Exit" sheetId="11" state="visible" r:id="rId13"/>
    <sheet name="Public Rights" sheetId="12" state="visible" r:id="rId14"/>
    <sheet name="Industry Shape" sheetId="13" state="visible" r:id="rId15"/>
    <sheet name="Stress Tests" sheetId="14" state="visible" r:id="rId16"/>
    <sheet name="Mutations" sheetId="15" state="visible" r:id="rId17"/>
    <sheet name="Audit" sheetId="16" state="visible" r:id="rId18"/>
    <sheet name="Sources &amp; Limits" sheetId="17" state="visible" r:id="rId1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<sst xmlns="http://schemas.openxmlformats.org/spreadsheetml/2006/main" count="3574" uniqueCount="947">
  <si>
    <t xml:space="preserve">First-tranche industrial transaction</t>
  </si>
  <si>
    <t xml:space="preserve">Pass 207 | PFP-2 | separated option-and-proof market | Verdict: CLOSE</t>
  </si>
  <si>
    <t xml:space="preserve">Selected constitution</t>
  </si>
  <si>
    <t xml:space="preserve">Constitute twenty-four bankruptcy-remote Root Houses, each liable for one complete system root, but award only cancelable evidence-bearing options. Ninety-six root-field assignments remain traceable; twelve decisive domains remain root-exclusive; shared providers may touch at most two roots. Public authorities own service denominators, proof, foreground step-in rights and termination. Valid failure is paid; favorable evidence earns no production credit.</t>
  </si>
  <si>
    <t xml:space="preserve">First-tranche control</t>
  </si>
  <si>
    <t xml:space="preserve">Value</t>
  </si>
  <si>
    <t xml:space="preserve">Unit</t>
  </si>
  <si>
    <t xml:space="preserve">Control diagnostic</t>
  </si>
  <si>
    <t xml:space="preserve">Root Houses</t>
  </si>
  <si>
    <t xml:space="preserve">firms</t>
  </si>
  <si>
    <t xml:space="preserve">Root-control HHI</t>
  </si>
  <si>
    <t xml:space="preserve">share squared</t>
  </si>
  <si>
    <t xml:space="preserve">Root-field assignments</t>
  </si>
  <si>
    <t xml:space="preserve">opportunities</t>
  </si>
  <si>
    <t xml:space="preserve">Effective control groups</t>
  </si>
  <si>
    <t xml:space="preserve">groups</t>
  </si>
  <si>
    <t xml:space="preserve">Decisive ancestry cells</t>
  </si>
  <si>
    <t xml:space="preserve">declarations</t>
  </si>
  <si>
    <t xml:space="preserve">Six-prime HHI</t>
  </si>
  <si>
    <t xml:space="preserve">Shared dependency records</t>
  </si>
  <si>
    <t xml:space="preserve">records</t>
  </si>
  <si>
    <t xml:space="preserve">Six-prime effective groups</t>
  </si>
  <si>
    <t xml:space="preserve">Mission authority</t>
  </si>
  <si>
    <t xml:space="preserve">USD billions</t>
  </si>
  <si>
    <t xml:space="preserve">Active mission share</t>
  </si>
  <si>
    <t xml:space="preserve">percent</t>
  </si>
  <si>
    <t xml:space="preserve">Stageable root options</t>
  </si>
  <si>
    <t xml:space="preserve">Root option payment phases</t>
  </si>
  <si>
    <t xml:space="preserve">phases</t>
  </si>
  <si>
    <t xml:space="preserve">Mission options held</t>
  </si>
  <si>
    <t xml:space="preserve">Transaction states</t>
  </si>
  <si>
    <t xml:space="preserve">states</t>
  </si>
  <si>
    <t xml:space="preserve">Public and enabling accounts</t>
  </si>
  <si>
    <t xml:space="preserve">Failure dispositions</t>
  </si>
  <si>
    <t xml:space="preserve">rules</t>
  </si>
  <si>
    <t xml:space="preserve">Production credit</t>
  </si>
  <si>
    <t xml:space="preserve">Current awarded roots</t>
  </si>
  <si>
    <t xml:space="preserve">roots</t>
  </si>
  <si>
    <t xml:space="preserve">Candidate constitutions</t>
  </si>
  <si>
    <t xml:space="preserve">Candidate</t>
  </si>
  <si>
    <t xml:space="preserve">Passed gates</t>
  </si>
  <si>
    <t xml:space="preserve">Result</t>
  </si>
  <si>
    <t xml:space="preserve">Complete-root liability</t>
  </si>
  <si>
    <t xml:space="preserve">Root independence</t>
  </si>
  <si>
    <t xml:space="preserve">Independent proof</t>
  </si>
  <si>
    <t xml:space="preserve">Paid failure</t>
  </si>
  <si>
    <t xml:space="preserve">Public step-in</t>
  </si>
  <si>
    <t xml:space="preserve">New entry</t>
  </si>
  <si>
    <t xml:space="preserve">No production inference</t>
  </si>
  <si>
    <t xml:space="preserve">Control HHI</t>
  </si>
  <si>
    <t xml:space="preserve">Reason</t>
  </si>
  <si>
    <t xml:space="preserve">Industrial architecture test</t>
  </si>
  <si>
    <t xml:space="preserve">Selection requires all twelve gates. Concentration diagnostics inform the test but cannot compensate for a failed constitutional condition.</t>
  </si>
  <si>
    <t xml:space="preserve">Public denominator</t>
  </si>
  <si>
    <t xml:space="preserve">24 control groups</t>
  </si>
  <si>
    <t xml:space="preserve">Exclusive ancestry</t>
  </si>
  <si>
    <t xml:space="preserve">Provider cap</t>
  </si>
  <si>
    <t xml:space="preserve">Paid valid failure</t>
  </si>
  <si>
    <t xml:space="preserve">Fiscal conservation</t>
  </si>
  <si>
    <t xml:space="preserve">Replacement entry</t>
  </si>
  <si>
    <t xml:space="preserve">Executable in T1</t>
  </si>
  <si>
    <t xml:space="preserve">Governing reason</t>
  </si>
  <si>
    <t xml:space="preserve">Separated option-and-proof market</t>
  </si>
  <si>
    <t xml:space="preserve">One cancelable root option per independent house; public proof and step-in remain separate.</t>
  </si>
  <si>
    <t xml:space="preserve">Six lead system integrators</t>
  </si>
  <si>
    <t xml:space="preserve">One balance sheet, key chain and integration authority can remove four roots together.</t>
  </si>
  <si>
    <t xml:space="preserve">Ninety-six independent prize cells</t>
  </si>
  <si>
    <t xml:space="preserve">Excellent mechanism diversity leaves no actor liable for a complete root or executable service.</t>
  </si>
  <si>
    <t xml:space="preserve">Twenty-four perpetual franchises</t>
  </si>
  <si>
    <t xml:space="preserve">Protected incumbency makes adverse evidence and replacement nonbinding.</t>
  </si>
  <si>
    <t xml:space="preserve">Sovereign public arsenal</t>
  </si>
  <si>
    <t xml:space="preserve">One public toolchain becomes the national common root and judges its own reconstruction.</t>
  </si>
  <si>
    <t xml:space="preserve">First-tranche account control</t>
  </si>
  <si>
    <t xml:space="preserve">Appropriation, public capability and private root options remain separate. No displayed amount is an awarded contract.</t>
  </si>
  <si>
    <t xml:space="preserve">Account</t>
  </si>
  <si>
    <t xml:space="preserve">Authority (USD B)</t>
  </si>
  <si>
    <t xml:space="preserve">Share</t>
  </si>
  <si>
    <t xml:space="preserve">First-tranche owner</t>
  </si>
  <si>
    <t xml:space="preserve">Private root award</t>
  </si>
  <si>
    <t xml:space="preserve">Public or enabling use</t>
  </si>
  <si>
    <t xml:space="preserve">Held</t>
  </si>
  <si>
    <t xml:space="preserve">May move to another account</t>
  </si>
  <si>
    <t xml:space="preserve">Mission systems</t>
  </si>
  <si>
    <t xml:space="preserve">Six Mission System Commands</t>
  </si>
  <si>
    <t xml:space="preserve">Cancelable root options only</t>
  </si>
  <si>
    <t xml:space="preserve">None</t>
  </si>
  <si>
    <t xml:space="preserve">Unexercised balance stays in owning system</t>
  </si>
  <si>
    <t xml:space="preserve">No</t>
  </si>
  <si>
    <t xml:space="preserve">Service technical bases</t>
  </si>
  <si>
    <t xml:space="preserve">Seven Generating Services</t>
  </si>
  <si>
    <t xml:space="preserve">Methods, safety and configuration standards</t>
  </si>
  <si>
    <t xml:space="preserve">Gate-held</t>
  </si>
  <si>
    <t xml:space="preserve">Common capacity</t>
  </si>
  <si>
    <t xml:space="preserve">Capital Board and public owners</t>
  </si>
  <si>
    <t xml:space="preserve">Public seams, receiver emulators and common fixtures</t>
  </si>
  <si>
    <t xml:space="preserve">Sovereign technical estate</t>
  </si>
  <si>
    <t xml:space="preserve">Resilience Proving Service</t>
  </si>
  <si>
    <t xml:space="preserve">Challenge, control, reconstruction and evidence custody</t>
  </si>
  <si>
    <t xml:space="preserve">Failure reserve</t>
  </si>
  <si>
    <t xml:space="preserve">Program Comptroller</t>
  </si>
  <si>
    <t xml:space="preserve">Invalid-attempt replay, clean replacement entry and continuity</t>
  </si>
  <si>
    <t xml:space="preserve">Protected in full</t>
  </si>
  <si>
    <t xml:space="preserve">Total</t>
  </si>
  <si>
    <t xml:space="preserve">Five exclusive accounts</t>
  </si>
  <si>
    <t xml:space="preserve">No whole-root award</t>
  </si>
  <si>
    <t xml:space="preserve">Public powers remain separate</t>
  </si>
  <si>
    <t xml:space="preserve">No cross-account substitution</t>
  </si>
  <si>
    <t xml:space="preserve">Mission option disposition</t>
  </si>
  <si>
    <t xml:space="preserve">Disposition</t>
  </si>
  <si>
    <t xml:space="preserve">Meaning</t>
  </si>
  <si>
    <t xml:space="preserve">Program view</t>
  </si>
  <si>
    <t xml:space="preserve">Non-lifeline endpoint options</t>
  </si>
  <si>
    <t xml:space="preserve">May stage paired endpoint work</t>
  </si>
  <si>
    <t xml:space="preserve">Stageable Root House options</t>
  </si>
  <si>
    <t xml:space="preserve">Lifeline first-wave options</t>
  </si>
  <si>
    <t xml:space="preserve">May stage method and root-native sector work</t>
  </si>
  <si>
    <t xml:space="preserve">Mission options retained</t>
  </si>
  <si>
    <t xml:space="preserve">Cannot be awarded before evidence</t>
  </si>
  <si>
    <t xml:space="preserve">Total mission authority</t>
  </si>
  <si>
    <t xml:space="preserve">Reconciles to the mission account</t>
  </si>
  <si>
    <t xml:space="preserve">Protected failure reserve</t>
  </si>
  <si>
    <t xml:space="preserve">Twenty-four cancelable root options</t>
  </si>
  <si>
    <t xml:space="preserve">Each Root House may control one complete root. The first award is an option for evidence-bearing work, not a franchise or production contract.</t>
  </si>
  <si>
    <t xml:space="preserve">Root</t>
  </si>
  <si>
    <t xml:space="preserve">System</t>
  </si>
  <si>
    <t xml:space="preserve">Mission system</t>
  </si>
  <si>
    <t xml:space="preserve">Root thesis</t>
  </si>
  <si>
    <t xml:space="preserve">Full program option (USD B)</t>
  </si>
  <si>
    <t xml:space="preserve">T1 stageable (USD B)</t>
  </si>
  <si>
    <t xml:space="preserve">T1 held (USD B)</t>
  </si>
  <si>
    <t xml:space="preserve">Control identity</t>
  </si>
  <si>
    <t xml:space="preserve">Decisive domains</t>
  </si>
  <si>
    <t xml:space="preserve">Field assignments</t>
  </si>
  <si>
    <t xml:space="preserve">Current release</t>
  </si>
  <si>
    <t xml:space="preserve">Control HHI contribution</t>
  </si>
  <si>
    <t xml:space="preserve">ET-A</t>
  </si>
  <si>
    <t xml:space="preserve">MS-ET</t>
  </si>
  <si>
    <t xml:space="preserve">Enter a broken theater</t>
  </si>
  <si>
    <t xml:space="preserve">Oceanic mass bridge</t>
  </si>
  <si>
    <t xml:space="preserve">SOURCE EMPTY</t>
  </si>
  <si>
    <t xml:space="preserve">UNAWARDED</t>
  </si>
  <si>
    <t xml:space="preserve">ET-B</t>
  </si>
  <si>
    <t xml:space="preserve">Buoyant air bridge</t>
  </si>
  <si>
    <t xml:space="preserve">ET-C</t>
  </si>
  <si>
    <t xml:space="preserve">Austere surface bridge</t>
  </si>
  <si>
    <t xml:space="preserve">ET-D</t>
  </si>
  <si>
    <t xml:space="preserve">Amphibious autonomous mesh</t>
  </si>
  <si>
    <t xml:space="preserve">CT-A</t>
  </si>
  <si>
    <t xml:space="preserve">MS-CT</t>
  </si>
  <si>
    <t xml:space="preserve">Reach occupied civil terrain</t>
  </si>
  <si>
    <t xml:space="preserve">Civic edge grid</t>
  </si>
  <si>
    <t xml:space="preserve">CT-B</t>
  </si>
  <si>
    <t xml:space="preserve">Air-and-skin reach</t>
  </si>
  <si>
    <t xml:space="preserve">CT-C</t>
  </si>
  <si>
    <t xml:space="preserve">Building utility spine</t>
  </si>
  <si>
    <t xml:space="preserve">CT-D</t>
  </si>
  <si>
    <t xml:space="preserve">Neighborhood machine swarm</t>
  </si>
  <si>
    <t xml:space="preserve">HC-A</t>
  </si>
  <si>
    <t xml:space="preserve">MS-HC</t>
  </si>
  <si>
    <t xml:space="preserve">Control an active hazard</t>
  </si>
  <si>
    <t xml:space="preserve">Atmospheric control wing</t>
  </si>
  <si>
    <t xml:space="preserve">HC-B</t>
  </si>
  <si>
    <t xml:space="preserve">Fluid intervention lattice</t>
  </si>
  <si>
    <t xml:space="preserve">HC-C</t>
  </si>
  <si>
    <t xml:space="preserve">Autonomous terrain corps</t>
  </si>
  <si>
    <t xml:space="preserve">HC-D</t>
  </si>
  <si>
    <t xml:space="preserve">Distributed control field</t>
  </si>
  <si>
    <t xml:space="preserve">LF-A</t>
  </si>
  <si>
    <t xml:space="preserve">MS-LF</t>
  </si>
  <si>
    <t xml:space="preserve">Produce and distribute lifelines</t>
  </si>
  <si>
    <t xml:space="preserve">Oceanic nuclear utility</t>
  </si>
  <si>
    <t xml:space="preserve">LF-B</t>
  </si>
  <si>
    <t xml:space="preserve">Inland geothermal train</t>
  </si>
  <si>
    <t xml:space="preserve">LF-C</t>
  </si>
  <si>
    <t xml:space="preserve">Renewable electrochemical swarm</t>
  </si>
  <si>
    <t xml:space="preserve">LF-D</t>
  </si>
  <si>
    <t xml:space="preserve">Synthetic-fuel service fleet</t>
  </si>
  <si>
    <t xml:space="preserve">HU-A</t>
  </si>
  <si>
    <t xml:space="preserve">MS-HU</t>
  </si>
  <si>
    <t xml:space="preserve">Preserve care and human continuity</t>
  </si>
  <si>
    <t xml:space="preserve">Clinical continuity campus</t>
  </si>
  <si>
    <t xml:space="preserve">HU-B</t>
  </si>
  <si>
    <t xml:space="preserve">Neighborhood care fabric</t>
  </si>
  <si>
    <t xml:space="preserve">HU-C</t>
  </si>
  <si>
    <t xml:space="preserve">Mobile care network</t>
  </si>
  <si>
    <t xml:space="preserve">HU-D</t>
  </si>
  <si>
    <t xml:space="preserve">Host-building conversion system</t>
  </si>
  <si>
    <t xml:space="preserve">RT-A</t>
  </si>
  <si>
    <t xml:space="preserve">MS-RT</t>
  </si>
  <si>
    <t xml:space="preserve">Sustain, transfer and regenerate</t>
  </si>
  <si>
    <t xml:space="preserve">Heavy arsenal base</t>
  </si>
  <si>
    <t xml:space="preserve">RT-B</t>
  </si>
  <si>
    <t xml:space="preserve">Distributed microfactory mesh</t>
  </si>
  <si>
    <t xml:space="preserve">RT-C</t>
  </si>
  <si>
    <t xml:space="preserve">Exchange and remanufacture network</t>
  </si>
  <si>
    <t xml:space="preserve">RT-D</t>
  </si>
  <si>
    <t xml:space="preserve">Closed-loop sustainment fleet</t>
  </si>
  <si>
    <t xml:space="preserve">6 systems</t>
  </si>
  <si>
    <t xml:space="preserve">24 roots</t>
  </si>
  <si>
    <t xml:space="preserve">One root per control group</t>
  </si>
  <si>
    <t xml:space="preserve">0 accepted identities</t>
  </si>
  <si>
    <t xml:space="preserve">No award</t>
  </si>
  <si>
    <t xml:space="preserve">Ninety-six root-field assignments</t>
  </si>
  <si>
    <t xml:space="preserve">Four field assignments compose each root. They are severable for falsification but cannot earn complete-root credit independently.</t>
  </si>
  <si>
    <t xml:space="preserve">Opportunity</t>
  </si>
  <si>
    <t xml:space="preserve">Problem field</t>
  </si>
  <si>
    <t xml:space="preserve">T1 ceiling (USD B)</t>
  </si>
  <si>
    <t xml:space="preserve">Stageable option (USD B)</t>
  </si>
  <si>
    <t xml:space="preserve">Held (USD B)</t>
  </si>
  <si>
    <t xml:space="preserve">State</t>
  </si>
  <si>
    <t xml:space="preserve">Root credit</t>
  </si>
  <si>
    <t xml:space="preserve">ET-A-F1</t>
  </si>
  <si>
    <t xml:space="preserve">No-pier heavy transfer</t>
  </si>
  <si>
    <t xml:space="preserve">ET-A-F2</t>
  </si>
  <si>
    <t xml:space="preserve">Austere strategic lift</t>
  </si>
  <si>
    <t xml:space="preserve">ET-A-F3</t>
  </si>
  <si>
    <t xml:space="preserve">Autonomous node opening</t>
  </si>
  <si>
    <t xml:space="preserve">ET-A-F4</t>
  </si>
  <si>
    <t xml:space="preserve">Distributed operating bases</t>
  </si>
  <si>
    <t xml:space="preserve">ET-B-F1</t>
  </si>
  <si>
    <t xml:space="preserve">ET-B-F2</t>
  </si>
  <si>
    <t xml:space="preserve">ET-B-F3</t>
  </si>
  <si>
    <t xml:space="preserve">ET-B-F4</t>
  </si>
  <si>
    <t xml:space="preserve">ET-C-F1</t>
  </si>
  <si>
    <t xml:space="preserve">ET-C-F2</t>
  </si>
  <si>
    <t xml:space="preserve">ET-C-F3</t>
  </si>
  <si>
    <t xml:space="preserve">ET-C-F4</t>
  </si>
  <si>
    <t xml:space="preserve">ET-D-F1</t>
  </si>
  <si>
    <t xml:space="preserve">ET-D-F2</t>
  </si>
  <si>
    <t xml:space="preserve">ET-D-F3</t>
  </si>
  <si>
    <t xml:space="preserve">ET-D-F4</t>
  </si>
  <si>
    <t xml:space="preserve">CT-A-F1</t>
  </si>
  <si>
    <t xml:space="preserve">Disconnected civil state</t>
  </si>
  <si>
    <t xml:space="preserve">CT-A-F2</t>
  </si>
  <si>
    <t xml:space="preserve">Building and vertical access</t>
  </si>
  <si>
    <t xml:space="preserve">CT-A-F3</t>
  </si>
  <si>
    <t xml:space="preserve">Accessible collection</t>
  </si>
  <si>
    <t xml:space="preserve">CT-A-F4</t>
  </si>
  <si>
    <t xml:space="preserve">Degraded public communications</t>
  </si>
  <si>
    <t xml:space="preserve">CT-B-F1</t>
  </si>
  <si>
    <t xml:space="preserve">CT-B-F2</t>
  </si>
  <si>
    <t xml:space="preserve">CT-B-F3</t>
  </si>
  <si>
    <t xml:space="preserve">CT-B-F4</t>
  </si>
  <si>
    <t xml:space="preserve">CT-C-F1</t>
  </si>
  <si>
    <t xml:space="preserve">CT-C-F2</t>
  </si>
  <si>
    <t xml:space="preserve">CT-C-F3</t>
  </si>
  <si>
    <t xml:space="preserve">CT-C-F4</t>
  </si>
  <si>
    <t xml:space="preserve">CT-D-F1</t>
  </si>
  <si>
    <t xml:space="preserve">CT-D-F2</t>
  </si>
  <si>
    <t xml:space="preserve">CT-D-F3</t>
  </si>
  <si>
    <t xml:space="preserve">CT-D-F4</t>
  </si>
  <si>
    <t xml:space="preserve">HC-A-F1</t>
  </si>
  <si>
    <t xml:space="preserve">Persistent fire control</t>
  </si>
  <si>
    <t xml:space="preserve">HC-A-F2</t>
  </si>
  <si>
    <t xml:space="preserve">Megaflow hydraulic control</t>
  </si>
  <si>
    <t xml:space="preserve">HC-A-F3</t>
  </si>
  <si>
    <t xml:space="preserve">Autonomous earth and debris work</t>
  </si>
  <si>
    <t xml:space="preserve">HC-A-F4</t>
  </si>
  <si>
    <t xml:space="preserve">Environmental consequence control</t>
  </si>
  <si>
    <t xml:space="preserve">HC-B-F1</t>
  </si>
  <si>
    <t xml:space="preserve">HC-B-F2</t>
  </si>
  <si>
    <t xml:space="preserve">HC-B-F3</t>
  </si>
  <si>
    <t xml:space="preserve">HC-B-F4</t>
  </si>
  <si>
    <t xml:space="preserve">HC-C-F1</t>
  </si>
  <si>
    <t xml:space="preserve">HC-C-F2</t>
  </si>
  <si>
    <t xml:space="preserve">HC-C-F3</t>
  </si>
  <si>
    <t xml:space="preserve">HC-C-F4</t>
  </si>
  <si>
    <t xml:space="preserve">HC-D-F1</t>
  </si>
  <si>
    <t xml:space="preserve">HC-D-F2</t>
  </si>
  <si>
    <t xml:space="preserve">HC-D-F3</t>
  </si>
  <si>
    <t xml:space="preserve">HC-D-F4</t>
  </si>
  <si>
    <t xml:space="preserve">LF-A-F1</t>
  </si>
  <si>
    <t xml:space="preserve">Strategic water-energy carriers</t>
  </si>
  <si>
    <t xml:space="preserve">LF-A-F2</t>
  </si>
  <si>
    <t xml:space="preserve">Self-deploying utility corridors</t>
  </si>
  <si>
    <t xml:space="preserve">LF-A-F3</t>
  </si>
  <si>
    <t xml:space="preserve">Separation and residual control</t>
  </si>
  <si>
    <t xml:space="preserve">LF-A-F4</t>
  </si>
  <si>
    <t xml:space="preserve">Grid-forming power and thermal cells</t>
  </si>
  <si>
    <t xml:space="preserve">LF-B-F1</t>
  </si>
  <si>
    <t xml:space="preserve">LF-B-F2</t>
  </si>
  <si>
    <t xml:space="preserve">LF-B-F3</t>
  </si>
  <si>
    <t xml:space="preserve">LF-B-F4</t>
  </si>
  <si>
    <t xml:space="preserve">LF-C-F1</t>
  </si>
  <si>
    <t xml:space="preserve">LF-C-F2</t>
  </si>
  <si>
    <t xml:space="preserve">LF-C-F3</t>
  </si>
  <si>
    <t xml:space="preserve">LF-C-F4</t>
  </si>
  <si>
    <t xml:space="preserve">LF-D-F1</t>
  </si>
  <si>
    <t xml:space="preserve">LF-D-F2</t>
  </si>
  <si>
    <t xml:space="preserve">LF-D-F3</t>
  </si>
  <si>
    <t xml:space="preserve">LF-D-F4</t>
  </si>
  <si>
    <t xml:space="preserve">HU-A-F1</t>
  </si>
  <si>
    <t xml:space="preserve">Distributed definitive care</t>
  </si>
  <si>
    <t xml:space="preserve">HU-A-F2</t>
  </si>
  <si>
    <t xml:space="preserve">Clinical workforce multiplication</t>
  </si>
  <si>
    <t xml:space="preserve">HU-A-F3</t>
  </si>
  <si>
    <t xml:space="preserve">Population-support campuses</t>
  </si>
  <si>
    <t xml:space="preserve">HU-A-F4</t>
  </si>
  <si>
    <t xml:space="preserve">Patient and household continuity</t>
  </si>
  <si>
    <t xml:space="preserve">HU-B-F1</t>
  </si>
  <si>
    <t xml:space="preserve">HU-B-F2</t>
  </si>
  <si>
    <t xml:space="preserve">HU-B-F3</t>
  </si>
  <si>
    <t xml:space="preserve">HU-B-F4</t>
  </si>
  <si>
    <t xml:space="preserve">HU-C-F1</t>
  </si>
  <si>
    <t xml:space="preserve">HU-C-F2</t>
  </si>
  <si>
    <t xml:space="preserve">HU-C-F3</t>
  </si>
  <si>
    <t xml:space="preserve">HU-C-F4</t>
  </si>
  <si>
    <t xml:space="preserve">HU-D-F1</t>
  </si>
  <si>
    <t xml:space="preserve">HU-D-F2</t>
  </si>
  <si>
    <t xml:space="preserve">HU-D-F3</t>
  </si>
  <si>
    <t xml:space="preserve">HU-D-F4</t>
  </si>
  <si>
    <t xml:space="preserve">RT-A-F1</t>
  </si>
  <si>
    <t xml:space="preserve">Campaign sustainment</t>
  </si>
  <si>
    <t xml:space="preserve">RT-A-F2</t>
  </si>
  <si>
    <t xml:space="preserve">Field regeneration</t>
  </si>
  <si>
    <t xml:space="preserve">RT-A-F3</t>
  </si>
  <si>
    <t xml:space="preserve">Circular residual recovery</t>
  </si>
  <si>
    <t xml:space="preserve">RT-A-F4</t>
  </si>
  <si>
    <t xml:space="preserve">Workforce regeneration</t>
  </si>
  <si>
    <t xml:space="preserve">RT-B-F1</t>
  </si>
  <si>
    <t xml:space="preserve">RT-B-F2</t>
  </si>
  <si>
    <t xml:space="preserve">RT-B-F3</t>
  </si>
  <si>
    <t xml:space="preserve">RT-B-F4</t>
  </si>
  <si>
    <t xml:space="preserve">RT-C-F1</t>
  </si>
  <si>
    <t xml:space="preserve">RT-C-F2</t>
  </si>
  <si>
    <t xml:space="preserve">RT-C-F3</t>
  </si>
  <si>
    <t xml:space="preserve">RT-C-F4</t>
  </si>
  <si>
    <t xml:space="preserve">RT-D-F1</t>
  </si>
  <si>
    <t xml:space="preserve">RT-D-F2</t>
  </si>
  <si>
    <t xml:space="preserve">RT-D-F3</t>
  </si>
  <si>
    <t xml:space="preserve">RT-D-F4</t>
  </si>
  <si>
    <t xml:space="preserve">24 fields × 4 roots</t>
  </si>
  <si>
    <t xml:space="preserve">96 traceable assignments</t>
  </si>
  <si>
    <t xml:space="preserve">Ancestry Register</t>
  </si>
  <si>
    <t xml:space="preserve">Every decisive execution domain is exclusive to one root. A legal name, open-source label or interface standard does not establish independence.</t>
  </si>
  <si>
    <t xml:space="preserve">Decisive domain</t>
  </si>
  <si>
    <t xml:space="preserve">Declared identity</t>
  </si>
  <si>
    <t xml:space="preserve">Maximum root exposure</t>
  </si>
  <si>
    <t xml:space="preserve">Accepted exposure</t>
  </si>
  <si>
    <t xml:space="preserve">Status</t>
  </si>
  <si>
    <t xml:space="preserve">Root integrator</t>
  </si>
  <si>
    <t xml:space="preserve">HOLD</t>
  </si>
  <si>
    <t xml:space="preserve">Prime work physics</t>
  </si>
  <si>
    <t xml:space="preserve">Energy conversion</t>
  </si>
  <si>
    <t xml:space="preserve">Structural process</t>
  </si>
  <si>
    <t xml:space="preserve">Critical-feedstock conversion</t>
  </si>
  <si>
    <t xml:space="preserve">Control keys</t>
  </si>
  <si>
    <t xml:space="preserve">Communications and time</t>
  </si>
  <si>
    <t xml:space="preserve">Calibration chain</t>
  </si>
  <si>
    <t xml:space="preserve">Production tooling</t>
  </si>
  <si>
    <t xml:space="preserve">Final assembly cell</t>
  </si>
  <si>
    <t xml:space="preserve">Repair route</t>
  </si>
  <si>
    <t xml:space="preserve">Evidence chain</t>
  </si>
  <si>
    <t xml:space="preserve">Shared Dependencies</t>
  </si>
  <si>
    <t xml:space="preserve">A shared provider, region or toolchain may support no more than two roots and every exposure requires an unrelated qualified alternate.</t>
  </si>
  <si>
    <t xml:space="preserve">Dependency class</t>
  </si>
  <si>
    <t xml:space="preserve">Provider identity</t>
  </si>
  <si>
    <t xml:space="preserve">Current root exposure</t>
  </si>
  <si>
    <t xml:space="preserve">Alternate required</t>
  </si>
  <si>
    <t xml:space="preserve">Accepted alternates</t>
  </si>
  <si>
    <t xml:space="preserve">Credit</t>
  </si>
  <si>
    <t xml:space="preserve">Critical feedstock</t>
  </si>
  <si>
    <t xml:space="preserve">Interface component</t>
  </si>
  <si>
    <t xml:space="preserve">Production service</t>
  </si>
  <si>
    <t xml:space="preserve">Cancelable option payment ladder</t>
  </si>
  <si>
    <t xml:space="preserve">Only USD 57.4B of mission authority may stage initially. Every payment requires an accepted artifact; a valid adverse result remains payable and binding.</t>
  </si>
  <si>
    <t xml:space="preserve">Phase</t>
  </si>
  <si>
    <t xml:space="preserve">Share of stageable option</t>
  </si>
  <si>
    <t xml:space="preserve">Portfolio authority (USD B)</t>
  </si>
  <si>
    <t xml:space="preserve">Accepted artifact</t>
  </si>
  <si>
    <t xml:space="preserve">Positive result required</t>
  </si>
  <si>
    <t xml:space="preserve">Independent acceptance</t>
  </si>
  <si>
    <t xml:space="preserve">If adverse</t>
  </si>
  <si>
    <t xml:space="preserve">If invalid</t>
  </si>
  <si>
    <t xml:space="preserve">FRAME</t>
  </si>
  <si>
    <t xml:space="preserve">Charter, service baseline, rights schedule and ancestry plan</t>
  </si>
  <si>
    <t xml:space="preserve">Capital Board plus Mission System Command</t>
  </si>
  <si>
    <t xml:space="preserve">Keep accepted frame; resize or stop</t>
  </si>
  <si>
    <t xml:space="preserve">Correct record before exercise</t>
  </si>
  <si>
    <t xml:space="preserve">MAKE</t>
  </si>
  <si>
    <t xml:space="preserve">Four measured mechanism articles and controlled bills</t>
  </si>
  <si>
    <t xml:space="preserve">Generating Service plus public metrology</t>
  </si>
  <si>
    <t xml:space="preserve">Pay accepted work; proceed to disposition</t>
  </si>
  <si>
    <t xml:space="preserve">Rebuild invalid article within option</t>
  </si>
  <si>
    <t xml:space="preserve">BREAK</t>
  </si>
  <si>
    <t xml:space="preserve">Endpoint challenge, control and valid evidence packet</t>
  </si>
  <si>
    <t xml:space="preserve">Proving Service and Protection Inspectorate</t>
  </si>
  <si>
    <t xml:space="preserve">Pay evidence; RESIZE or KILL</t>
  </si>
  <si>
    <t xml:space="preserve">One exact-event replay may use reserve</t>
  </si>
  <si>
    <t xml:space="preserve">TRANSFER</t>
  </si>
  <si>
    <t xml:space="preserve">Cold build package, public custody and disposition record</t>
  </si>
  <si>
    <t xml:space="preserve">Root Disposition Board plus Comptroller</t>
  </si>
  <si>
    <t xml:space="preserve">Vest step-in rights; return unearned option</t>
  </si>
  <si>
    <t xml:space="preserve">No favorable inference</t>
  </si>
  <si>
    <t xml:space="preserve">Four evidence-bearing releases</t>
  </si>
  <si>
    <t xml:space="preserve">Never</t>
  </si>
  <si>
    <t xml:space="preserve">Separate acceptance</t>
  </si>
  <si>
    <t xml:space="preserve">Failure stays public</t>
  </si>
  <si>
    <t xml:space="preserve">No retry to improve outcome</t>
  </si>
  <si>
    <t xml:space="preserve">Portfolio cancellation exposure</t>
  </si>
  <si>
    <t xml:space="preserve">Termination point</t>
  </si>
  <si>
    <t xml:space="preserve">Cumulative paid share</t>
  </si>
  <si>
    <t xml:space="preserve">Paid authority (USD B)</t>
  </si>
  <si>
    <t xml:space="preserve">Unexercised stageable option (USD B)</t>
  </si>
  <si>
    <t xml:space="preserve">Mission options still held (USD B)</t>
  </si>
  <si>
    <t xml:space="preserve">Failure meaning</t>
  </si>
  <si>
    <t xml:space="preserve">Before FRAME</t>
  </si>
  <si>
    <t xml:space="preserve">No private award</t>
  </si>
  <si>
    <t xml:space="preserve">After FRAME</t>
  </si>
  <si>
    <t xml:space="preserve">Control or baseline defect</t>
  </si>
  <si>
    <t xml:space="preserve">After MAKE</t>
  </si>
  <si>
    <t xml:space="preserve">Article failure or withdrawal</t>
  </si>
  <si>
    <t xml:space="preserve">After BREAK</t>
  </si>
  <si>
    <t xml:space="preserve">Valid endpoint disposition</t>
  </si>
  <si>
    <t xml:space="preserve">After TRANSFER</t>
  </si>
  <si>
    <t xml:space="preserve">T2 proof option may be considered</t>
  </si>
  <si>
    <t xml:space="preserve">Transaction States</t>
  </si>
  <si>
    <t xml:space="preserve">The transaction creates bounded artifacts and cancelable rights. No contract state can be inferred from spending or schedule.</t>
  </si>
  <si>
    <t xml:space="preserve">Object</t>
  </si>
  <si>
    <t xml:space="preserve">Required entrant</t>
  </si>
  <si>
    <t xml:space="preserve">Release owner</t>
  </si>
  <si>
    <t xml:space="preserve">Independent blocker</t>
  </si>
  <si>
    <t xml:space="preserve">Permitted fiscal action</t>
  </si>
  <si>
    <t xml:space="preserve">Failure transition</t>
  </si>
  <si>
    <t xml:space="preserve">Next state</t>
  </si>
  <si>
    <t xml:space="preserve">S0</t>
  </si>
  <si>
    <t xml:space="preserve">Unawarded opportunity</t>
  </si>
  <si>
    <t xml:space="preserve">Mission System Command</t>
  </si>
  <si>
    <t xml:space="preserve">Civil and rights trustees</t>
  </si>
  <si>
    <t xml:space="preserve">Publish competition</t>
  </si>
  <si>
    <t xml:space="preserve">Revise denominator</t>
  </si>
  <si>
    <t xml:space="preserve">S1</t>
  </si>
  <si>
    <t xml:space="preserve">Admissible control group</t>
  </si>
  <si>
    <t xml:space="preserve">Beneficial-control and finance graph</t>
  </si>
  <si>
    <t xml:space="preserve">Capital Board</t>
  </si>
  <si>
    <t xml:space="preserve">Independent control auditor</t>
  </si>
  <si>
    <t xml:space="preserve">Reserve option</t>
  </si>
  <si>
    <t xml:space="preserve">Reject or require clean control</t>
  </si>
  <si>
    <t xml:space="preserve">S2</t>
  </si>
  <si>
    <t xml:space="preserve">Cancelable root option</t>
  </si>
  <si>
    <t xml:space="preserve">Complete-root liability and rights schedule</t>
  </si>
  <si>
    <t xml:space="preserve">Release FRAME</t>
  </si>
  <si>
    <t xml:space="preserve">Cancel and return to owning account</t>
  </si>
  <si>
    <t xml:space="preserve">S3</t>
  </si>
  <si>
    <t xml:space="preserve">A0 public method</t>
  </si>
  <si>
    <t xml:space="preserve">Qualified denominator and interfaces</t>
  </si>
  <si>
    <t xml:space="preserve">Generating Service</t>
  </si>
  <si>
    <t xml:space="preserve">Proving Service</t>
  </si>
  <si>
    <t xml:space="preserve">Release MAKE</t>
  </si>
  <si>
    <t xml:space="preserve">Hold invalid method</t>
  </si>
  <si>
    <t xml:space="preserve">S4</t>
  </si>
  <si>
    <t xml:space="preserve">A1 mechanism articles</t>
  </si>
  <si>
    <t xml:space="preserve">Four unlike measured field articles</t>
  </si>
  <si>
    <t xml:space="preserve">Safety authority</t>
  </si>
  <si>
    <t xml:space="preserve">Release BREAK</t>
  </si>
  <si>
    <t xml:space="preserve">Resize or withdraw</t>
  </si>
  <si>
    <t xml:space="preserve">S5</t>
  </si>
  <si>
    <t xml:space="preserve">A2 endpoint rig</t>
  </si>
  <si>
    <t xml:space="preserve">Challenge, control and custody packet</t>
  </si>
  <si>
    <t xml:space="preserve">Protection Inspectorate</t>
  </si>
  <si>
    <t xml:space="preserve">Accept evidence</t>
  </si>
  <si>
    <t xml:space="preserve">Invalid replay or valid disposition</t>
  </si>
  <si>
    <t xml:space="preserve">S6</t>
  </si>
  <si>
    <t xml:space="preserve">Root disposition</t>
  </si>
  <si>
    <t xml:space="preserve">Valid balance and keystone evidence</t>
  </si>
  <si>
    <t xml:space="preserve">Root Disposition Board</t>
  </si>
  <si>
    <t xml:space="preserve">Pay accepted work; return unearned balance</t>
  </si>
  <si>
    <t xml:space="preserve">BUILD PROOF, RESIZE or KILL</t>
  </si>
  <si>
    <t xml:space="preserve">S7</t>
  </si>
  <si>
    <t xml:space="preserve">T2 proof option</t>
  </si>
  <si>
    <t xml:space="preserve">New appropriation gate and complete proof plan</t>
  </si>
  <si>
    <t xml:space="preserve">All-six portfolio barrier</t>
  </si>
  <si>
    <t xml:space="preserve">Consider A3 construction</t>
  </si>
  <si>
    <t xml:space="preserve">Cancel or recharter</t>
  </si>
  <si>
    <t xml:space="preserve">Later tranche</t>
  </si>
  <si>
    <t xml:space="preserve">Authority</t>
  </si>
  <si>
    <t xml:space="preserve">No acquisition executive can own mission, money, design, truth and termination. Integration occurs through signed artifact succession.</t>
  </si>
  <si>
    <t xml:space="preserve">Exclusive power</t>
  </si>
  <si>
    <t xml:space="preserve">Issues</t>
  </si>
  <si>
    <t xml:space="preserve">May stop</t>
  </si>
  <si>
    <t xml:space="preserve">Cannot infer</t>
  </si>
  <si>
    <t xml:space="preserve">Required alternate</t>
  </si>
  <si>
    <t xml:space="preserve">Public record</t>
  </si>
  <si>
    <t xml:space="preserve">Current authority</t>
  </si>
  <si>
    <t xml:space="preserve">Civil Resilience Authority</t>
  </si>
  <si>
    <t xml:space="preserve">Public guarantee</t>
  </si>
  <si>
    <t xml:space="preserve">Need and rights warrant</t>
  </si>
  <si>
    <t xml:space="preserve">Unlawful objective</t>
  </si>
  <si>
    <t xml:space="preserve">Priority → technical truth</t>
  </si>
  <si>
    <t xml:space="preserve">Independent civil trustee</t>
  </si>
  <si>
    <t xml:space="preserve">Guarantee and appeal</t>
  </si>
  <si>
    <t xml:space="preserve">Mission System Commands</t>
  </si>
  <si>
    <t xml:space="preserve">Complete service baseline</t>
  </si>
  <si>
    <t xml:space="preserve">Field and root denominator</t>
  </si>
  <si>
    <t xml:space="preserve">Incomplete route</t>
  </si>
  <si>
    <t xml:space="preserve">Mission ownership → evidence</t>
  </si>
  <si>
    <t xml:space="preserve">Alternate system office</t>
  </si>
  <si>
    <t xml:space="preserve">Baseline and change</t>
  </si>
  <si>
    <t xml:space="preserve">Fiscal option</t>
  </si>
  <si>
    <t xml:space="preserve">FRAME and later option exercise</t>
  </si>
  <si>
    <t xml:space="preserve">Control or account breach</t>
  </si>
  <si>
    <t xml:space="preserve">Spending → capability</t>
  </si>
  <si>
    <t xml:space="preserve">Independent fiscal panel</t>
  </si>
  <si>
    <t xml:space="preserve">Option and cancellation</t>
  </si>
  <si>
    <t xml:space="preserve">Generating Services</t>
  </si>
  <si>
    <t xml:space="preserve">Technical and professional release</t>
  </si>
  <si>
    <t xml:space="preserve">A0 and A1 technical state</t>
  </si>
  <si>
    <t xml:space="preserve">Unsafe article</t>
  </si>
  <si>
    <t xml:space="preserve">Article → root</t>
  </si>
  <si>
    <t xml:space="preserve">Unlike service authority</t>
  </si>
  <si>
    <t xml:space="preserve">Configuration release</t>
  </si>
  <si>
    <t xml:space="preserve">Complete candidate liability</t>
  </si>
  <si>
    <t xml:space="preserve">Design claim and build package</t>
  </si>
  <si>
    <t xml:space="preserve">Own withdrawal</t>
  </si>
  <si>
    <t xml:space="preserve">Industry → public warrant</t>
  </si>
  <si>
    <t xml:space="preserve">Clean entrant</t>
  </si>
  <si>
    <t xml:space="preserve">Bill and ancestry</t>
  </si>
  <si>
    <t xml:space="preserve">Challenge, control and custody</t>
  </si>
  <si>
    <t xml:space="preserve">Valid evidence packet</t>
  </si>
  <si>
    <t xml:space="preserve">Invalid method or event</t>
  </si>
  <si>
    <t xml:space="preserve">Test output → disposition</t>
  </si>
  <si>
    <t xml:space="preserve">Separated station classes</t>
  </si>
  <si>
    <t xml:space="preserve">Evidence packet</t>
  </si>
  <si>
    <t xml:space="preserve">Safety and rights stop</t>
  </si>
  <si>
    <t xml:space="preserve">Independent intervention</t>
  </si>
  <si>
    <t xml:space="preserve">Unsafe or unlawful work</t>
  </si>
  <si>
    <t xml:space="preserve">Stop → preferred rival</t>
  </si>
  <si>
    <t xml:space="preserve">Outside inspectorate</t>
  </si>
  <si>
    <t xml:space="preserve">Stop record</t>
  </si>
  <si>
    <t xml:space="preserve">Adverse meaning</t>
  </si>
  <si>
    <t xml:space="preserve">Incomplete dossier</t>
  </si>
  <si>
    <t xml:space="preserve">Score → release</t>
  </si>
  <si>
    <t xml:space="preserve">Independent panel</t>
  </si>
  <si>
    <t xml:space="preserve">Reasoned disposition</t>
  </si>
  <si>
    <t xml:space="preserve">Stage execution and return</t>
  </si>
  <si>
    <t xml:space="preserve">Payment and returned balance</t>
  </si>
  <si>
    <t xml:space="preserve">Missing acceptance</t>
  </si>
  <si>
    <t xml:space="preserve">Payment → success</t>
  </si>
  <si>
    <t xml:space="preserve">Independent account audit</t>
  </si>
  <si>
    <t xml:space="preserve">Payment ledger</t>
  </si>
  <si>
    <t xml:space="preserve">Continuity Receiver</t>
  </si>
  <si>
    <t xml:space="preserve">Public step-in custody</t>
  </si>
  <si>
    <t xml:space="preserve">Recharter and clean transfer</t>
  </si>
  <si>
    <t xml:space="preserve">Control collision</t>
  </si>
  <si>
    <t xml:space="preserve">Possession → readiness</t>
  </si>
  <si>
    <t xml:space="preserve">Clean replacement house</t>
  </si>
  <si>
    <t xml:space="preserve">Custody and transfer</t>
  </si>
  <si>
    <t xml:space="preserve">Failure &amp; Exit</t>
  </si>
  <si>
    <t xml:space="preserve">Termination preserves useful work, adverse evidence, public rights and mission-account ownership without rewarding the apparent leader.</t>
  </si>
  <si>
    <t xml:space="preserve">Trigger</t>
  </si>
  <si>
    <t xml:space="preserve">Decision</t>
  </si>
  <si>
    <t xml:space="preserve">Paid work</t>
  </si>
  <si>
    <t xml:space="preserve">Unexercised mission option</t>
  </si>
  <si>
    <t xml:space="preserve">Public rights</t>
  </si>
  <si>
    <t xml:space="preserve">Successor condition</t>
  </si>
  <si>
    <t xml:space="preserve">Evidence treatment</t>
  </si>
  <si>
    <t xml:space="preserve">Voluntary withdrawal</t>
  </si>
  <si>
    <t xml:space="preserve">CANCEL</t>
  </si>
  <si>
    <t xml:space="preserve">Accepted artifacts only</t>
  </si>
  <si>
    <t xml:space="preserve">Return to owning system</t>
  </si>
  <si>
    <t xml:space="preserve">No automatic draw</t>
  </si>
  <si>
    <t xml:space="preserve">Vest accepted foreground</t>
  </si>
  <si>
    <t xml:space="preserve">Retain all records</t>
  </si>
  <si>
    <t xml:space="preserve">Balance endpoint fails</t>
  </si>
  <si>
    <t xml:space="preserve">RESIZE</t>
  </si>
  <si>
    <t xml:space="preserve">Valid evidence paid</t>
  </si>
  <si>
    <t xml:space="preserve">Remain with owning system</t>
  </si>
  <si>
    <t xml:space="preserve">Only approved new endpoint</t>
  </si>
  <si>
    <t xml:space="preserve">Vest measured configuration</t>
  </si>
  <si>
    <t xml:space="preserve">Same house or clean entrant</t>
  </si>
  <si>
    <t xml:space="preserve">Adverse result permanent</t>
  </si>
  <si>
    <t xml:space="preserve">Keystone endpoint fails</t>
  </si>
  <si>
    <t xml:space="preserve">KILL</t>
  </si>
  <si>
    <t xml:space="preserve">May fund clean replacement entry</t>
  </si>
  <si>
    <t xml:space="preserve">Vest all accepted foreground</t>
  </si>
  <si>
    <t xml:space="preserve">Cannot control a live root</t>
  </si>
  <si>
    <t xml:space="preserve">Invalid trial</t>
  </si>
  <si>
    <t xml:space="preserve">No evidentiary milestone</t>
  </si>
  <si>
    <t xml:space="preserve">One exact-event replay</t>
  </si>
  <si>
    <t xml:space="preserve">No disposition change</t>
  </si>
  <si>
    <t xml:space="preserve">Same candidate allowed</t>
  </si>
  <si>
    <t xml:space="preserve">Replace invalid record only</t>
  </si>
  <si>
    <t xml:space="preserve">Outcome-aware repeat requested</t>
  </si>
  <si>
    <t xml:space="preserve">DENY</t>
  </si>
  <si>
    <t xml:space="preserve">No additional payment</t>
  </si>
  <si>
    <t xml:space="preserve">Remain held</t>
  </si>
  <si>
    <t xml:space="preserve">No draw</t>
  </si>
  <si>
    <t xml:space="preserve">No change</t>
  </si>
  <si>
    <t xml:space="preserve">Not applicable</t>
  </si>
  <si>
    <t xml:space="preserve">Preserve valid adverse event</t>
  </si>
  <si>
    <t xml:space="preserve">Beneficial-control collision</t>
  </si>
  <si>
    <t xml:space="preserve">SUSPEND</t>
  </si>
  <si>
    <t xml:space="preserve">Accepted work retained</t>
  </si>
  <si>
    <t xml:space="preserve">Return if not cured</t>
  </si>
  <si>
    <t xml:space="preserve">May fund receivership</t>
  </si>
  <si>
    <t xml:space="preserve">Vest on unresolved breach</t>
  </si>
  <si>
    <t xml:space="preserve">Bankruptcy-remote clean owner</t>
  </si>
  <si>
    <t xml:space="preserve">Publish collision</t>
  </si>
  <si>
    <t xml:space="preserve">Cross-default or collateral breach</t>
  </si>
  <si>
    <t xml:space="preserve">RECEIVERSHIP</t>
  </si>
  <si>
    <t xml:space="preserve">Freeze pending transfer</t>
  </si>
  <si>
    <t xml:space="preserve">Continuity only</t>
  </si>
  <si>
    <t xml:space="preserve">Immediate step-in</t>
  </si>
  <si>
    <t xml:space="preserve">No other live root</t>
  </si>
  <si>
    <t xml:space="preserve">Preserve history</t>
  </si>
  <si>
    <t xml:space="preserve">Provider supports three roots</t>
  </si>
  <si>
    <t xml:space="preserve">DISALLOW DEPENDENCY</t>
  </si>
  <si>
    <t xml:space="preserve">Unrelated accepted work</t>
  </si>
  <si>
    <t xml:space="preserve">No cross-system transfer</t>
  </si>
  <si>
    <t xml:space="preserve">Alternate qualification only</t>
  </si>
  <si>
    <t xml:space="preserve">Interface rights retained</t>
  </si>
  <si>
    <t xml:space="preserve">Unrelated provider</t>
  </si>
  <si>
    <t xml:space="preserve">Expose cap breach</t>
  </si>
  <si>
    <t xml:space="preserve">Cold reconstruction fails</t>
  </si>
  <si>
    <t xml:space="preserve">REMOVE REPRODUCTION CLAIM</t>
  </si>
  <si>
    <t xml:space="preserve">Accepted evidence paid</t>
  </si>
  <si>
    <t xml:space="preserve">Hold later option</t>
  </si>
  <si>
    <t xml:space="preserve">May preserve tooling</t>
  </si>
  <si>
    <t xml:space="preserve">Full build package vests</t>
  </si>
  <si>
    <t xml:space="preserve">New build team required</t>
  </si>
  <si>
    <t xml:space="preserve">Failure remains public</t>
  </si>
  <si>
    <t xml:space="preserve">Cost exceeds root option</t>
  </si>
  <si>
    <t xml:space="preserve">REDUCE OR CANCEL</t>
  </si>
  <si>
    <t xml:space="preserve">No raid on another root</t>
  </si>
  <si>
    <t xml:space="preserve">No overrun rescue</t>
  </si>
  <si>
    <t xml:space="preserve">Accepted foreground retained</t>
  </si>
  <si>
    <t xml:space="preserve">Recompete within system</t>
  </si>
  <si>
    <t xml:space="preserve">Publish cost and scope</t>
  </si>
  <si>
    <t xml:space="preserve">Public Rights</t>
  </si>
  <si>
    <t xml:space="preserve">Foreground rights make termination physically executable while firms retain unrelated background knowledge and commercial markets.</t>
  </si>
  <si>
    <t xml:space="preserve">Public asset</t>
  </si>
  <si>
    <t xml:space="preserve">Right at award</t>
  </si>
  <si>
    <t xml:space="preserve">Private right retained</t>
  </si>
  <si>
    <t xml:space="preserve">Step-in trigger</t>
  </si>
  <si>
    <t xml:space="preserve">Required physical object</t>
  </si>
  <si>
    <t xml:space="preserve">Custodian</t>
  </si>
  <si>
    <t xml:space="preserve">May create readiness</t>
  </si>
  <si>
    <t xml:space="preserve">Current status</t>
  </si>
  <si>
    <t xml:space="preserve">Foreground configuration</t>
  </si>
  <si>
    <t xml:space="preserve">Irrevocable mission-limited use</t>
  </si>
  <si>
    <t xml:space="preserve">Unrelated background designs</t>
  </si>
  <si>
    <t xml:space="preserve">Continuity or concentration breach</t>
  </si>
  <si>
    <t xml:space="preserve">Controlled build package</t>
  </si>
  <si>
    <t xml:space="preserve">Public technical commons</t>
  </si>
  <si>
    <t xml:space="preserve">Unique funded tooling</t>
  </si>
  <si>
    <t xml:space="preserve">Possession or perfected access</t>
  </si>
  <si>
    <t xml:space="preserve">Commercial use subject to continuity</t>
  </si>
  <si>
    <t xml:space="preserve">Refusal, insolvency or seizure</t>
  </si>
  <si>
    <t xml:space="preserve">Tool and fixture genealogy</t>
  </si>
  <si>
    <t xml:space="preserve">Industrial administration</t>
  </si>
  <si>
    <t xml:space="preserve">Root tooling capsule</t>
  </si>
  <si>
    <t xml:space="preserve">Cold reconstruction license</t>
  </si>
  <si>
    <t xml:space="preserve">Background process know-how</t>
  </si>
  <si>
    <t xml:space="preserve">Failed private recovery</t>
  </si>
  <si>
    <t xml:space="preserve">Portable tooling set</t>
  </si>
  <si>
    <t xml:space="preserve">Reference articles</t>
  </si>
  <si>
    <t xml:space="preserve">Destructive test and reproduction</t>
  </si>
  <si>
    <t xml:space="preserve">Commercial sales</t>
  </si>
  <si>
    <t xml:space="preserve">Evidence or rebuild need</t>
  </si>
  <si>
    <t xml:space="preserve">Serialized articles</t>
  </si>
  <si>
    <t xml:space="preserve">Material genealogy</t>
  </si>
  <si>
    <t xml:space="preserve">Full funded-chain custody</t>
  </si>
  <si>
    <t xml:space="preserve">Unrelated supplier data</t>
  </si>
  <si>
    <t xml:space="preserve">Safety, drift or source loss</t>
  </si>
  <si>
    <t xml:space="preserve">Lot and process record</t>
  </si>
  <si>
    <t xml:space="preserve">Standards and Custody</t>
  </si>
  <si>
    <t xml:space="preserve">Signing roots and keys</t>
  </si>
  <si>
    <t xml:space="preserve">Escrowed alternate authority</t>
  </si>
  <si>
    <t xml:space="preserve">Ordinary private operations</t>
  </si>
  <si>
    <t xml:space="preserve">Control loss or refusal</t>
  </si>
  <si>
    <t xml:space="preserve">Offline public signer</t>
  </si>
  <si>
    <t xml:space="preserve">Public software custodian</t>
  </si>
  <si>
    <t xml:space="preserve">Repair patterns</t>
  </si>
  <si>
    <t xml:space="preserve">Mission repair and training</t>
  </si>
  <si>
    <t xml:space="preserve">Background service methods</t>
  </si>
  <si>
    <t xml:space="preserve">Field continuity failure</t>
  </si>
  <si>
    <t xml:space="preserve">Validated repair corpus</t>
  </si>
  <si>
    <t xml:space="preserve">Portable credentials</t>
  </si>
  <si>
    <t xml:space="preserve">Worker-owned transfer</t>
  </si>
  <si>
    <t xml:space="preserve">Employer work assignment</t>
  </si>
  <si>
    <t xml:space="preserve">Employer loss or mobilization</t>
  </si>
  <si>
    <t xml:space="preserve">Public task credential</t>
  </si>
  <si>
    <t xml:space="preserve">Labor Commonwealth</t>
  </si>
  <si>
    <t xml:space="preserve">Critical material buffers</t>
  </si>
  <si>
    <t xml:space="preserve">Call right under warrant</t>
  </si>
  <si>
    <t xml:space="preserve">Ordinary inventory</t>
  </si>
  <si>
    <t xml:space="preserve">Qualified source loss</t>
  </si>
  <si>
    <t xml:space="preserve">Identified protected lots</t>
  </si>
  <si>
    <t xml:space="preserve">Strategic Sustainment</t>
  </si>
  <si>
    <t xml:space="preserve">Receiver interfaces</t>
  </si>
  <si>
    <t xml:space="preserve">Open implementation right</t>
  </si>
  <si>
    <t xml:space="preserve">Proprietary internal design</t>
  </si>
  <si>
    <t xml:space="preserve">Access or host conversion</t>
  </si>
  <si>
    <t xml:space="preserve">Interface emulator</t>
  </si>
  <si>
    <t xml:space="preserve">Public receiver commons</t>
  </si>
  <si>
    <t xml:space="preserve">Measurement methods</t>
  </si>
  <si>
    <t xml:space="preserve">Open replay and audit</t>
  </si>
  <si>
    <t xml:space="preserve">Unrelated instrumentation IP</t>
  </si>
  <si>
    <t xml:space="preserve">Disputed result</t>
  </si>
  <si>
    <t xml:space="preserve">Reference method and calibration</t>
  </si>
  <si>
    <t xml:space="preserve">Evidence archive</t>
  </si>
  <si>
    <t xml:space="preserve">Permanent public custody</t>
  </si>
  <si>
    <t xml:space="preserve">Protected unrelated trade data</t>
  </si>
  <si>
    <t xml:space="preserve">Always at valid event</t>
  </si>
  <si>
    <t xml:space="preserve">Signed packet and samples</t>
  </si>
  <si>
    <t xml:space="preserve">Evidence vault</t>
  </si>
  <si>
    <t xml:space="preserve">Industrial control concentration</t>
  </si>
  <si>
    <t xml:space="preserve">Budget-weighted HHI exposes control aggregation. It does not excuse a failed complete-service or public-truth gate.</t>
  </si>
  <si>
    <t xml:space="preserve">Independent control groups</t>
  </si>
  <si>
    <t xml:space="preserve">Budget-weighted HHI</t>
  </si>
  <si>
    <t xml:space="preserve">Selection</t>
  </si>
  <si>
    <t xml:space="preserve">Consequence</t>
  </si>
  <si>
    <t xml:space="preserve">Yes</t>
  </si>
  <si>
    <t xml:space="preserve">SELECT</t>
  </si>
  <si>
    <t xml:space="preserve">One independent control group per complete root</t>
  </si>
  <si>
    <t xml:space="preserve">REJECT</t>
  </si>
  <si>
    <t xml:space="preserve">System failure removes four roots</t>
  </si>
  <si>
    <t xml:space="preserve">Low concentration without root liability</t>
  </si>
  <si>
    <t xml:space="preserve">Control is diverse but not contestable</t>
  </si>
  <si>
    <t xml:space="preserve">One public common root</t>
  </si>
  <si>
    <t xml:space="preserve">Stress Tests</t>
  </si>
  <si>
    <t xml:space="preserve">Each world asks whether the first tranche can preserve rivalry, truth and useful failure without manufacturing production authority.</t>
  </si>
  <si>
    <t xml:space="preserve">#</t>
  </si>
  <si>
    <t xml:space="preserve">Stress world</t>
  </si>
  <si>
    <t xml:space="preserve">Required response</t>
  </si>
  <si>
    <t xml:space="preserve">Held authority</t>
  </si>
  <si>
    <t xml:space="preserve">Forbidden shortcut</t>
  </si>
  <si>
    <t xml:space="preserve">One investor acquires two Root Houses</t>
  </si>
  <si>
    <t xml:space="preserve">Suspend both control warrants and require clean ownership</t>
  </si>
  <si>
    <t xml:space="preserve">Legal names → independence</t>
  </si>
  <si>
    <t xml:space="preserve">PASS</t>
  </si>
  <si>
    <t xml:space="preserve">Beneficial control governs</t>
  </si>
  <si>
    <t xml:space="preserve">A system prime offers four cheaper roots</t>
  </si>
  <si>
    <t xml:space="preserve">Reject control aggregation</t>
  </si>
  <si>
    <t xml:space="preserve">Lowest price → survivable portfolio</t>
  </si>
  <si>
    <t xml:space="preserve">Four roots need four control groups</t>
  </si>
  <si>
    <t xml:space="preserve">A prize cell wins one field</t>
  </si>
  <si>
    <t xml:space="preserve">Retain zero complete-root credit</t>
  </si>
  <si>
    <t xml:space="preserve">Mechanism → service</t>
  </si>
  <si>
    <t xml:space="preserve">Root liability remains missing</t>
  </si>
  <si>
    <t xml:space="preserve">Pay valid evidence, kill lineage and return unearned option</t>
  </si>
  <si>
    <t xml:space="preserve">Failure → nonpayment or retry</t>
  </si>
  <si>
    <t xml:space="preserve">Truth is economically producible</t>
  </si>
  <si>
    <t xml:space="preserve">Trial is invalid</t>
  </si>
  <si>
    <t xml:space="preserve">Permit one exact-event replay from protected reserve</t>
  </si>
  <si>
    <t xml:space="preserve">Invalidity → favorable outcome</t>
  </si>
  <si>
    <t xml:space="preserve">Outcome cannot choose repetition</t>
  </si>
  <si>
    <t xml:space="preserve">Shared provider reaches three roots</t>
  </si>
  <si>
    <t xml:space="preserve">Disallow third dependency and qualify alternate</t>
  </si>
  <si>
    <t xml:space="preserve">Commodity label → independence</t>
  </si>
  <si>
    <t xml:space="preserve">Two-root cap binds</t>
  </si>
  <si>
    <t xml:space="preserve">Root House refuses foreground data</t>
  </si>
  <si>
    <t xml:space="preserve">Trigger step-in and suspend option</t>
  </si>
  <si>
    <t xml:space="preserve">Trade secret → public captivity</t>
  </si>
  <si>
    <t xml:space="preserve">Mission-limited public rights already vest</t>
  </si>
  <si>
    <t xml:space="preserve">Proving Service requests candidate money</t>
  </si>
  <si>
    <t xml:space="preserve">Use sovereign technical account only</t>
  </si>
  <si>
    <t xml:space="preserve">Judge → portfolio sponsor</t>
  </si>
  <si>
    <t xml:space="preserve">Proof budget remains separate</t>
  </si>
  <si>
    <t xml:space="preserve">Popular prototype is demanded in disaster</t>
  </si>
  <si>
    <t xml:space="preserve">Use ready force and keep article outside readiness</t>
  </si>
  <si>
    <t xml:space="preserve">Urgency → production credit</t>
  </si>
  <si>
    <t xml:space="preserve">Contract state is not force state</t>
  </si>
  <si>
    <t xml:space="preserve">Human-continuity option overruns</t>
  </si>
  <si>
    <t xml:space="preserve">Reduce or cancel within MS-HU</t>
  </si>
  <si>
    <t xml:space="preserve">Largest need → raid another system</t>
  </si>
  <si>
    <t xml:space="preserve">Owning-account conservation survives</t>
  </si>
  <si>
    <t xml:space="preserve">Root House becomes insolvent</t>
  </si>
  <si>
    <t xml:space="preserve">Open continuity receivership and clean recharter</t>
  </si>
  <si>
    <t xml:space="preserve">Firm survival → root survival</t>
  </si>
  <si>
    <t xml:space="preserve">Capability outlives vendor</t>
  </si>
  <si>
    <t xml:space="preserve">Cold team shares a decisive toolchain</t>
  </si>
  <si>
    <t xml:space="preserve">Reject reproduction claim</t>
  </si>
  <si>
    <t xml:space="preserve">Second team name → independence</t>
  </si>
  <si>
    <t xml:space="preserve">Physical ancestry governs</t>
  </si>
  <si>
    <t xml:space="preserve">Replacement bidder controls another live root</t>
  </si>
  <si>
    <t xml:space="preserve">Reject bidder and preserve open entry</t>
  </si>
  <si>
    <t xml:space="preserve">Speed → control collision</t>
  </si>
  <si>
    <t xml:space="preserve">One-root control remains binding</t>
  </si>
  <si>
    <t xml:space="preserve">One root from five systems reaches G4</t>
  </si>
  <si>
    <t xml:space="preserve">Hold every production option</t>
  </si>
  <si>
    <t xml:space="preserve">Near-complete mission → scale</t>
  </si>
  <si>
    <t xml:space="preserve">All-six barrier remains conjunctive</t>
  </si>
  <si>
    <t xml:space="preserve">Mutations</t>
  </si>
  <si>
    <t xml:space="preserve">Deliberate invalid states must fail and restore with no private award, root credit or production credit.</t>
  </si>
  <si>
    <t xml:space="preserve">Mutation</t>
  </si>
  <si>
    <t xml:space="preserve">Broken law</t>
  </si>
  <si>
    <t xml:space="preserve">Expected</t>
  </si>
  <si>
    <t xml:space="preserve">Observed</t>
  </si>
  <si>
    <t xml:space="preserve">Restoration</t>
  </si>
  <si>
    <t xml:space="preserve">Restored</t>
  </si>
  <si>
    <t xml:space="preserve">Consolidate four roots under one system prime</t>
  </si>
  <si>
    <t xml:space="preserve">One-root control</t>
  </si>
  <si>
    <t xml:space="preserve">FAIL</t>
  </si>
  <si>
    <t xml:space="preserve">Restore four bankruptcy-remote houses</t>
  </si>
  <si>
    <t xml:space="preserve">YES</t>
  </si>
  <si>
    <t xml:space="preserve">Award a mechanism without complete-root liability</t>
  </si>
  <si>
    <t xml:space="preserve">Complete service</t>
  </si>
  <si>
    <t xml:space="preserve">Bind cell to one root option</t>
  </si>
  <si>
    <t xml:space="preserve">Let a Root House select its challenge world</t>
  </si>
  <si>
    <t xml:space="preserve">Restore Proving Service authority</t>
  </si>
  <si>
    <t xml:space="preserve">Make payment conditional on a favorable result</t>
  </si>
  <si>
    <t xml:space="preserve">Pay accepted evidence artifact</t>
  </si>
  <si>
    <t xml:space="preserve">Move unused MS-HU option to MS-HC</t>
  </si>
  <si>
    <t xml:space="preserve">Account conservation</t>
  </si>
  <si>
    <t xml:space="preserve">Return to owning mission account</t>
  </si>
  <si>
    <t xml:space="preserve">Assign one supplier to three roots</t>
  </si>
  <si>
    <t xml:space="preserve">Qualify unrelated alternate</t>
  </si>
  <si>
    <t xml:space="preserve">Leave funded tooling outside step-in rights</t>
  </si>
  <si>
    <t xml:space="preserve">Public continuity</t>
  </si>
  <si>
    <t xml:space="preserve">Perfect mission-limited public right</t>
  </si>
  <si>
    <t xml:space="preserve">Rebrand a killed root and repeat its valid trial</t>
  </si>
  <si>
    <t xml:space="preserve">Permanent evidence</t>
  </si>
  <si>
    <t xml:space="preserve">Constitute clean replacement lineage</t>
  </si>
  <si>
    <t xml:space="preserve">Count T1 option as production readiness</t>
  </si>
  <si>
    <t xml:space="preserve">State separation</t>
  </si>
  <si>
    <t xml:space="preserve">Restore zero production credit</t>
  </si>
  <si>
    <t xml:space="preserve">Let the public arsenal build and judge one root</t>
  </si>
  <si>
    <t xml:space="preserve">No common root</t>
  </si>
  <si>
    <t xml:space="preserve">Separate builder and evidence custody</t>
  </si>
  <si>
    <t xml:space="preserve">Terminal audit</t>
  </si>
  <si>
    <t xml:space="preserve">Checks observe the industrial transaction and do not feed options, evidence, dispositions or authority.</t>
  </si>
  <si>
    <t xml:space="preserve">Audit</t>
  </si>
  <si>
    <t xml:space="preserve">Actual</t>
  </si>
  <si>
    <t xml:space="preserve">Required</t>
  </si>
  <si>
    <t xml:space="preserve">Interpretation</t>
  </si>
  <si>
    <t xml:space="preserve">Selected architecture gates</t>
  </si>
  <si>
    <t xml:space="preserve">All hard gates</t>
  </si>
  <si>
    <t xml:space="preserve">Selected architecture count</t>
  </si>
  <si>
    <t xml:space="preserve">Exactly one selected</t>
  </si>
  <si>
    <t xml:space="preserve">First-tranche accounts</t>
  </si>
  <si>
    <t xml:space="preserve">Exclusive accounts</t>
  </si>
  <si>
    <t xml:space="preserve">First-tranche authority</t>
  </si>
  <si>
    <t xml:space="preserve">Portfolio ceiling</t>
  </si>
  <si>
    <t xml:space="preserve">Account shares</t>
  </si>
  <si>
    <t xml:space="preserve">Conserved</t>
  </si>
  <si>
    <t xml:space="preserve">Mission account</t>
  </si>
  <si>
    <t xml:space="preserve">Stageable mission options</t>
  </si>
  <si>
    <t xml:space="preserve">Inherited active ceiling</t>
  </si>
  <si>
    <t xml:space="preserve">Evidence-held</t>
  </si>
  <si>
    <t xml:space="preserve">Public enabling accounts</t>
  </si>
  <si>
    <t xml:space="preserve">No private root award</t>
  </si>
  <si>
    <t xml:space="preserve">Protected</t>
  </si>
  <si>
    <t xml:space="preserve">Root count</t>
  </si>
  <si>
    <t xml:space="preserve">One per control group</t>
  </si>
  <si>
    <t xml:space="preserve">System count</t>
  </si>
  <si>
    <t xml:space="preserve">All systems</t>
  </si>
  <si>
    <t xml:space="preserve">Full mission options</t>
  </si>
  <si>
    <t xml:space="preserve">Full mission program</t>
  </si>
  <si>
    <t xml:space="preserve">Root first tranche</t>
  </si>
  <si>
    <t xml:space="preserve">Mission first wave</t>
  </si>
  <si>
    <t xml:space="preserve">Root production credit</t>
  </si>
  <si>
    <t xml:space="preserve">No production</t>
  </si>
  <si>
    <t xml:space="preserve">Root control HHI</t>
  </si>
  <si>
    <t xml:space="preserve">Twenty-four independent groups</t>
  </si>
  <si>
    <t xml:space="preserve">Effective root controls</t>
  </si>
  <si>
    <t xml:space="preserve">Budget weighted</t>
  </si>
  <si>
    <t xml:space="preserve">Fourfold concentration</t>
  </si>
  <si>
    <t xml:space="preserve">Four per root</t>
  </si>
  <si>
    <t xml:space="preserve">Field stageable sum</t>
  </si>
  <si>
    <t xml:space="preserve">Traces root options</t>
  </si>
  <si>
    <t xml:space="preserve">Field held sum</t>
  </si>
  <si>
    <t xml:space="preserve">Traces held options</t>
  </si>
  <si>
    <t xml:space="preserve">Field root credit</t>
  </si>
  <si>
    <t xml:space="preserve">No mechanism-to-root inference</t>
  </si>
  <si>
    <t xml:space="preserve">Field production credit</t>
  </si>
  <si>
    <t xml:space="preserve">Ancestry declarations</t>
  </si>
  <si>
    <t xml:space="preserve">Twelve per root</t>
  </si>
  <si>
    <t xml:space="preserve">Empty ancestry identities</t>
  </si>
  <si>
    <t xml:space="preserve">No accepted control facts</t>
  </si>
  <si>
    <t xml:space="preserve">Ancestry production credit</t>
  </si>
  <si>
    <t xml:space="preserve">Dependency records</t>
  </si>
  <si>
    <t xml:space="preserve">Three per root</t>
  </si>
  <si>
    <t xml:space="preserve">Empty dependency identities</t>
  </si>
  <si>
    <t xml:space="preserve">No accepted providers</t>
  </si>
  <si>
    <t xml:space="preserve">Accepted dependency alternates</t>
  </si>
  <si>
    <t xml:space="preserve">No qualification</t>
  </si>
  <si>
    <t xml:space="preserve">Payment phases</t>
  </si>
  <si>
    <t xml:space="preserve">FRAME through TRANSFER</t>
  </si>
  <si>
    <t xml:space="preserve">Payment shares</t>
  </si>
  <si>
    <t xml:space="preserve">Complete active option</t>
  </si>
  <si>
    <t xml:space="preserve">Payment authority</t>
  </si>
  <si>
    <t xml:space="preserve">Stageable ceiling</t>
  </si>
  <si>
    <t xml:space="preserve">Payment production credit</t>
  </si>
  <si>
    <t xml:space="preserve">Failure can be paid without production</t>
  </si>
  <si>
    <t xml:space="preserve">S0 through S7</t>
  </si>
  <si>
    <t xml:space="preserve">Authority classes</t>
  </si>
  <si>
    <t xml:space="preserve">Separated powers</t>
  </si>
  <si>
    <t xml:space="preserve">Step-in assets</t>
  </si>
  <si>
    <t xml:space="preserve">Stress tests</t>
  </si>
  <si>
    <t xml:space="preserve">All worlds pass</t>
  </si>
  <si>
    <t xml:space="preserve">Mutation failures</t>
  </si>
  <si>
    <t xml:space="preserve">All detected</t>
  </si>
  <si>
    <t xml:space="preserve">Mutation restores</t>
  </si>
  <si>
    <t xml:space="preserve">All restored</t>
  </si>
  <si>
    <t xml:space="preserve">Mutation production credit</t>
  </si>
  <si>
    <t xml:space="preserve">No synthetic release</t>
  </si>
  <si>
    <t xml:space="preserve">Sources &amp; Limits</t>
  </si>
  <si>
    <t xml:space="preserve">Repository-internal sources only. This workbook specifies a first-tranche planning constitution, not an executed procurement or observed industrial market.</t>
  </si>
  <si>
    <t xml:space="preserve">Source or limit</t>
  </si>
  <si>
    <t xml:space="preserve">Title</t>
  </si>
  <si>
    <t xml:space="preserve">Claims used</t>
  </si>
  <si>
    <t xml:space="preserve">Pass 175</t>
  </si>
  <si>
    <t xml:space="preserve">Twenty-Four-Root Diversity Constitution</t>
  </si>
  <si>
    <t xml:space="preserve">24 roots, 96 root-field assignments and 288 decisive domains</t>
  </si>
  <si>
    <t xml:space="preserve">Authoritative</t>
  </si>
  <si>
    <t xml:space="preserve">Pass 183</t>
  </si>
  <si>
    <t xml:space="preserve">Pre-Article Falsification</t>
  </si>
  <si>
    <t xml:space="preserve">USD 43.0B non-lifeline endpoint ceiling and paid failure meaning</t>
  </si>
  <si>
    <t xml:space="preserve">Pass 184</t>
  </si>
  <si>
    <t xml:space="preserve">Independent challenge, control, reconstruction and disposition</t>
  </si>
  <si>
    <t xml:space="preserve">Pass 185</t>
  </si>
  <si>
    <t xml:space="preserve">Industrial Command Constitution</t>
  </si>
  <si>
    <t xml:space="preserve">Ten authorities, warrants, account separation and rollback</t>
  </si>
  <si>
    <t xml:space="preserve">Pass 186</t>
  </si>
  <si>
    <t xml:space="preserve">Chartered Root-House Commonwealth</t>
  </si>
  <si>
    <t xml:space="preserve">One-root control, 72 dependencies, public rights and recharter</t>
  </si>
  <si>
    <t xml:space="preserve">Pass 190</t>
  </si>
  <si>
    <t xml:space="preserve">Productive Commonwealth Return</t>
  </si>
  <si>
    <t xml:space="preserve">Industrial availability is not readiness</t>
  </si>
  <si>
    <t xml:space="preserve">Integrated</t>
  </si>
  <si>
    <t xml:space="preserve">Pass 206</t>
  </si>
  <si>
    <t xml:space="preserve">National First Article Portfolio</t>
  </si>
  <si>
    <t xml:space="preserve">USD 200B first tranche, 96 opportunities and all-six G4 barrier</t>
  </si>
  <si>
    <t xml:space="preserve">Source status</t>
  </si>
  <si>
    <t xml:space="preserve">All firms, owners, providers, tools, sites and events</t>
  </si>
  <si>
    <t xml:space="preserve">No implementation identity or observation is accepted</t>
  </si>
  <si>
    <t xml:space="preserve">Source-empty</t>
  </si>
  <si>
    <t xml:space="preserve">Fiscal status</t>
  </si>
  <si>
    <t xml:space="preserve">Authority is not obligation</t>
  </si>
  <si>
    <t xml:space="preserve">Only USD 57.4B of mission options may stage after gates</t>
  </si>
  <si>
    <t xml:space="preserve">Zero awarded</t>
  </si>
  <si>
    <t xml:space="preserve">Control status</t>
  </si>
  <si>
    <t xml:space="preserve">HHI is a design diagnostic</t>
  </si>
  <si>
    <t xml:space="preserve">No beneficial-control graph is populated</t>
  </si>
  <si>
    <t xml:space="preserve">Unobserved</t>
  </si>
  <si>
    <t xml:space="preserve">Production status</t>
  </si>
  <si>
    <t xml:space="preserve">No all-six G4 evidence exists</t>
  </si>
  <si>
    <t xml:space="preserve">No first-tranche object may create production credit</t>
  </si>
  <si>
    <t xml:space="preserve">Zero</t>
  </si>
  <si>
    <t xml:space="preserve">Visual status</t>
  </si>
  <si>
    <t xml:space="preserve">No stable production exterior exists</t>
  </si>
  <si>
    <t xml:space="preserve">Exterior rendering remains held</t>
  </si>
  <si>
    <t xml:space="preserve">Next decision</t>
  </si>
  <si>
    <t xml:space="preserve">First synchronized requirement cohort</t>
  </si>
  <si>
    <t xml:space="preserve">Select one problem field per mission system for parallel first-principles requirement closure</t>
  </si>
  <si>
    <t xml:space="preserve">Frontier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</si>
</sst>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"/>
    <numFmt numFmtId="166" formatCode="0.000"/>
    <numFmt numFmtId="167" formatCode="0.0"/>
    <numFmt numFmtId="168" formatCode="0.00"/>
    <numFmt numFmtId="169" formatCode="0.0%"/>
    <numFmt numFmtId="170" formatCode="#,##0"/>
    <numFmt numFmtId="171" formatCode="#,##0.00"/>
    <numFmt numFmtId="172" formatCode="0.0000"/>
    <numFmt numFmtId="173" formatCode="0%"/>
    <numFmt numFmtId="174" formatCode="#,##0.000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365D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b val="true"/>
      <sz val="11"/>
      <color rgb="FF17365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b val="true"/>
      <sz val="9"/>
      <color rgb="FF000000"/>
      <name val="Arial"/>
      <family val="2"/>
    </font>
    <font>
      <sz val="6.75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  <bgColor rgb="FFE2F0D9"/>
      </patternFill>
    </fill>
    <fill>
      <patternFill patternType="solid">
        <fgColor rgb="FFFFF2CC"/>
        <bgColor rgb="FFFCE4D6"/>
      </patternFill>
    </fill>
    <fill>
      <patternFill patternType="solid">
        <fgColor rgb="FF595959"/>
        <bgColor rgb="FF548235"/>
      </patternFill>
    </fill>
    <fill>
      <patternFill patternType="solid">
        <fgColor rgb="FFE2F0D9"/>
        <bgColor rgb="FFD9EAF7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F75B5"/>
      </bottom>
      <diagonal/>
    </border>
    <border diagonalUp="false" diagonalDown="false">
      <left style="medium">
        <color rgb="FFC59A2A"/>
      </left>
      <right style="medium">
        <color rgb="FFC59A2A"/>
      </right>
      <top style="medium">
        <color rgb="FFC59A2A"/>
      </top>
      <bottom style="medium">
        <color rgb="FFC59A2A"/>
      </bottom>
      <diagonal/>
    </border>
    <border diagonalUp="false" diagonalDown="false">
      <left/>
      <right/>
      <top/>
      <bottom style="medium">
        <color rgb="FFFFFFF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5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2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2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6">
    <dxf>
      <font>
        <b val="1"/>
        <color rgb="FF548235"/>
      </font>
      <fill>
        <patternFill>
          <bgColor rgb="FFE2F0D9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C00000"/>
      </font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CCCCC"/>
      <rgbColor rgb="FF8B8B8B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C59A2A"/>
      <rgbColor rgb="FFFF6600"/>
      <rgbColor rgb="FF595959"/>
      <rgbColor rgb="FFA6A6A6"/>
      <rgbColor rgb="FF17365D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Budget-weighted control concentration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"Control HHI"</c:f>
              <c:strCache>
                <c:ptCount val="1"/>
                <c:pt idx="0">
                  <c:v>Control HHI</c:v>
                </c:pt>
              </c:strCache>
            </c:strRef>
          </c:tx>
          <c:spPr>
            <a:solidFill>
              <a:srgbClr val="2F75B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'Industry Shape'!$J$7:$J$11</c:f>
              <c:strCache>
                <c:ptCount val="5"/>
                <c:pt idx="0">
                  <c:v>Separated option-and-proof market</c:v>
                </c:pt>
                <c:pt idx="1">
                  <c:v>Six lead system integrators</c:v>
                </c:pt>
                <c:pt idx="2">
                  <c:v>Ninety-six independent prize cells</c:v>
                </c:pt>
                <c:pt idx="3">
                  <c:v>Twenty-four perpetual franchises</c:v>
                </c:pt>
                <c:pt idx="4">
                  <c:v>Sovereign public arsenal</c:v>
                </c:pt>
              </c:strCache>
            </c:strRef>
          </c:cat>
          <c:val>
            <c:numRef>
              <c:f>'Industry Shape'!$K$7:$K$11</c:f>
              <c:numCache>
                <c:formatCode>0.000</c:formatCode>
                <c:ptCount val="5"/>
                <c:pt idx="0">
                  <c:v>0.0462496797102001</c:v>
                </c:pt>
                <c:pt idx="1">
                  <c:v>0.184998718840801</c:v>
                </c:pt>
                <c:pt idx="2">
                  <c:v>0.01156241992755</c:v>
                </c:pt>
                <c:pt idx="3">
                  <c:v>0.0462496797102001</c:v>
                </c:pt>
                <c:pt idx="4">
                  <c:v>1</c:v>
                </c:pt>
              </c:numCache>
            </c:numRef>
          </c:val>
        </c:ser>
        <c:gapWidth val="150"/>
        <c:overlap val="0"/>
        <c:axId val="45167163"/>
        <c:axId val="31961440"/>
      </c:barChart>
      <c:catAx>
        <c:axId val="4516716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31961440"/>
        <c:crosses val="autoZero"/>
        <c:auto val="1"/>
        <c:lblAlgn val="ctr"/>
        <c:lblOffset val="100"/>
        <c:noMultiLvlLbl val="0"/>
      </c:catAx>
      <c:valAx>
        <c:axId val="31961440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5167163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13</xdr:row>
      <xdr:rowOff>0</xdr:rowOff>
    </xdr:from>
    <xdr:to>
      <xdr:col>17</xdr:col>
      <xdr:colOff>610920</xdr:colOff>
      <xdr:row>28</xdr:row>
      <xdr:rowOff>190080</xdr:rowOff>
    </xdr:to>
    <xdr:graphicFrame>
      <xdr:nvGraphicFramePr>
        <xdr:cNvPr id="1" name="Chart"/>
        <xdr:cNvGraphicFramePr/>
      </xdr:nvGraphicFramePr>
      <xdr:xfrm>
        <a:off x="14990400" y="2853720"/>
        <a:ext cx="8086320" cy="304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2:L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10" min="4" style="0" width="17"/>
    <col collapsed="false" customWidth="true" hidden="false" outlineLevel="0" max="11" min="11" style="0" width="15"/>
    <col collapsed="false" customWidth="true" hidden="false" outlineLevel="0" max="12" min="12" style="0" width="46"/>
  </cols>
  <sheetData>
    <row r="2" customFormat="false" ht="24" hidden="false" customHeight="true" outlineLevel="0" collapsed="false">
      <c r="A2" s="1" t="s">
        <v>0</v>
      </c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6" customFormat="false" ht="15" hidden="false" customHeight="false" outlineLevel="0" collapsed="false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customFormat="false" ht="15" hidden="false" customHeight="true" outlineLevel="0" collapsed="false">
      <c r="A7" s="4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2" customFormat="false" ht="15" hidden="false" customHeight="false" outlineLevel="0" collapsed="false">
      <c r="A12" s="5" t="s">
        <v>4</v>
      </c>
      <c r="B12" s="5" t="s">
        <v>5</v>
      </c>
      <c r="C12" s="5" t="s">
        <v>6</v>
      </c>
      <c r="E12" s="5" t="s">
        <v>7</v>
      </c>
      <c r="F12" s="5" t="s">
        <v>5</v>
      </c>
      <c r="G12" s="5" t="s">
        <v>6</v>
      </c>
    </row>
    <row r="13" customFormat="false" ht="15" hidden="false" customHeight="false" outlineLevel="0" collapsed="false">
      <c r="A13" s="6" t="s">
        <v>8</v>
      </c>
      <c r="B13" s="7" t="n">
        <f aca="false">COUNTA('Root Options'!A7:A30)</f>
        <v>24</v>
      </c>
      <c r="C13" s="6" t="s">
        <v>9</v>
      </c>
      <c r="E13" s="6" t="s">
        <v>10</v>
      </c>
      <c r="F13" s="8" t="n">
        <f aca="false">'Root Options'!M31</f>
        <v>0.0462496797102001</v>
      </c>
      <c r="G13" s="6" t="s">
        <v>11</v>
      </c>
    </row>
    <row r="14" customFormat="false" ht="23.85" hidden="false" customHeight="false" outlineLevel="0" collapsed="false">
      <c r="A14" s="6" t="s">
        <v>12</v>
      </c>
      <c r="B14" s="7" t="n">
        <f aca="false">COUNTA('Field Awards'!A7:A102)</f>
        <v>96</v>
      </c>
      <c r="C14" s="6" t="s">
        <v>13</v>
      </c>
      <c r="E14" s="6" t="s">
        <v>14</v>
      </c>
      <c r="F14" s="9" t="n">
        <f aca="false">1/F13</f>
        <v>21.6217713563853</v>
      </c>
      <c r="G14" s="6" t="s">
        <v>15</v>
      </c>
    </row>
    <row r="15" customFormat="false" ht="15" hidden="false" customHeight="false" outlineLevel="0" collapsed="false">
      <c r="A15" s="6" t="s">
        <v>16</v>
      </c>
      <c r="B15" s="7" t="n">
        <f aca="false">COUNTA('Ancestry Register'!A7:A294)</f>
        <v>288</v>
      </c>
      <c r="C15" s="6" t="s">
        <v>17</v>
      </c>
      <c r="E15" s="6" t="s">
        <v>18</v>
      </c>
      <c r="F15" s="8" t="n">
        <f aca="false">'Industry Shape'!C8</f>
        <v>0.184998718840801</v>
      </c>
      <c r="G15" s="6" t="s">
        <v>11</v>
      </c>
    </row>
    <row r="16" customFormat="false" ht="23.85" hidden="false" customHeight="false" outlineLevel="0" collapsed="false">
      <c r="A16" s="6" t="s">
        <v>19</v>
      </c>
      <c r="B16" s="7" t="n">
        <f aca="false">COUNTA('Shared Dependencies'!A7:A78)</f>
        <v>72</v>
      </c>
      <c r="C16" s="6" t="s">
        <v>20</v>
      </c>
      <c r="E16" s="6" t="s">
        <v>21</v>
      </c>
      <c r="F16" s="10" t="n">
        <f aca="false">'Industry Shape'!D8</f>
        <v>5.40544283909633</v>
      </c>
      <c r="G16" s="6" t="s">
        <v>15</v>
      </c>
    </row>
    <row r="17" customFormat="false" ht="23.85" hidden="false" customHeight="false" outlineLevel="0" collapsed="false">
      <c r="A17" s="6" t="s">
        <v>22</v>
      </c>
      <c r="B17" s="7" t="n">
        <f aca="false">'Account Control'!B7</f>
        <v>110</v>
      </c>
      <c r="C17" s="6" t="s">
        <v>23</v>
      </c>
      <c r="E17" s="6" t="s">
        <v>24</v>
      </c>
      <c r="F17" s="11" t="n">
        <f aca="false">'Root Options'!F31/'Account Control'!B7</f>
        <v>0.521732773719355</v>
      </c>
      <c r="G17" s="6" t="s">
        <v>25</v>
      </c>
    </row>
    <row r="18" customFormat="false" ht="23.85" hidden="false" customHeight="false" outlineLevel="0" collapsed="false">
      <c r="A18" s="6" t="s">
        <v>26</v>
      </c>
      <c r="B18" s="7" t="n">
        <f aca="false">'Root Options'!F31</f>
        <v>57.390605109129</v>
      </c>
      <c r="C18" s="6" t="s">
        <v>23</v>
      </c>
      <c r="E18" s="6" t="s">
        <v>27</v>
      </c>
      <c r="F18" s="12" t="n">
        <f aca="false">COUNTA('Payment Ladder'!A7:A10)</f>
        <v>4</v>
      </c>
      <c r="G18" s="6" t="s">
        <v>28</v>
      </c>
    </row>
    <row r="19" customFormat="false" ht="15" hidden="false" customHeight="false" outlineLevel="0" collapsed="false">
      <c r="A19" s="6" t="s">
        <v>29</v>
      </c>
      <c r="B19" s="7" t="n">
        <f aca="false">'Root Options'!G31</f>
        <v>52.609394890871</v>
      </c>
      <c r="C19" s="6" t="s">
        <v>23</v>
      </c>
      <c r="E19" s="6" t="s">
        <v>30</v>
      </c>
      <c r="F19" s="12" t="n">
        <f aca="false">COUNTA('Transaction States'!A7:A14)</f>
        <v>8</v>
      </c>
      <c r="G19" s="6" t="s">
        <v>31</v>
      </c>
    </row>
    <row r="20" customFormat="false" ht="15" hidden="false" customHeight="false" outlineLevel="0" collapsed="false">
      <c r="A20" s="6" t="s">
        <v>32</v>
      </c>
      <c r="B20" s="7" t="n">
        <f aca="false">'Account Control'!F18</f>
        <v>80</v>
      </c>
      <c r="C20" s="6" t="s">
        <v>23</v>
      </c>
      <c r="E20" s="6" t="s">
        <v>33</v>
      </c>
      <c r="F20" s="12" t="n">
        <f aca="false">COUNTA('Failure &amp; Exit'!A7:A16)</f>
        <v>10</v>
      </c>
      <c r="G20" s="6" t="s">
        <v>34</v>
      </c>
    </row>
    <row r="21" customFormat="false" ht="23.85" hidden="false" customHeight="false" outlineLevel="0" collapsed="false">
      <c r="A21" s="6" t="s">
        <v>35</v>
      </c>
      <c r="B21" s="7" t="n">
        <f aca="false">SUM('Root Options'!L7:L30)</f>
        <v>0</v>
      </c>
      <c r="C21" s="6" t="s">
        <v>23</v>
      </c>
      <c r="E21" s="6" t="s">
        <v>36</v>
      </c>
      <c r="F21" s="12" t="n">
        <f aca="false">COUNTIFS('Root Options'!H7:H30,"&lt;&gt;SOURCE EMPTY")</f>
        <v>0</v>
      </c>
      <c r="G21" s="6" t="s">
        <v>37</v>
      </c>
    </row>
    <row r="23" customFormat="false" ht="15" hidden="false" customHeight="false" outlineLevel="0" collapsed="false">
      <c r="A23" s="3" t="s">
        <v>38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customFormat="false" ht="23.85" hidden="false" customHeight="false" outlineLevel="0" collapsed="false">
      <c r="A24" s="5" t="s">
        <v>39</v>
      </c>
      <c r="B24" s="5" t="s">
        <v>40</v>
      </c>
      <c r="C24" s="5" t="s">
        <v>41</v>
      </c>
      <c r="D24" s="5" t="s">
        <v>42</v>
      </c>
      <c r="E24" s="5" t="s">
        <v>43</v>
      </c>
      <c r="F24" s="5" t="s">
        <v>44</v>
      </c>
      <c r="G24" s="5" t="s">
        <v>45</v>
      </c>
      <c r="H24" s="5" t="s">
        <v>46</v>
      </c>
      <c r="I24" s="5" t="s">
        <v>47</v>
      </c>
      <c r="J24" s="5" t="s">
        <v>48</v>
      </c>
      <c r="K24" s="5" t="s">
        <v>49</v>
      </c>
      <c r="L24" s="5" t="s">
        <v>50</v>
      </c>
    </row>
    <row r="25" customFormat="false" ht="23.85" hidden="false" customHeight="false" outlineLevel="0" collapsed="false">
      <c r="A25" s="13" t="str">
        <f aca="false">'Architecture Test'!A7</f>
        <v>Separated option-and-proof market</v>
      </c>
      <c r="B25" s="13" t="n">
        <f aca="false">'Architecture Test'!N7</f>
        <v>12</v>
      </c>
      <c r="C25" s="13" t="str">
        <f aca="false">'Architecture Test'!O7</f>
        <v>SELECT</v>
      </c>
      <c r="D25" s="13" t="n">
        <f aca="false">'Architecture Test'!C7</f>
        <v>1</v>
      </c>
      <c r="E25" s="13" t="n">
        <f aca="false">'Architecture Test'!D7</f>
        <v>1</v>
      </c>
      <c r="F25" s="13" t="n">
        <f aca="false">'Architecture Test'!G7</f>
        <v>1</v>
      </c>
      <c r="G25" s="13" t="n">
        <f aca="false">'Architecture Test'!H7</f>
        <v>1</v>
      </c>
      <c r="H25" s="13" t="n">
        <f aca="false">'Architecture Test'!I7</f>
        <v>1</v>
      </c>
      <c r="I25" s="13" t="n">
        <f aca="false">'Architecture Test'!L7</f>
        <v>1</v>
      </c>
      <c r="J25" s="13" t="n">
        <f aca="false">'Architecture Test'!M7</f>
        <v>1</v>
      </c>
      <c r="K25" s="14" t="n">
        <f aca="false">'Industry Shape'!C7</f>
        <v>0.0462496797102001</v>
      </c>
      <c r="L25" s="13" t="str">
        <f aca="false">'Architecture Test'!P7</f>
        <v>One cancelable root option per independent house; public proof and step-in remain separate.</v>
      </c>
    </row>
    <row r="26" customFormat="false" ht="23.85" hidden="false" customHeight="false" outlineLevel="0" collapsed="false">
      <c r="A26" s="6" t="str">
        <f aca="false">'Architecture Test'!A8</f>
        <v>Six lead system integrators</v>
      </c>
      <c r="B26" s="6" t="n">
        <f aca="false">'Architecture Test'!N8</f>
        <v>8</v>
      </c>
      <c r="C26" s="6" t="str">
        <f aca="false">'Architecture Test'!O8</f>
        <v>REJECT</v>
      </c>
      <c r="D26" s="6" t="n">
        <f aca="false">'Architecture Test'!C8</f>
        <v>1</v>
      </c>
      <c r="E26" s="6" t="n">
        <f aca="false">'Architecture Test'!D8</f>
        <v>0</v>
      </c>
      <c r="F26" s="6" t="n">
        <f aca="false">'Architecture Test'!G8</f>
        <v>1</v>
      </c>
      <c r="G26" s="6" t="n">
        <f aca="false">'Architecture Test'!H8</f>
        <v>1</v>
      </c>
      <c r="H26" s="6" t="n">
        <f aca="false">'Architecture Test'!I8</f>
        <v>1</v>
      </c>
      <c r="I26" s="6" t="n">
        <f aca="false">'Architecture Test'!L8</f>
        <v>0</v>
      </c>
      <c r="J26" s="6" t="n">
        <f aca="false">'Architecture Test'!M8</f>
        <v>1</v>
      </c>
      <c r="K26" s="8" t="n">
        <f aca="false">'Industry Shape'!C8</f>
        <v>0.184998718840801</v>
      </c>
      <c r="L26" s="6" t="str">
        <f aca="false">'Architecture Test'!P8</f>
        <v>One balance sheet, key chain and integration authority can remove four roots together.</v>
      </c>
    </row>
    <row r="27" customFormat="false" ht="23.85" hidden="false" customHeight="false" outlineLevel="0" collapsed="false">
      <c r="A27" s="6" t="str">
        <f aca="false">'Architecture Test'!A9</f>
        <v>Ninety-six independent prize cells</v>
      </c>
      <c r="B27" s="6" t="n">
        <f aca="false">'Architecture Test'!N9</f>
        <v>9</v>
      </c>
      <c r="C27" s="6" t="str">
        <f aca="false">'Architecture Test'!O9</f>
        <v>REJECT</v>
      </c>
      <c r="D27" s="6" t="n">
        <f aca="false">'Architecture Test'!C9</f>
        <v>0</v>
      </c>
      <c r="E27" s="6" t="n">
        <f aca="false">'Architecture Test'!D9</f>
        <v>1</v>
      </c>
      <c r="F27" s="6" t="n">
        <f aca="false">'Architecture Test'!G9</f>
        <v>1</v>
      </c>
      <c r="G27" s="6" t="n">
        <f aca="false">'Architecture Test'!H9</f>
        <v>1</v>
      </c>
      <c r="H27" s="6" t="n">
        <f aca="false">'Architecture Test'!I9</f>
        <v>1</v>
      </c>
      <c r="I27" s="6" t="n">
        <f aca="false">'Architecture Test'!L9</f>
        <v>1</v>
      </c>
      <c r="J27" s="6" t="n">
        <f aca="false">'Architecture Test'!M9</f>
        <v>0</v>
      </c>
      <c r="K27" s="8" t="n">
        <f aca="false">'Industry Shape'!C9</f>
        <v>0.01156241992755</v>
      </c>
      <c r="L27" s="6" t="str">
        <f aca="false">'Architecture Test'!P9</f>
        <v>Excellent mechanism diversity leaves no actor liable for a complete root or executable service.</v>
      </c>
    </row>
    <row r="28" customFormat="false" ht="23.85" hidden="false" customHeight="false" outlineLevel="0" collapsed="false">
      <c r="A28" s="6" t="str">
        <f aca="false">'Architecture Test'!A10</f>
        <v>Twenty-four perpetual franchises</v>
      </c>
      <c r="B28" s="6" t="n">
        <f aca="false">'Architecture Test'!N10</f>
        <v>7</v>
      </c>
      <c r="C28" s="6" t="str">
        <f aca="false">'Architecture Test'!O10</f>
        <v>REJECT</v>
      </c>
      <c r="D28" s="6" t="n">
        <f aca="false">'Architecture Test'!C10</f>
        <v>1</v>
      </c>
      <c r="E28" s="6" t="n">
        <f aca="false">'Architecture Test'!D10</f>
        <v>1</v>
      </c>
      <c r="F28" s="6" t="n">
        <f aca="false">'Architecture Test'!G10</f>
        <v>0</v>
      </c>
      <c r="G28" s="6" t="n">
        <f aca="false">'Architecture Test'!H10</f>
        <v>0</v>
      </c>
      <c r="H28" s="6" t="n">
        <f aca="false">'Architecture Test'!I10</f>
        <v>0</v>
      </c>
      <c r="I28" s="6" t="n">
        <f aca="false">'Architecture Test'!L10</f>
        <v>0</v>
      </c>
      <c r="J28" s="6" t="n">
        <f aca="false">'Architecture Test'!M10</f>
        <v>1</v>
      </c>
      <c r="K28" s="8" t="n">
        <f aca="false">'Industry Shape'!C10</f>
        <v>0.0462496797102001</v>
      </c>
      <c r="L28" s="6" t="str">
        <f aca="false">'Architecture Test'!P10</f>
        <v>Protected incumbency makes adverse evidence and replacement nonbinding.</v>
      </c>
    </row>
    <row r="29" customFormat="false" ht="23.85" hidden="false" customHeight="false" outlineLevel="0" collapsed="false">
      <c r="A29" s="6" t="str">
        <f aca="false">'Architecture Test'!A11</f>
        <v>Sovereign public arsenal</v>
      </c>
      <c r="B29" s="6" t="n">
        <f aca="false">'Architecture Test'!N11</f>
        <v>7</v>
      </c>
      <c r="C29" s="6" t="str">
        <f aca="false">'Architecture Test'!O11</f>
        <v>REJECT</v>
      </c>
      <c r="D29" s="6" t="n">
        <f aca="false">'Architecture Test'!C11</f>
        <v>1</v>
      </c>
      <c r="E29" s="6" t="n">
        <f aca="false">'Architecture Test'!D11</f>
        <v>0</v>
      </c>
      <c r="F29" s="6" t="n">
        <f aca="false">'Architecture Test'!G11</f>
        <v>0</v>
      </c>
      <c r="G29" s="6" t="n">
        <f aca="false">'Architecture Test'!H11</f>
        <v>1</v>
      </c>
      <c r="H29" s="6" t="n">
        <f aca="false">'Architecture Test'!I11</f>
        <v>1</v>
      </c>
      <c r="I29" s="6" t="n">
        <f aca="false">'Architecture Test'!L11</f>
        <v>0</v>
      </c>
      <c r="J29" s="6" t="n">
        <f aca="false">'Architecture Test'!M11</f>
        <v>1</v>
      </c>
      <c r="K29" s="8" t="n">
        <f aca="false">'Industry Shape'!C11</f>
        <v>1</v>
      </c>
      <c r="L29" s="6" t="str">
        <f aca="false">'Architecture Test'!P11</f>
        <v>One public toolchain becomes the national common root and judges its own reconstruction.</v>
      </c>
    </row>
  </sheetData>
  <mergeCells count="1">
    <mergeCell ref="A7:L10"/>
  </mergeCells>
  <conditionalFormatting sqref="C25:C29">
    <cfRule type="containsText" priority="2" operator="containsText" aboveAverage="0" equalAverage="0" bottom="0" percent="0" rank="0" text="SELECT" dxfId="0">
      <formula>NOT(ISERROR(SEARCH("SELECT",C25)))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false"/>
  </sheetPr>
  <dimension ref="A2:P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13" min="2" style="0" width="17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55"/>
  </cols>
  <sheetData>
    <row r="2" customFormat="false" ht="24" hidden="false" customHeight="true" outlineLevel="0" collapsed="false">
      <c r="A2" s="1" t="s">
        <v>51</v>
      </c>
    </row>
    <row r="3" customFormat="false" ht="18" hidden="false" customHeight="true" outlineLevel="0" collapsed="false">
      <c r="A3" s="2" t="s">
        <v>52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6" customFormat="false" ht="23.85" hidden="false" customHeight="false" outlineLevel="0" collapsed="false">
      <c r="A6" s="5" t="s">
        <v>39</v>
      </c>
      <c r="B6" s="5" t="s">
        <v>53</v>
      </c>
      <c r="C6" s="5" t="s">
        <v>42</v>
      </c>
      <c r="D6" s="5" t="s">
        <v>54</v>
      </c>
      <c r="E6" s="5" t="s">
        <v>55</v>
      </c>
      <c r="F6" s="5" t="s">
        <v>56</v>
      </c>
      <c r="G6" s="5" t="s">
        <v>44</v>
      </c>
      <c r="H6" s="5" t="s">
        <v>57</v>
      </c>
      <c r="I6" s="5" t="s">
        <v>46</v>
      </c>
      <c r="J6" s="5" t="s">
        <v>58</v>
      </c>
      <c r="K6" s="5" t="s">
        <v>48</v>
      </c>
      <c r="L6" s="5" t="s">
        <v>59</v>
      </c>
      <c r="M6" s="5" t="s">
        <v>60</v>
      </c>
      <c r="N6" s="5" t="s">
        <v>40</v>
      </c>
      <c r="O6" s="5" t="s">
        <v>41</v>
      </c>
      <c r="P6" s="5" t="s">
        <v>61</v>
      </c>
    </row>
    <row r="7" customFormat="false" ht="23.85" hidden="false" customHeight="false" outlineLevel="0" collapsed="false">
      <c r="A7" s="6" t="s">
        <v>62</v>
      </c>
      <c r="B7" s="6" t="n">
        <v>1</v>
      </c>
      <c r="C7" s="6" t="n">
        <v>1</v>
      </c>
      <c r="D7" s="6" t="n">
        <v>1</v>
      </c>
      <c r="E7" s="6" t="n">
        <v>1</v>
      </c>
      <c r="F7" s="6" t="n">
        <v>1</v>
      </c>
      <c r="G7" s="6" t="n">
        <v>1</v>
      </c>
      <c r="H7" s="6" t="n">
        <v>1</v>
      </c>
      <c r="I7" s="6" t="n">
        <v>1</v>
      </c>
      <c r="J7" s="6" t="n">
        <v>1</v>
      </c>
      <c r="K7" s="6" t="n">
        <v>1</v>
      </c>
      <c r="L7" s="6" t="n">
        <v>1</v>
      </c>
      <c r="M7" s="6" t="n">
        <v>1</v>
      </c>
      <c r="N7" s="6" t="n">
        <f aca="false">SUM(B7:M7)</f>
        <v>12</v>
      </c>
      <c r="O7" s="6" t="str">
        <f aca="false">IF(N7=12,"SELECT","REJECT")</f>
        <v>SELECT</v>
      </c>
      <c r="P7" s="6" t="s">
        <v>63</v>
      </c>
    </row>
    <row r="8" customFormat="false" ht="23.85" hidden="false" customHeight="false" outlineLevel="0" collapsed="false">
      <c r="A8" s="6" t="s">
        <v>64</v>
      </c>
      <c r="B8" s="6" t="n">
        <v>1</v>
      </c>
      <c r="C8" s="6" t="n">
        <v>1</v>
      </c>
      <c r="D8" s="6" t="n">
        <v>0</v>
      </c>
      <c r="E8" s="6" t="n">
        <v>0</v>
      </c>
      <c r="F8" s="6" t="n">
        <v>0</v>
      </c>
      <c r="G8" s="6" t="n">
        <v>1</v>
      </c>
      <c r="H8" s="6" t="n">
        <v>1</v>
      </c>
      <c r="I8" s="6" t="n">
        <v>1</v>
      </c>
      <c r="J8" s="6" t="n">
        <v>1</v>
      </c>
      <c r="K8" s="6" t="n">
        <v>1</v>
      </c>
      <c r="L8" s="6" t="n">
        <v>0</v>
      </c>
      <c r="M8" s="6" t="n">
        <v>1</v>
      </c>
      <c r="N8" s="6" t="n">
        <f aca="false">SUM(B8:M8)</f>
        <v>8</v>
      </c>
      <c r="O8" s="6" t="str">
        <f aca="false">IF(N8=12,"SELECT","REJECT")</f>
        <v>REJECT</v>
      </c>
      <c r="P8" s="6" t="s">
        <v>65</v>
      </c>
    </row>
    <row r="9" customFormat="false" ht="23.85" hidden="false" customHeight="false" outlineLevel="0" collapsed="false">
      <c r="A9" s="6" t="s">
        <v>66</v>
      </c>
      <c r="B9" s="6" t="n">
        <v>1</v>
      </c>
      <c r="C9" s="6" t="n">
        <v>0</v>
      </c>
      <c r="D9" s="6" t="n">
        <v>1</v>
      </c>
      <c r="E9" s="6" t="n">
        <v>0</v>
      </c>
      <c r="F9" s="6" t="n">
        <v>1</v>
      </c>
      <c r="G9" s="6" t="n">
        <v>1</v>
      </c>
      <c r="H9" s="6" t="n">
        <v>1</v>
      </c>
      <c r="I9" s="6" t="n">
        <v>1</v>
      </c>
      <c r="J9" s="6" t="n">
        <v>1</v>
      </c>
      <c r="K9" s="6" t="n">
        <v>1</v>
      </c>
      <c r="L9" s="6" t="n">
        <v>1</v>
      </c>
      <c r="M9" s="6" t="n">
        <v>0</v>
      </c>
      <c r="N9" s="6" t="n">
        <f aca="false">SUM(B9:M9)</f>
        <v>9</v>
      </c>
      <c r="O9" s="6" t="str">
        <f aca="false">IF(N9=12,"SELECT","REJECT")</f>
        <v>REJECT</v>
      </c>
      <c r="P9" s="6" t="s">
        <v>67</v>
      </c>
    </row>
    <row r="10" customFormat="false" ht="23.85" hidden="false" customHeight="false" outlineLevel="0" collapsed="false">
      <c r="A10" s="6" t="s">
        <v>68</v>
      </c>
      <c r="B10" s="6" t="n">
        <v>1</v>
      </c>
      <c r="C10" s="6" t="n">
        <v>1</v>
      </c>
      <c r="D10" s="6" t="n">
        <v>1</v>
      </c>
      <c r="E10" s="6" t="n">
        <v>1</v>
      </c>
      <c r="F10" s="6" t="n">
        <v>1</v>
      </c>
      <c r="G10" s="6" t="n">
        <v>0</v>
      </c>
      <c r="H10" s="6" t="n">
        <v>0</v>
      </c>
      <c r="I10" s="6" t="n">
        <v>0</v>
      </c>
      <c r="J10" s="6" t="n">
        <v>1</v>
      </c>
      <c r="K10" s="6" t="n">
        <v>0</v>
      </c>
      <c r="L10" s="6" t="n">
        <v>0</v>
      </c>
      <c r="M10" s="6" t="n">
        <v>1</v>
      </c>
      <c r="N10" s="6" t="n">
        <f aca="false">SUM(B10:M10)</f>
        <v>7</v>
      </c>
      <c r="O10" s="6" t="str">
        <f aca="false">IF(N10=12,"SELECT","REJECT")</f>
        <v>REJECT</v>
      </c>
      <c r="P10" s="6" t="s">
        <v>69</v>
      </c>
    </row>
    <row r="11" customFormat="false" ht="23.85" hidden="false" customHeight="false" outlineLevel="0" collapsed="false">
      <c r="A11" s="6" t="s">
        <v>70</v>
      </c>
      <c r="B11" s="6" t="n">
        <v>1</v>
      </c>
      <c r="C11" s="6" t="n">
        <v>1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1</v>
      </c>
      <c r="I11" s="6" t="n">
        <v>1</v>
      </c>
      <c r="J11" s="6" t="n">
        <v>1</v>
      </c>
      <c r="K11" s="6" t="n">
        <v>1</v>
      </c>
      <c r="L11" s="6" t="n">
        <v>0</v>
      </c>
      <c r="M11" s="6" t="n">
        <v>1</v>
      </c>
      <c r="N11" s="6" t="n">
        <f aca="false">SUM(B11:M11)</f>
        <v>7</v>
      </c>
      <c r="O11" s="6" t="str">
        <f aca="false">IF(N11=12,"SELECT","REJECT")</f>
        <v>REJECT</v>
      </c>
      <c r="P11" s="6" t="s">
        <v>71</v>
      </c>
    </row>
  </sheetData>
  <conditionalFormatting sqref="O7:O11">
    <cfRule type="containsText" priority="2" operator="containsText" aboveAverage="0" equalAverage="0" bottom="0" percent="0" rank="0" text="SELECT" dxfId="1">
      <formula>NOT(ISERROR(SEARCH("SELECT",O7)))</formula>
    </cfRule>
    <cfRule type="containsText" priority="3" operator="containsText" aboveAverage="0" equalAverage="0" bottom="0" percent="0" rank="0" text="REJECT" dxfId="2">
      <formula>NOT(ISERROR(SEARCH("REJECT",O7)))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false"/>
  </sheetPr>
  <dimension ref="A2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0"/>
    <col collapsed="false" customWidth="true" hidden="false" outlineLevel="0" max="4" min="4" style="0" width="31"/>
    <col collapsed="false" customWidth="true" hidden="false" outlineLevel="0" max="7" min="5" style="0" width="35"/>
    <col collapsed="false" customWidth="true" hidden="false" outlineLevel="0" max="8" min="8" style="0" width="27"/>
    <col collapsed="false" customWidth="true" hidden="false" outlineLevel="0" max="9" min="9" style="0" width="18"/>
  </cols>
  <sheetData>
    <row r="2" customFormat="false" ht="24" hidden="false" customHeight="true" outlineLevel="0" collapsed="false">
      <c r="A2" s="1" t="s">
        <v>72</v>
      </c>
    </row>
    <row r="3" customFormat="false" ht="18" hidden="false" customHeight="true" outlineLevel="0" collapsed="false">
      <c r="A3" s="2" t="s">
        <v>73</v>
      </c>
      <c r="B3" s="2"/>
      <c r="C3" s="2"/>
      <c r="D3" s="2"/>
      <c r="E3" s="2"/>
      <c r="F3" s="2"/>
      <c r="G3" s="2"/>
      <c r="H3" s="2"/>
      <c r="I3" s="2"/>
    </row>
    <row r="6" customFormat="false" ht="15" hidden="false" customHeight="false" outlineLevel="0" collapsed="false">
      <c r="A6" s="5" t="s">
        <v>74</v>
      </c>
      <c r="B6" s="5" t="s">
        <v>75</v>
      </c>
      <c r="C6" s="5" t="s">
        <v>76</v>
      </c>
      <c r="D6" s="5" t="s">
        <v>77</v>
      </c>
      <c r="E6" s="5" t="s">
        <v>78</v>
      </c>
      <c r="F6" s="5" t="s">
        <v>79</v>
      </c>
      <c r="G6" s="5" t="s">
        <v>80</v>
      </c>
      <c r="H6" s="5" t="s">
        <v>81</v>
      </c>
      <c r="I6" s="5" t="s">
        <v>35</v>
      </c>
    </row>
    <row r="7" customFormat="false" ht="23.85" hidden="false" customHeight="false" outlineLevel="0" collapsed="false">
      <c r="A7" s="6" t="s">
        <v>82</v>
      </c>
      <c r="B7" s="7" t="n">
        <v>110</v>
      </c>
      <c r="C7" s="11" t="n">
        <f aca="false">B7/$B$12</f>
        <v>0.55</v>
      </c>
      <c r="D7" s="6" t="s">
        <v>83</v>
      </c>
      <c r="E7" s="6" t="s">
        <v>84</v>
      </c>
      <c r="F7" s="6" t="s">
        <v>85</v>
      </c>
      <c r="G7" s="6" t="s">
        <v>86</v>
      </c>
      <c r="H7" s="6" t="s">
        <v>87</v>
      </c>
      <c r="I7" s="6" t="n">
        <v>0</v>
      </c>
    </row>
    <row r="8" customFormat="false" ht="23.85" hidden="false" customHeight="false" outlineLevel="0" collapsed="false">
      <c r="A8" s="6" t="s">
        <v>88</v>
      </c>
      <c r="B8" s="7" t="n">
        <v>30</v>
      </c>
      <c r="C8" s="11" t="n">
        <f aca="false">B8/$B$12</f>
        <v>0.15</v>
      </c>
      <c r="D8" s="6" t="s">
        <v>89</v>
      </c>
      <c r="E8" s="6" t="s">
        <v>85</v>
      </c>
      <c r="F8" s="6" t="s">
        <v>90</v>
      </c>
      <c r="G8" s="6" t="s">
        <v>91</v>
      </c>
      <c r="H8" s="6" t="s">
        <v>87</v>
      </c>
      <c r="I8" s="6" t="n">
        <v>0</v>
      </c>
    </row>
    <row r="9" customFormat="false" ht="23.85" hidden="false" customHeight="false" outlineLevel="0" collapsed="false">
      <c r="A9" s="6" t="s">
        <v>92</v>
      </c>
      <c r="B9" s="7" t="n">
        <v>30</v>
      </c>
      <c r="C9" s="11" t="n">
        <f aca="false">B9/$B$12</f>
        <v>0.15</v>
      </c>
      <c r="D9" s="6" t="s">
        <v>93</v>
      </c>
      <c r="E9" s="6" t="s">
        <v>85</v>
      </c>
      <c r="F9" s="6" t="s">
        <v>94</v>
      </c>
      <c r="G9" s="6" t="s">
        <v>91</v>
      </c>
      <c r="H9" s="6" t="s">
        <v>87</v>
      </c>
      <c r="I9" s="6" t="n">
        <v>0</v>
      </c>
    </row>
    <row r="10" customFormat="false" ht="23.85" hidden="false" customHeight="false" outlineLevel="0" collapsed="false">
      <c r="A10" s="6" t="s">
        <v>95</v>
      </c>
      <c r="B10" s="7" t="n">
        <v>20</v>
      </c>
      <c r="C10" s="11" t="n">
        <f aca="false">B10/$B$12</f>
        <v>0.1</v>
      </c>
      <c r="D10" s="6" t="s">
        <v>96</v>
      </c>
      <c r="E10" s="6" t="s">
        <v>85</v>
      </c>
      <c r="F10" s="6" t="s">
        <v>97</v>
      </c>
      <c r="G10" s="6" t="s">
        <v>91</v>
      </c>
      <c r="H10" s="6" t="s">
        <v>87</v>
      </c>
      <c r="I10" s="6" t="n">
        <v>0</v>
      </c>
    </row>
    <row r="11" customFormat="false" ht="23.85" hidden="false" customHeight="false" outlineLevel="0" collapsed="false">
      <c r="A11" s="6" t="s">
        <v>98</v>
      </c>
      <c r="B11" s="7" t="n">
        <v>10</v>
      </c>
      <c r="C11" s="11" t="n">
        <f aca="false">B11/$B$12</f>
        <v>0.05</v>
      </c>
      <c r="D11" s="6" t="s">
        <v>99</v>
      </c>
      <c r="E11" s="6" t="s">
        <v>85</v>
      </c>
      <c r="F11" s="6" t="s">
        <v>100</v>
      </c>
      <c r="G11" s="6" t="s">
        <v>101</v>
      </c>
      <c r="H11" s="6" t="s">
        <v>87</v>
      </c>
      <c r="I11" s="6" t="n">
        <v>0</v>
      </c>
    </row>
    <row r="12" customFormat="false" ht="15" hidden="false" customHeight="false" outlineLevel="0" collapsed="false">
      <c r="A12" s="15" t="s">
        <v>102</v>
      </c>
      <c r="B12" s="16" t="n">
        <f aca="false">SUM(B7:B11)</f>
        <v>200</v>
      </c>
      <c r="C12" s="17" t="n">
        <f aca="false">SUM(C7:C11)</f>
        <v>1</v>
      </c>
      <c r="D12" s="15" t="s">
        <v>103</v>
      </c>
      <c r="E12" s="15" t="s">
        <v>104</v>
      </c>
      <c r="F12" s="15" t="s">
        <v>105</v>
      </c>
      <c r="G12" s="15" t="s">
        <v>106</v>
      </c>
      <c r="H12" s="15" t="s">
        <v>87</v>
      </c>
      <c r="I12" s="15" t="n">
        <v>0</v>
      </c>
    </row>
    <row r="14" customFormat="false" ht="15" hidden="false" customHeight="false" outlineLevel="0" collapsed="false">
      <c r="A14" s="3" t="s">
        <v>107</v>
      </c>
      <c r="B14" s="3"/>
      <c r="C14" s="3"/>
      <c r="D14" s="3"/>
      <c r="E14" s="3"/>
      <c r="F14" s="3"/>
      <c r="G14" s="3"/>
      <c r="H14" s="3"/>
      <c r="I14" s="3"/>
    </row>
    <row r="15" customFormat="false" ht="15" hidden="false" customHeight="false" outlineLevel="0" collapsed="false">
      <c r="A15" s="5" t="s">
        <v>108</v>
      </c>
      <c r="B15" s="5" t="s">
        <v>75</v>
      </c>
      <c r="C15" s="5" t="s">
        <v>109</v>
      </c>
      <c r="E15" s="5" t="s">
        <v>110</v>
      </c>
      <c r="F15" s="5" t="s">
        <v>75</v>
      </c>
    </row>
    <row r="16" customFormat="false" ht="23.85" hidden="false" customHeight="false" outlineLevel="0" collapsed="false">
      <c r="A16" s="6" t="s">
        <v>111</v>
      </c>
      <c r="B16" s="7" t="n">
        <v>43</v>
      </c>
      <c r="C16" s="6" t="s">
        <v>112</v>
      </c>
      <c r="E16" s="6" t="s">
        <v>113</v>
      </c>
      <c r="F16" s="7" t="n">
        <f aca="false">'Root Options'!F31</f>
        <v>57.390605109129</v>
      </c>
    </row>
    <row r="17" customFormat="false" ht="23.85" hidden="false" customHeight="false" outlineLevel="0" collapsed="false">
      <c r="A17" s="6" t="s">
        <v>114</v>
      </c>
      <c r="B17" s="7" t="n">
        <v>14.390605109129</v>
      </c>
      <c r="C17" s="6" t="s">
        <v>115</v>
      </c>
      <c r="E17" s="6" t="s">
        <v>29</v>
      </c>
      <c r="F17" s="7" t="n">
        <f aca="false">'Root Options'!G31</f>
        <v>52.609394890871</v>
      </c>
    </row>
    <row r="18" customFormat="false" ht="23.85" hidden="false" customHeight="false" outlineLevel="0" collapsed="false">
      <c r="A18" s="6" t="s">
        <v>116</v>
      </c>
      <c r="B18" s="7" t="n">
        <v>52.609394890871</v>
      </c>
      <c r="C18" s="6" t="s">
        <v>117</v>
      </c>
      <c r="E18" s="6" t="s">
        <v>32</v>
      </c>
      <c r="F18" s="7" t="n">
        <f aca="false">SUM(B8:B10)</f>
        <v>80</v>
      </c>
    </row>
    <row r="19" customFormat="false" ht="23.85" hidden="false" customHeight="false" outlineLevel="0" collapsed="false">
      <c r="A19" s="18" t="s">
        <v>118</v>
      </c>
      <c r="B19" s="19" t="n">
        <f aca="false">SUM(B16:B18)</f>
        <v>110</v>
      </c>
      <c r="C19" s="18" t="s">
        <v>119</v>
      </c>
      <c r="E19" s="6" t="s">
        <v>120</v>
      </c>
      <c r="F19" s="7" t="n">
        <f aca="false">B11</f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false"/>
  </sheetPr>
  <dimension ref="A2:M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32"/>
    <col collapsed="false" customWidth="true" hidden="false" outlineLevel="0" max="4" min="4" style="0" width="34"/>
    <col collapsed="false" customWidth="true" hidden="false" outlineLevel="0" max="7" min="5" style="0" width="21"/>
    <col collapsed="false" customWidth="true" hidden="false" outlineLevel="0" max="8" min="8" style="0" width="19"/>
    <col collapsed="false" customWidth="true" hidden="false" outlineLevel="0" max="12" min="9" style="0" width="17"/>
    <col collapsed="false" customWidth="true" hidden="false" outlineLevel="0" max="13" min="13" style="0" width="22"/>
  </cols>
  <sheetData>
    <row r="2" customFormat="false" ht="24" hidden="false" customHeight="true" outlineLevel="0" collapsed="false">
      <c r="A2" s="1" t="s">
        <v>121</v>
      </c>
    </row>
    <row r="3" customFormat="false" ht="18" hidden="false" customHeight="true" outlineLevel="0" collapsed="false">
      <c r="A3" s="2" t="s">
        <v>122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6" customFormat="false" ht="23.85" hidden="false" customHeight="false" outlineLevel="0" collapsed="false">
      <c r="A6" s="5" t="s">
        <v>123</v>
      </c>
      <c r="B6" s="5" t="s">
        <v>124</v>
      </c>
      <c r="C6" s="5" t="s">
        <v>125</v>
      </c>
      <c r="D6" s="5" t="s">
        <v>126</v>
      </c>
      <c r="E6" s="5" t="s">
        <v>127</v>
      </c>
      <c r="F6" s="5" t="s">
        <v>128</v>
      </c>
      <c r="G6" s="5" t="s">
        <v>129</v>
      </c>
      <c r="H6" s="5" t="s">
        <v>130</v>
      </c>
      <c r="I6" s="5" t="s">
        <v>131</v>
      </c>
      <c r="J6" s="5" t="s">
        <v>132</v>
      </c>
      <c r="K6" s="5" t="s">
        <v>133</v>
      </c>
      <c r="L6" s="5" t="s">
        <v>35</v>
      </c>
      <c r="M6" s="5" t="s">
        <v>134</v>
      </c>
    </row>
    <row r="7" customFormat="false" ht="15" hidden="false" customHeight="false" outlineLevel="0" collapsed="false">
      <c r="A7" s="6" t="s">
        <v>135</v>
      </c>
      <c r="B7" s="6" t="s">
        <v>136</v>
      </c>
      <c r="C7" s="6" t="s">
        <v>137</v>
      </c>
      <c r="D7" s="6" t="s">
        <v>138</v>
      </c>
      <c r="E7" s="20" t="n">
        <v>22.2558490200211</v>
      </c>
      <c r="F7" s="20" t="n">
        <f aca="false">IF(B7="MS-LF",E7*20%,E7*20%*'Account Control'!$B$16/('Account Control'!$B$7-'Account Control'!$B$17))</f>
        <v>2.0018984723274</v>
      </c>
      <c r="G7" s="20" t="n">
        <f aca="false">E7*20%-F7</f>
        <v>2.44927133167682</v>
      </c>
      <c r="H7" s="6" t="s">
        <v>139</v>
      </c>
      <c r="I7" s="6" t="n">
        <v>12</v>
      </c>
      <c r="J7" s="6" t="n">
        <v>4</v>
      </c>
      <c r="K7" s="6" t="s">
        <v>140</v>
      </c>
      <c r="L7" s="6" t="n">
        <v>0</v>
      </c>
      <c r="M7" s="21" t="n">
        <f aca="false">(E7*20%/($E$31*20%))^2</f>
        <v>0.00163743079537843</v>
      </c>
    </row>
    <row r="8" customFormat="false" ht="15" hidden="false" customHeight="false" outlineLevel="0" collapsed="false">
      <c r="A8" s="6" t="s">
        <v>141</v>
      </c>
      <c r="B8" s="6" t="s">
        <v>136</v>
      </c>
      <c r="C8" s="6" t="s">
        <v>137</v>
      </c>
      <c r="D8" s="6" t="s">
        <v>142</v>
      </c>
      <c r="E8" s="20" t="n">
        <v>22.2558490200211</v>
      </c>
      <c r="F8" s="20" t="n">
        <f aca="false">IF(B8="MS-LF",E8*20%,E8*20%*'Account Control'!$B$16/('Account Control'!$B$7-'Account Control'!$B$17))</f>
        <v>2.0018984723274</v>
      </c>
      <c r="G8" s="20" t="n">
        <f aca="false">E8*20%-F8</f>
        <v>2.44927133167682</v>
      </c>
      <c r="H8" s="6" t="s">
        <v>139</v>
      </c>
      <c r="I8" s="6" t="n">
        <v>12</v>
      </c>
      <c r="J8" s="6" t="n">
        <v>4</v>
      </c>
      <c r="K8" s="6" t="s">
        <v>140</v>
      </c>
      <c r="L8" s="6" t="n">
        <v>0</v>
      </c>
      <c r="M8" s="21" t="n">
        <f aca="false">(E8*20%/($E$31*20%))^2</f>
        <v>0.00163743079537843</v>
      </c>
    </row>
    <row r="9" customFormat="false" ht="15" hidden="false" customHeight="false" outlineLevel="0" collapsed="false">
      <c r="A9" s="6" t="s">
        <v>143</v>
      </c>
      <c r="B9" s="6" t="s">
        <v>136</v>
      </c>
      <c r="C9" s="6" t="s">
        <v>137</v>
      </c>
      <c r="D9" s="6" t="s">
        <v>144</v>
      </c>
      <c r="E9" s="20" t="n">
        <v>22.2558490200211</v>
      </c>
      <c r="F9" s="20" t="n">
        <f aca="false">IF(B9="MS-LF",E9*20%,E9*20%*'Account Control'!$B$16/('Account Control'!$B$7-'Account Control'!$B$17))</f>
        <v>2.0018984723274</v>
      </c>
      <c r="G9" s="20" t="n">
        <f aca="false">E9*20%-F9</f>
        <v>2.44927133167682</v>
      </c>
      <c r="H9" s="6" t="s">
        <v>139</v>
      </c>
      <c r="I9" s="6" t="n">
        <v>12</v>
      </c>
      <c r="J9" s="6" t="n">
        <v>4</v>
      </c>
      <c r="K9" s="6" t="s">
        <v>140</v>
      </c>
      <c r="L9" s="6" t="n">
        <v>0</v>
      </c>
      <c r="M9" s="21" t="n">
        <f aca="false">(E9*20%/($E$31*20%))^2</f>
        <v>0.00163743079537843</v>
      </c>
    </row>
    <row r="10" customFormat="false" ht="15" hidden="false" customHeight="false" outlineLevel="0" collapsed="false">
      <c r="A10" s="6" t="s">
        <v>145</v>
      </c>
      <c r="B10" s="6" t="s">
        <v>136</v>
      </c>
      <c r="C10" s="6" t="s">
        <v>137</v>
      </c>
      <c r="D10" s="6" t="s">
        <v>146</v>
      </c>
      <c r="E10" s="20" t="n">
        <v>22.2558490200211</v>
      </c>
      <c r="F10" s="20" t="n">
        <f aca="false">IF(B10="MS-LF",E10*20%,E10*20%*'Account Control'!$B$16/('Account Control'!$B$7-'Account Control'!$B$17))</f>
        <v>2.0018984723274</v>
      </c>
      <c r="G10" s="20" t="n">
        <f aca="false">E10*20%-F10</f>
        <v>2.44927133167682</v>
      </c>
      <c r="H10" s="6" t="s">
        <v>139</v>
      </c>
      <c r="I10" s="6" t="n">
        <v>12</v>
      </c>
      <c r="J10" s="6" t="n">
        <v>4</v>
      </c>
      <c r="K10" s="6" t="s">
        <v>140</v>
      </c>
      <c r="L10" s="6" t="n">
        <v>0</v>
      </c>
      <c r="M10" s="21" t="n">
        <f aca="false">(E10*20%/($E$31*20%))^2</f>
        <v>0.00163743079537843</v>
      </c>
    </row>
    <row r="11" customFormat="false" ht="15" hidden="false" customHeight="false" outlineLevel="0" collapsed="false">
      <c r="A11" s="6" t="s">
        <v>147</v>
      </c>
      <c r="B11" s="6" t="s">
        <v>148</v>
      </c>
      <c r="C11" s="6" t="s">
        <v>149</v>
      </c>
      <c r="D11" s="6" t="s">
        <v>150</v>
      </c>
      <c r="E11" s="20" t="n">
        <v>22.9681996546453</v>
      </c>
      <c r="F11" s="20" t="n">
        <f aca="false">IF(B11="MS-LF",E11*20%,E11*20%*'Account Control'!$B$16/('Account Control'!$B$7-'Account Control'!$B$17))</f>
        <v>2.06597392709584</v>
      </c>
      <c r="G11" s="20" t="n">
        <f aca="false">E11*20%-F11</f>
        <v>2.52766600383323</v>
      </c>
      <c r="H11" s="6" t="s">
        <v>139</v>
      </c>
      <c r="I11" s="6" t="n">
        <v>12</v>
      </c>
      <c r="J11" s="6" t="n">
        <v>4</v>
      </c>
      <c r="K11" s="6" t="s">
        <v>140</v>
      </c>
      <c r="L11" s="6" t="n">
        <v>0</v>
      </c>
      <c r="M11" s="21" t="n">
        <f aca="false">(E11*20%/($E$31*20%))^2</f>
        <v>0.00174392791859719</v>
      </c>
    </row>
    <row r="12" customFormat="false" ht="15" hidden="false" customHeight="false" outlineLevel="0" collapsed="false">
      <c r="A12" s="6" t="s">
        <v>151</v>
      </c>
      <c r="B12" s="6" t="s">
        <v>148</v>
      </c>
      <c r="C12" s="6" t="s">
        <v>149</v>
      </c>
      <c r="D12" s="6" t="s">
        <v>152</v>
      </c>
      <c r="E12" s="20" t="n">
        <v>22.9681996546453</v>
      </c>
      <c r="F12" s="20" t="n">
        <f aca="false">IF(B12="MS-LF",E12*20%,E12*20%*'Account Control'!$B$16/('Account Control'!$B$7-'Account Control'!$B$17))</f>
        <v>2.06597392709584</v>
      </c>
      <c r="G12" s="20" t="n">
        <f aca="false">E12*20%-F12</f>
        <v>2.52766600383323</v>
      </c>
      <c r="H12" s="6" t="s">
        <v>139</v>
      </c>
      <c r="I12" s="6" t="n">
        <v>12</v>
      </c>
      <c r="J12" s="6" t="n">
        <v>4</v>
      </c>
      <c r="K12" s="6" t="s">
        <v>140</v>
      </c>
      <c r="L12" s="6" t="n">
        <v>0</v>
      </c>
      <c r="M12" s="21" t="n">
        <f aca="false">(E12*20%/($E$31*20%))^2</f>
        <v>0.00174392791859719</v>
      </c>
    </row>
    <row r="13" customFormat="false" ht="15" hidden="false" customHeight="false" outlineLevel="0" collapsed="false">
      <c r="A13" s="6" t="s">
        <v>153</v>
      </c>
      <c r="B13" s="6" t="s">
        <v>148</v>
      </c>
      <c r="C13" s="6" t="s">
        <v>149</v>
      </c>
      <c r="D13" s="6" t="s">
        <v>154</v>
      </c>
      <c r="E13" s="20" t="n">
        <v>22.9681996546453</v>
      </c>
      <c r="F13" s="20" t="n">
        <f aca="false">IF(B13="MS-LF",E13*20%,E13*20%*'Account Control'!$B$16/('Account Control'!$B$7-'Account Control'!$B$17))</f>
        <v>2.06597392709584</v>
      </c>
      <c r="G13" s="20" t="n">
        <f aca="false">E13*20%-F13</f>
        <v>2.52766600383323</v>
      </c>
      <c r="H13" s="6" t="s">
        <v>139</v>
      </c>
      <c r="I13" s="6" t="n">
        <v>12</v>
      </c>
      <c r="J13" s="6" t="n">
        <v>4</v>
      </c>
      <c r="K13" s="6" t="s">
        <v>140</v>
      </c>
      <c r="L13" s="6" t="n">
        <v>0</v>
      </c>
      <c r="M13" s="21" t="n">
        <f aca="false">(E13*20%/($E$31*20%))^2</f>
        <v>0.00174392791859719</v>
      </c>
    </row>
    <row r="14" customFormat="false" ht="15" hidden="false" customHeight="false" outlineLevel="0" collapsed="false">
      <c r="A14" s="6" t="s">
        <v>155</v>
      </c>
      <c r="B14" s="6" t="s">
        <v>148</v>
      </c>
      <c r="C14" s="6" t="s">
        <v>149</v>
      </c>
      <c r="D14" s="6" t="s">
        <v>156</v>
      </c>
      <c r="E14" s="20" t="n">
        <v>22.9681996546453</v>
      </c>
      <c r="F14" s="20" t="n">
        <f aca="false">IF(B14="MS-LF",E14*20%,E14*20%*'Account Control'!$B$16/('Account Control'!$B$7-'Account Control'!$B$17))</f>
        <v>2.06597392709584</v>
      </c>
      <c r="G14" s="20" t="n">
        <f aca="false">E14*20%-F14</f>
        <v>2.52766600383323</v>
      </c>
      <c r="H14" s="6" t="s">
        <v>139</v>
      </c>
      <c r="I14" s="6" t="n">
        <v>12</v>
      </c>
      <c r="J14" s="6" t="n">
        <v>4</v>
      </c>
      <c r="K14" s="6" t="s">
        <v>140</v>
      </c>
      <c r="L14" s="6" t="n">
        <v>0</v>
      </c>
      <c r="M14" s="21" t="n">
        <f aca="false">(E14*20%/($E$31*20%))^2</f>
        <v>0.00174392791859719</v>
      </c>
    </row>
    <row r="15" customFormat="false" ht="15" hidden="false" customHeight="false" outlineLevel="0" collapsed="false">
      <c r="A15" s="6" t="s">
        <v>157</v>
      </c>
      <c r="B15" s="6" t="s">
        <v>158</v>
      </c>
      <c r="C15" s="6" t="s">
        <v>159</v>
      </c>
      <c r="D15" s="6" t="s">
        <v>160</v>
      </c>
      <c r="E15" s="20" t="n">
        <v>13.6619890431308</v>
      </c>
      <c r="F15" s="20" t="n">
        <f aca="false">IF(B15="MS-LF",E15*20%,E15*20%*'Account Control'!$B$16/('Account Control'!$B$7-'Account Control'!$B$17))</f>
        <v>1.22888661626853</v>
      </c>
      <c r="G15" s="20" t="n">
        <f aca="false">E15*20%-F15</f>
        <v>1.50351119235762</v>
      </c>
      <c r="H15" s="6" t="s">
        <v>139</v>
      </c>
      <c r="I15" s="6" t="n">
        <v>12</v>
      </c>
      <c r="J15" s="6" t="n">
        <v>4</v>
      </c>
      <c r="K15" s="6" t="s">
        <v>140</v>
      </c>
      <c r="L15" s="6" t="n">
        <v>0</v>
      </c>
      <c r="M15" s="21" t="n">
        <f aca="false">(E15*20%/($E$31*20%))^2</f>
        <v>0.000617024610296281</v>
      </c>
    </row>
    <row r="16" customFormat="false" ht="15" hidden="false" customHeight="false" outlineLevel="0" collapsed="false">
      <c r="A16" s="6" t="s">
        <v>161</v>
      </c>
      <c r="B16" s="6" t="s">
        <v>158</v>
      </c>
      <c r="C16" s="6" t="s">
        <v>159</v>
      </c>
      <c r="D16" s="6" t="s">
        <v>162</v>
      </c>
      <c r="E16" s="20" t="n">
        <v>13.6619890431308</v>
      </c>
      <c r="F16" s="20" t="n">
        <f aca="false">IF(B16="MS-LF",E16*20%,E16*20%*'Account Control'!$B$16/('Account Control'!$B$7-'Account Control'!$B$17))</f>
        <v>1.22888661626853</v>
      </c>
      <c r="G16" s="20" t="n">
        <f aca="false">E16*20%-F16</f>
        <v>1.50351119235762</v>
      </c>
      <c r="H16" s="6" t="s">
        <v>139</v>
      </c>
      <c r="I16" s="6" t="n">
        <v>12</v>
      </c>
      <c r="J16" s="6" t="n">
        <v>4</v>
      </c>
      <c r="K16" s="6" t="s">
        <v>140</v>
      </c>
      <c r="L16" s="6" t="n">
        <v>0</v>
      </c>
      <c r="M16" s="21" t="n">
        <f aca="false">(E16*20%/($E$31*20%))^2</f>
        <v>0.000617024610296281</v>
      </c>
    </row>
    <row r="17" customFormat="false" ht="15" hidden="false" customHeight="false" outlineLevel="0" collapsed="false">
      <c r="A17" s="6" t="s">
        <v>163</v>
      </c>
      <c r="B17" s="6" t="s">
        <v>158</v>
      </c>
      <c r="C17" s="6" t="s">
        <v>159</v>
      </c>
      <c r="D17" s="6" t="s">
        <v>164</v>
      </c>
      <c r="E17" s="20" t="n">
        <v>13.6619890431308</v>
      </c>
      <c r="F17" s="20" t="n">
        <f aca="false">IF(B17="MS-LF",E17*20%,E17*20%*'Account Control'!$B$16/('Account Control'!$B$7-'Account Control'!$B$17))</f>
        <v>1.22888661626853</v>
      </c>
      <c r="G17" s="20" t="n">
        <f aca="false">E17*20%-F17</f>
        <v>1.50351119235762</v>
      </c>
      <c r="H17" s="6" t="s">
        <v>139</v>
      </c>
      <c r="I17" s="6" t="n">
        <v>12</v>
      </c>
      <c r="J17" s="6" t="n">
        <v>4</v>
      </c>
      <c r="K17" s="6" t="s">
        <v>140</v>
      </c>
      <c r="L17" s="6" t="n">
        <v>0</v>
      </c>
      <c r="M17" s="21" t="n">
        <f aca="false">(E17*20%/($E$31*20%))^2</f>
        <v>0.000617024610296281</v>
      </c>
    </row>
    <row r="18" customFormat="false" ht="15" hidden="false" customHeight="false" outlineLevel="0" collapsed="false">
      <c r="A18" s="6" t="s">
        <v>165</v>
      </c>
      <c r="B18" s="6" t="s">
        <v>158</v>
      </c>
      <c r="C18" s="6" t="s">
        <v>159</v>
      </c>
      <c r="D18" s="6" t="s">
        <v>166</v>
      </c>
      <c r="E18" s="20" t="n">
        <v>13.6619890431308</v>
      </c>
      <c r="F18" s="20" t="n">
        <f aca="false">IF(B18="MS-LF",E18*20%,E18*20%*'Account Control'!$B$16/('Account Control'!$B$7-'Account Control'!$B$17))</f>
        <v>1.22888661626853</v>
      </c>
      <c r="G18" s="20" t="n">
        <f aca="false">E18*20%-F18</f>
        <v>1.50351119235762</v>
      </c>
      <c r="H18" s="6" t="s">
        <v>139</v>
      </c>
      <c r="I18" s="6" t="n">
        <v>12</v>
      </c>
      <c r="J18" s="6" t="n">
        <v>4</v>
      </c>
      <c r="K18" s="6" t="s">
        <v>140</v>
      </c>
      <c r="L18" s="6" t="n">
        <v>0</v>
      </c>
      <c r="M18" s="21" t="n">
        <f aca="false">(E18*20%/($E$31*20%))^2</f>
        <v>0.000617024610296281</v>
      </c>
    </row>
    <row r="19" customFormat="false" ht="15" hidden="false" customHeight="false" outlineLevel="0" collapsed="false">
      <c r="A19" s="6" t="s">
        <v>167</v>
      </c>
      <c r="B19" s="6" t="s">
        <v>168</v>
      </c>
      <c r="C19" s="6" t="s">
        <v>169</v>
      </c>
      <c r="D19" s="6" t="s">
        <v>170</v>
      </c>
      <c r="E19" s="20" t="n">
        <v>17.9882563864113</v>
      </c>
      <c r="F19" s="20" t="n">
        <f aca="false">IF(B19="MS-LF",E19*20%,E19*20%*'Account Control'!$B$16/('Account Control'!$B$7-'Account Control'!$B$17))</f>
        <v>3.59765127728226</v>
      </c>
      <c r="G19" s="20" t="n">
        <f aca="false">E19*20%-F19</f>
        <v>0</v>
      </c>
      <c r="H19" s="6" t="s">
        <v>139</v>
      </c>
      <c r="I19" s="6" t="n">
        <v>12</v>
      </c>
      <c r="J19" s="6" t="n">
        <v>4</v>
      </c>
      <c r="K19" s="6" t="s">
        <v>140</v>
      </c>
      <c r="L19" s="6" t="n">
        <v>0</v>
      </c>
      <c r="M19" s="21" t="n">
        <f aca="false">(E19*20%/($E$31*20%))^2</f>
        <v>0.00106967724900253</v>
      </c>
    </row>
    <row r="20" customFormat="false" ht="15" hidden="false" customHeight="false" outlineLevel="0" collapsed="false">
      <c r="A20" s="6" t="s">
        <v>171</v>
      </c>
      <c r="B20" s="6" t="s">
        <v>168</v>
      </c>
      <c r="C20" s="6" t="s">
        <v>169</v>
      </c>
      <c r="D20" s="6" t="s">
        <v>172</v>
      </c>
      <c r="E20" s="20" t="n">
        <v>17.9882563864113</v>
      </c>
      <c r="F20" s="20" t="n">
        <f aca="false">IF(B20="MS-LF",E20*20%,E20*20%*'Account Control'!$B$16/('Account Control'!$B$7-'Account Control'!$B$17))</f>
        <v>3.59765127728226</v>
      </c>
      <c r="G20" s="20" t="n">
        <f aca="false">E20*20%-F20</f>
        <v>0</v>
      </c>
      <c r="H20" s="6" t="s">
        <v>139</v>
      </c>
      <c r="I20" s="6" t="n">
        <v>12</v>
      </c>
      <c r="J20" s="6" t="n">
        <v>4</v>
      </c>
      <c r="K20" s="6" t="s">
        <v>140</v>
      </c>
      <c r="L20" s="6" t="n">
        <v>0</v>
      </c>
      <c r="M20" s="21" t="n">
        <f aca="false">(E20*20%/($E$31*20%))^2</f>
        <v>0.00106967724900253</v>
      </c>
    </row>
    <row r="21" customFormat="false" ht="15" hidden="false" customHeight="false" outlineLevel="0" collapsed="false">
      <c r="A21" s="6" t="s">
        <v>173</v>
      </c>
      <c r="B21" s="6" t="s">
        <v>168</v>
      </c>
      <c r="C21" s="6" t="s">
        <v>169</v>
      </c>
      <c r="D21" s="6" t="s">
        <v>174</v>
      </c>
      <c r="E21" s="20" t="n">
        <v>17.9882563864113</v>
      </c>
      <c r="F21" s="20" t="n">
        <f aca="false">IF(B21="MS-LF",E21*20%,E21*20%*'Account Control'!$B$16/('Account Control'!$B$7-'Account Control'!$B$17))</f>
        <v>3.59765127728226</v>
      </c>
      <c r="G21" s="20" t="n">
        <f aca="false">E21*20%-F21</f>
        <v>0</v>
      </c>
      <c r="H21" s="6" t="s">
        <v>139</v>
      </c>
      <c r="I21" s="6" t="n">
        <v>12</v>
      </c>
      <c r="J21" s="6" t="n">
        <v>4</v>
      </c>
      <c r="K21" s="6" t="s">
        <v>140</v>
      </c>
      <c r="L21" s="6" t="n">
        <v>0</v>
      </c>
      <c r="M21" s="21" t="n">
        <f aca="false">(E21*20%/($E$31*20%))^2</f>
        <v>0.00106967724900253</v>
      </c>
    </row>
    <row r="22" customFormat="false" ht="15" hidden="false" customHeight="false" outlineLevel="0" collapsed="false">
      <c r="A22" s="6" t="s">
        <v>175</v>
      </c>
      <c r="B22" s="6" t="s">
        <v>168</v>
      </c>
      <c r="C22" s="6" t="s">
        <v>169</v>
      </c>
      <c r="D22" s="6" t="s">
        <v>176</v>
      </c>
      <c r="E22" s="20" t="n">
        <v>17.9882563864113</v>
      </c>
      <c r="F22" s="20" t="n">
        <f aca="false">IF(B22="MS-LF",E22*20%,E22*20%*'Account Control'!$B$16/('Account Control'!$B$7-'Account Control'!$B$17))</f>
        <v>3.59765127728226</v>
      </c>
      <c r="G22" s="20" t="n">
        <f aca="false">E22*20%-F22</f>
        <v>0</v>
      </c>
      <c r="H22" s="6" t="s">
        <v>139</v>
      </c>
      <c r="I22" s="6" t="n">
        <v>12</v>
      </c>
      <c r="J22" s="6" t="n">
        <v>4</v>
      </c>
      <c r="K22" s="6" t="s">
        <v>140</v>
      </c>
      <c r="L22" s="6" t="n">
        <v>0</v>
      </c>
      <c r="M22" s="21" t="n">
        <f aca="false">(E22*20%/($E$31*20%))^2</f>
        <v>0.00106967724900253</v>
      </c>
    </row>
    <row r="23" customFormat="false" ht="15" hidden="false" customHeight="false" outlineLevel="0" collapsed="false">
      <c r="A23" s="6" t="s">
        <v>177</v>
      </c>
      <c r="B23" s="6" t="s">
        <v>178</v>
      </c>
      <c r="C23" s="6" t="s">
        <v>179</v>
      </c>
      <c r="D23" s="6" t="s">
        <v>180</v>
      </c>
      <c r="E23" s="20" t="n">
        <v>38.275440372435</v>
      </c>
      <c r="F23" s="20" t="n">
        <f aca="false">IF(B23="MS-LF",E23*20%,E23*20%*'Account Control'!$B$16/('Account Control'!$B$7-'Account Control'!$B$17))</f>
        <v>3.44284981176438</v>
      </c>
      <c r="G23" s="20" t="n">
        <f aca="false">E23*20%-F23</f>
        <v>4.21223826272263</v>
      </c>
      <c r="H23" s="6" t="s">
        <v>139</v>
      </c>
      <c r="I23" s="6" t="n">
        <v>12</v>
      </c>
      <c r="J23" s="6" t="n">
        <v>4</v>
      </c>
      <c r="K23" s="6" t="s">
        <v>140</v>
      </c>
      <c r="L23" s="6" t="n">
        <v>0</v>
      </c>
      <c r="M23" s="21" t="n">
        <f aca="false">(E23*20%/($E$31*20%))^2</f>
        <v>0.00484300606844241</v>
      </c>
    </row>
    <row r="24" customFormat="false" ht="15" hidden="false" customHeight="false" outlineLevel="0" collapsed="false">
      <c r="A24" s="6" t="s">
        <v>181</v>
      </c>
      <c r="B24" s="6" t="s">
        <v>178</v>
      </c>
      <c r="C24" s="6" t="s">
        <v>179</v>
      </c>
      <c r="D24" s="6" t="s">
        <v>182</v>
      </c>
      <c r="E24" s="20" t="n">
        <v>38.275440372435</v>
      </c>
      <c r="F24" s="20" t="n">
        <f aca="false">IF(B24="MS-LF",E24*20%,E24*20%*'Account Control'!$B$16/('Account Control'!$B$7-'Account Control'!$B$17))</f>
        <v>3.44284981176438</v>
      </c>
      <c r="G24" s="20" t="n">
        <f aca="false">E24*20%-F24</f>
        <v>4.21223826272263</v>
      </c>
      <c r="H24" s="6" t="s">
        <v>139</v>
      </c>
      <c r="I24" s="6" t="n">
        <v>12</v>
      </c>
      <c r="J24" s="6" t="n">
        <v>4</v>
      </c>
      <c r="K24" s="6" t="s">
        <v>140</v>
      </c>
      <c r="L24" s="6" t="n">
        <v>0</v>
      </c>
      <c r="M24" s="21" t="n">
        <f aca="false">(E24*20%/($E$31*20%))^2</f>
        <v>0.00484300606844241</v>
      </c>
    </row>
    <row r="25" customFormat="false" ht="15" hidden="false" customHeight="false" outlineLevel="0" collapsed="false">
      <c r="A25" s="6" t="s">
        <v>183</v>
      </c>
      <c r="B25" s="6" t="s">
        <v>178</v>
      </c>
      <c r="C25" s="6" t="s">
        <v>179</v>
      </c>
      <c r="D25" s="6" t="s">
        <v>184</v>
      </c>
      <c r="E25" s="20" t="n">
        <v>38.275440372435</v>
      </c>
      <c r="F25" s="20" t="n">
        <f aca="false">IF(B25="MS-LF",E25*20%,E25*20%*'Account Control'!$B$16/('Account Control'!$B$7-'Account Control'!$B$17))</f>
        <v>3.44284981176438</v>
      </c>
      <c r="G25" s="20" t="n">
        <f aca="false">E25*20%-F25</f>
        <v>4.21223826272263</v>
      </c>
      <c r="H25" s="6" t="s">
        <v>139</v>
      </c>
      <c r="I25" s="6" t="n">
        <v>12</v>
      </c>
      <c r="J25" s="6" t="n">
        <v>4</v>
      </c>
      <c r="K25" s="6" t="s">
        <v>140</v>
      </c>
      <c r="L25" s="6" t="n">
        <v>0</v>
      </c>
      <c r="M25" s="21" t="n">
        <f aca="false">(E25*20%/($E$31*20%))^2</f>
        <v>0.00484300606844241</v>
      </c>
    </row>
    <row r="26" customFormat="false" ht="15" hidden="false" customHeight="false" outlineLevel="0" collapsed="false">
      <c r="A26" s="6" t="s">
        <v>185</v>
      </c>
      <c r="B26" s="6" t="s">
        <v>178</v>
      </c>
      <c r="C26" s="6" t="s">
        <v>179</v>
      </c>
      <c r="D26" s="6" t="s">
        <v>186</v>
      </c>
      <c r="E26" s="20" t="n">
        <v>38.275440372435</v>
      </c>
      <c r="F26" s="20" t="n">
        <f aca="false">IF(B26="MS-LF",E26*20%,E26*20%*'Account Control'!$B$16/('Account Control'!$B$7-'Account Control'!$B$17))</f>
        <v>3.44284981176438</v>
      </c>
      <c r="G26" s="20" t="n">
        <f aca="false">E26*20%-F26</f>
        <v>4.21223826272263</v>
      </c>
      <c r="H26" s="6" t="s">
        <v>139</v>
      </c>
      <c r="I26" s="6" t="n">
        <v>12</v>
      </c>
      <c r="J26" s="6" t="n">
        <v>4</v>
      </c>
      <c r="K26" s="6" t="s">
        <v>140</v>
      </c>
      <c r="L26" s="6" t="n">
        <v>0</v>
      </c>
      <c r="M26" s="21" t="n">
        <f aca="false">(E26*20%/($E$31*20%))^2</f>
        <v>0.00484300606844241</v>
      </c>
    </row>
    <row r="27" customFormat="false" ht="15" hidden="false" customHeight="false" outlineLevel="0" collapsed="false">
      <c r="A27" s="6" t="s">
        <v>187</v>
      </c>
      <c r="B27" s="6" t="s">
        <v>188</v>
      </c>
      <c r="C27" s="6" t="s">
        <v>189</v>
      </c>
      <c r="D27" s="6" t="s">
        <v>190</v>
      </c>
      <c r="E27" s="20" t="n">
        <v>22.3502655233565</v>
      </c>
      <c r="F27" s="20" t="n">
        <f aca="false">IF(B27="MS-LF",E27*20%,E27*20%*'Account Control'!$B$16/('Account Control'!$B$7-'Account Control'!$B$17))</f>
        <v>2.01039117254385</v>
      </c>
      <c r="G27" s="20" t="n">
        <f aca="false">E27*20%-F27</f>
        <v>2.45966193212745</v>
      </c>
      <c r="H27" s="6" t="s">
        <v>139</v>
      </c>
      <c r="I27" s="6" t="n">
        <v>12</v>
      </c>
      <c r="J27" s="6" t="n">
        <v>4</v>
      </c>
      <c r="K27" s="6" t="s">
        <v>140</v>
      </c>
      <c r="L27" s="6" t="n">
        <v>0</v>
      </c>
      <c r="M27" s="21" t="n">
        <f aca="false">(E27*20%/($E$31*20%))^2</f>
        <v>0.00165135328583318</v>
      </c>
    </row>
    <row r="28" customFormat="false" ht="15" hidden="false" customHeight="false" outlineLevel="0" collapsed="false">
      <c r="A28" s="6" t="s">
        <v>191</v>
      </c>
      <c r="B28" s="6" t="s">
        <v>188</v>
      </c>
      <c r="C28" s="6" t="s">
        <v>189</v>
      </c>
      <c r="D28" s="6" t="s">
        <v>192</v>
      </c>
      <c r="E28" s="20" t="n">
        <v>22.3502655233565</v>
      </c>
      <c r="F28" s="20" t="n">
        <f aca="false">IF(B28="MS-LF",E28*20%,E28*20%*'Account Control'!$B$16/('Account Control'!$B$7-'Account Control'!$B$17))</f>
        <v>2.01039117254385</v>
      </c>
      <c r="G28" s="20" t="n">
        <f aca="false">E28*20%-F28</f>
        <v>2.45966193212745</v>
      </c>
      <c r="H28" s="6" t="s">
        <v>139</v>
      </c>
      <c r="I28" s="6" t="n">
        <v>12</v>
      </c>
      <c r="J28" s="6" t="n">
        <v>4</v>
      </c>
      <c r="K28" s="6" t="s">
        <v>140</v>
      </c>
      <c r="L28" s="6" t="n">
        <v>0</v>
      </c>
      <c r="M28" s="21" t="n">
        <f aca="false">(E28*20%/($E$31*20%))^2</f>
        <v>0.00165135328583318</v>
      </c>
    </row>
    <row r="29" customFormat="false" ht="15" hidden="false" customHeight="false" outlineLevel="0" collapsed="false">
      <c r="A29" s="6" t="s">
        <v>193</v>
      </c>
      <c r="B29" s="6" t="s">
        <v>188</v>
      </c>
      <c r="C29" s="6" t="s">
        <v>189</v>
      </c>
      <c r="D29" s="6" t="s">
        <v>194</v>
      </c>
      <c r="E29" s="20" t="n">
        <v>22.3502655233565</v>
      </c>
      <c r="F29" s="20" t="n">
        <f aca="false">IF(B29="MS-LF",E29*20%,E29*20%*'Account Control'!$B$16/('Account Control'!$B$7-'Account Control'!$B$17))</f>
        <v>2.01039117254385</v>
      </c>
      <c r="G29" s="20" t="n">
        <f aca="false">E29*20%-F29</f>
        <v>2.45966193212745</v>
      </c>
      <c r="H29" s="6" t="s">
        <v>139</v>
      </c>
      <c r="I29" s="6" t="n">
        <v>12</v>
      </c>
      <c r="J29" s="6" t="n">
        <v>4</v>
      </c>
      <c r="K29" s="6" t="s">
        <v>140</v>
      </c>
      <c r="L29" s="6" t="n">
        <v>0</v>
      </c>
      <c r="M29" s="21" t="n">
        <f aca="false">(E29*20%/($E$31*20%))^2</f>
        <v>0.00165135328583318</v>
      </c>
    </row>
    <row r="30" customFormat="false" ht="15" hidden="false" customHeight="false" outlineLevel="0" collapsed="false">
      <c r="A30" s="6" t="s">
        <v>195</v>
      </c>
      <c r="B30" s="6" t="s">
        <v>188</v>
      </c>
      <c r="C30" s="6" t="s">
        <v>189</v>
      </c>
      <c r="D30" s="6" t="s">
        <v>196</v>
      </c>
      <c r="E30" s="20" t="n">
        <v>22.3502655233565</v>
      </c>
      <c r="F30" s="20" t="n">
        <f aca="false">IF(B30="MS-LF",E30*20%,E30*20%*'Account Control'!$B$16/('Account Control'!$B$7-'Account Control'!$B$17))</f>
        <v>2.01039117254385</v>
      </c>
      <c r="G30" s="20" t="n">
        <f aca="false">E30*20%-F30</f>
        <v>2.45966193212745</v>
      </c>
      <c r="H30" s="6" t="s">
        <v>139</v>
      </c>
      <c r="I30" s="6" t="n">
        <v>12</v>
      </c>
      <c r="J30" s="6" t="n">
        <v>4</v>
      </c>
      <c r="K30" s="6" t="s">
        <v>140</v>
      </c>
      <c r="L30" s="6" t="n">
        <v>0</v>
      </c>
      <c r="M30" s="21" t="n">
        <f aca="false">(E30*20%/($E$31*20%))^2</f>
        <v>0.00165135328583318</v>
      </c>
    </row>
    <row r="31" customFormat="false" ht="15" hidden="false" customHeight="false" outlineLevel="0" collapsed="false">
      <c r="A31" s="18" t="s">
        <v>102</v>
      </c>
      <c r="B31" s="18" t="s">
        <v>197</v>
      </c>
      <c r="C31" s="18" t="s">
        <v>198</v>
      </c>
      <c r="D31" s="18" t="s">
        <v>199</v>
      </c>
      <c r="E31" s="22" t="n">
        <f aca="false">SUM(E7:E30)</f>
        <v>550</v>
      </c>
      <c r="F31" s="22" t="n">
        <f aca="false">SUM(F7:F30)</f>
        <v>57.390605109129</v>
      </c>
      <c r="G31" s="22" t="n">
        <f aca="false">SUM(G7:G30)</f>
        <v>52.609394890871</v>
      </c>
      <c r="H31" s="18" t="s">
        <v>200</v>
      </c>
      <c r="I31" s="18" t="n">
        <v>288</v>
      </c>
      <c r="J31" s="18" t="n">
        <v>96</v>
      </c>
      <c r="K31" s="18" t="s">
        <v>201</v>
      </c>
      <c r="L31" s="18" t="n">
        <v>0</v>
      </c>
      <c r="M31" s="23" t="n">
        <f aca="false">SUM(M7:M30)</f>
        <v>0.0462496797102001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1"/>
    <col collapsed="false" customWidth="true" hidden="false" outlineLevel="0" max="5" min="4" style="0" width="34"/>
    <col collapsed="false" customWidth="true" hidden="false" outlineLevel="0" max="8" min="6" style="0" width="21"/>
    <col collapsed="false" customWidth="true" hidden="false" outlineLevel="0" max="10" min="9" style="0" width="19"/>
    <col collapsed="false" customWidth="true" hidden="false" outlineLevel="0" max="12" min="11" style="0" width="17"/>
  </cols>
  <sheetData>
    <row r="2" customFormat="false" ht="24" hidden="false" customHeight="true" outlineLevel="0" collapsed="false">
      <c r="A2" s="1" t="s">
        <v>202</v>
      </c>
    </row>
    <row r="3" customFormat="false" ht="18" hidden="false" customHeight="true" outlineLevel="0" collapsed="false">
      <c r="A3" s="2" t="s">
        <v>203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6" customFormat="false" ht="23.85" hidden="false" customHeight="false" outlineLevel="0" collapsed="false">
      <c r="A6" s="5" t="s">
        <v>204</v>
      </c>
      <c r="B6" s="5" t="s">
        <v>123</v>
      </c>
      <c r="C6" s="5" t="s">
        <v>124</v>
      </c>
      <c r="D6" s="5" t="s">
        <v>205</v>
      </c>
      <c r="E6" s="5" t="s">
        <v>126</v>
      </c>
      <c r="F6" s="5" t="s">
        <v>206</v>
      </c>
      <c r="G6" s="5" t="s">
        <v>207</v>
      </c>
      <c r="H6" s="5" t="s">
        <v>208</v>
      </c>
      <c r="I6" s="5" t="s">
        <v>130</v>
      </c>
      <c r="J6" s="5" t="s">
        <v>209</v>
      </c>
      <c r="K6" s="5" t="s">
        <v>210</v>
      </c>
      <c r="L6" s="5" t="s">
        <v>35</v>
      </c>
    </row>
    <row r="7" customFormat="false" ht="15" hidden="false" customHeight="false" outlineLevel="0" collapsed="false">
      <c r="A7" s="6" t="s">
        <v>211</v>
      </c>
      <c r="B7" s="6" t="s">
        <v>135</v>
      </c>
      <c r="C7" s="6" t="s">
        <v>136</v>
      </c>
      <c r="D7" s="6" t="s">
        <v>212</v>
      </c>
      <c r="E7" s="6" t="s">
        <v>138</v>
      </c>
      <c r="F7" s="20" t="n">
        <f aca="false">'Root Options'!E7*20%/4</f>
        <v>1.11279245100106</v>
      </c>
      <c r="G7" s="20" t="n">
        <f aca="false">'Root Options'!F7/4</f>
        <v>0.50047461808185</v>
      </c>
      <c r="H7" s="20" t="n">
        <f aca="false">'Root Options'!G7/4</f>
        <v>0.612317832919206</v>
      </c>
      <c r="I7" s="6" t="s">
        <v>139</v>
      </c>
      <c r="J7" s="6" t="s">
        <v>140</v>
      </c>
      <c r="K7" s="6" t="n">
        <v>0</v>
      </c>
      <c r="L7" s="6" t="n">
        <v>0</v>
      </c>
    </row>
    <row r="8" customFormat="false" ht="15" hidden="false" customHeight="false" outlineLevel="0" collapsed="false">
      <c r="A8" s="6" t="s">
        <v>213</v>
      </c>
      <c r="B8" s="6" t="s">
        <v>135</v>
      </c>
      <c r="C8" s="6" t="s">
        <v>136</v>
      </c>
      <c r="D8" s="6" t="s">
        <v>214</v>
      </c>
      <c r="E8" s="6" t="s">
        <v>138</v>
      </c>
      <c r="F8" s="20" t="n">
        <f aca="false">'Root Options'!E7*20%/4</f>
        <v>1.11279245100106</v>
      </c>
      <c r="G8" s="20" t="n">
        <f aca="false">'Root Options'!F7/4</f>
        <v>0.50047461808185</v>
      </c>
      <c r="H8" s="20" t="n">
        <f aca="false">'Root Options'!G7/4</f>
        <v>0.612317832919206</v>
      </c>
      <c r="I8" s="6" t="s">
        <v>139</v>
      </c>
      <c r="J8" s="6" t="s">
        <v>140</v>
      </c>
      <c r="K8" s="6" t="n">
        <v>0</v>
      </c>
      <c r="L8" s="6" t="n">
        <v>0</v>
      </c>
    </row>
    <row r="9" customFormat="false" ht="15" hidden="false" customHeight="false" outlineLevel="0" collapsed="false">
      <c r="A9" s="6" t="s">
        <v>215</v>
      </c>
      <c r="B9" s="6" t="s">
        <v>135</v>
      </c>
      <c r="C9" s="6" t="s">
        <v>136</v>
      </c>
      <c r="D9" s="6" t="s">
        <v>216</v>
      </c>
      <c r="E9" s="6" t="s">
        <v>138</v>
      </c>
      <c r="F9" s="20" t="n">
        <f aca="false">'Root Options'!E7*20%/4</f>
        <v>1.11279245100106</v>
      </c>
      <c r="G9" s="20" t="n">
        <f aca="false">'Root Options'!F7/4</f>
        <v>0.50047461808185</v>
      </c>
      <c r="H9" s="20" t="n">
        <f aca="false">'Root Options'!G7/4</f>
        <v>0.612317832919206</v>
      </c>
      <c r="I9" s="6" t="s">
        <v>139</v>
      </c>
      <c r="J9" s="6" t="s">
        <v>140</v>
      </c>
      <c r="K9" s="6" t="n">
        <v>0</v>
      </c>
      <c r="L9" s="6" t="n">
        <v>0</v>
      </c>
    </row>
    <row r="10" customFormat="false" ht="15" hidden="false" customHeight="false" outlineLevel="0" collapsed="false">
      <c r="A10" s="6" t="s">
        <v>217</v>
      </c>
      <c r="B10" s="6" t="s">
        <v>135</v>
      </c>
      <c r="C10" s="6" t="s">
        <v>136</v>
      </c>
      <c r="D10" s="6" t="s">
        <v>218</v>
      </c>
      <c r="E10" s="6" t="s">
        <v>138</v>
      </c>
      <c r="F10" s="20" t="n">
        <f aca="false">'Root Options'!E7*20%/4</f>
        <v>1.11279245100106</v>
      </c>
      <c r="G10" s="20" t="n">
        <f aca="false">'Root Options'!F7/4</f>
        <v>0.50047461808185</v>
      </c>
      <c r="H10" s="20" t="n">
        <f aca="false">'Root Options'!G7/4</f>
        <v>0.612317832919206</v>
      </c>
      <c r="I10" s="6" t="s">
        <v>139</v>
      </c>
      <c r="J10" s="6" t="s">
        <v>140</v>
      </c>
      <c r="K10" s="6" t="n">
        <v>0</v>
      </c>
      <c r="L10" s="6" t="n">
        <v>0</v>
      </c>
    </row>
    <row r="11" customFormat="false" ht="15" hidden="false" customHeight="false" outlineLevel="0" collapsed="false">
      <c r="A11" s="6" t="s">
        <v>219</v>
      </c>
      <c r="B11" s="6" t="s">
        <v>141</v>
      </c>
      <c r="C11" s="6" t="s">
        <v>136</v>
      </c>
      <c r="D11" s="6" t="s">
        <v>212</v>
      </c>
      <c r="E11" s="6" t="s">
        <v>142</v>
      </c>
      <c r="F11" s="20" t="n">
        <f aca="false">'Root Options'!E8*20%/4</f>
        <v>1.11279245100106</v>
      </c>
      <c r="G11" s="20" t="n">
        <f aca="false">'Root Options'!F8/4</f>
        <v>0.50047461808185</v>
      </c>
      <c r="H11" s="20" t="n">
        <f aca="false">'Root Options'!G8/4</f>
        <v>0.612317832919206</v>
      </c>
      <c r="I11" s="6" t="s">
        <v>139</v>
      </c>
      <c r="J11" s="6" t="s">
        <v>140</v>
      </c>
      <c r="K11" s="6" t="n">
        <v>0</v>
      </c>
      <c r="L11" s="6" t="n">
        <v>0</v>
      </c>
    </row>
    <row r="12" customFormat="false" ht="15" hidden="false" customHeight="false" outlineLevel="0" collapsed="false">
      <c r="A12" s="6" t="s">
        <v>220</v>
      </c>
      <c r="B12" s="6" t="s">
        <v>141</v>
      </c>
      <c r="C12" s="6" t="s">
        <v>136</v>
      </c>
      <c r="D12" s="6" t="s">
        <v>214</v>
      </c>
      <c r="E12" s="6" t="s">
        <v>142</v>
      </c>
      <c r="F12" s="20" t="n">
        <f aca="false">'Root Options'!E8*20%/4</f>
        <v>1.11279245100106</v>
      </c>
      <c r="G12" s="20" t="n">
        <f aca="false">'Root Options'!F8/4</f>
        <v>0.50047461808185</v>
      </c>
      <c r="H12" s="20" t="n">
        <f aca="false">'Root Options'!G8/4</f>
        <v>0.612317832919206</v>
      </c>
      <c r="I12" s="6" t="s">
        <v>139</v>
      </c>
      <c r="J12" s="6" t="s">
        <v>140</v>
      </c>
      <c r="K12" s="6" t="n">
        <v>0</v>
      </c>
      <c r="L12" s="6" t="n">
        <v>0</v>
      </c>
    </row>
    <row r="13" customFormat="false" ht="15" hidden="false" customHeight="false" outlineLevel="0" collapsed="false">
      <c r="A13" s="6" t="s">
        <v>221</v>
      </c>
      <c r="B13" s="6" t="s">
        <v>141</v>
      </c>
      <c r="C13" s="6" t="s">
        <v>136</v>
      </c>
      <c r="D13" s="6" t="s">
        <v>216</v>
      </c>
      <c r="E13" s="6" t="s">
        <v>142</v>
      </c>
      <c r="F13" s="20" t="n">
        <f aca="false">'Root Options'!E8*20%/4</f>
        <v>1.11279245100106</v>
      </c>
      <c r="G13" s="20" t="n">
        <f aca="false">'Root Options'!F8/4</f>
        <v>0.50047461808185</v>
      </c>
      <c r="H13" s="20" t="n">
        <f aca="false">'Root Options'!G8/4</f>
        <v>0.612317832919206</v>
      </c>
      <c r="I13" s="6" t="s">
        <v>139</v>
      </c>
      <c r="J13" s="6" t="s">
        <v>140</v>
      </c>
      <c r="K13" s="6" t="n">
        <v>0</v>
      </c>
      <c r="L13" s="6" t="n">
        <v>0</v>
      </c>
    </row>
    <row r="14" customFormat="false" ht="15" hidden="false" customHeight="false" outlineLevel="0" collapsed="false">
      <c r="A14" s="6" t="s">
        <v>222</v>
      </c>
      <c r="B14" s="6" t="s">
        <v>141</v>
      </c>
      <c r="C14" s="6" t="s">
        <v>136</v>
      </c>
      <c r="D14" s="6" t="s">
        <v>218</v>
      </c>
      <c r="E14" s="6" t="s">
        <v>142</v>
      </c>
      <c r="F14" s="20" t="n">
        <f aca="false">'Root Options'!E8*20%/4</f>
        <v>1.11279245100106</v>
      </c>
      <c r="G14" s="20" t="n">
        <f aca="false">'Root Options'!F8/4</f>
        <v>0.50047461808185</v>
      </c>
      <c r="H14" s="20" t="n">
        <f aca="false">'Root Options'!G8/4</f>
        <v>0.612317832919206</v>
      </c>
      <c r="I14" s="6" t="s">
        <v>139</v>
      </c>
      <c r="J14" s="6" t="s">
        <v>140</v>
      </c>
      <c r="K14" s="6" t="n">
        <v>0</v>
      </c>
      <c r="L14" s="6" t="n">
        <v>0</v>
      </c>
    </row>
    <row r="15" customFormat="false" ht="15" hidden="false" customHeight="false" outlineLevel="0" collapsed="false">
      <c r="A15" s="6" t="s">
        <v>223</v>
      </c>
      <c r="B15" s="6" t="s">
        <v>143</v>
      </c>
      <c r="C15" s="6" t="s">
        <v>136</v>
      </c>
      <c r="D15" s="6" t="s">
        <v>212</v>
      </c>
      <c r="E15" s="6" t="s">
        <v>144</v>
      </c>
      <c r="F15" s="20" t="n">
        <f aca="false">'Root Options'!E9*20%/4</f>
        <v>1.11279245100106</v>
      </c>
      <c r="G15" s="20" t="n">
        <f aca="false">'Root Options'!F9/4</f>
        <v>0.50047461808185</v>
      </c>
      <c r="H15" s="20" t="n">
        <f aca="false">'Root Options'!G9/4</f>
        <v>0.612317832919206</v>
      </c>
      <c r="I15" s="6" t="s">
        <v>139</v>
      </c>
      <c r="J15" s="6" t="s">
        <v>140</v>
      </c>
      <c r="K15" s="6" t="n">
        <v>0</v>
      </c>
      <c r="L15" s="6" t="n">
        <v>0</v>
      </c>
    </row>
    <row r="16" customFormat="false" ht="15" hidden="false" customHeight="false" outlineLevel="0" collapsed="false">
      <c r="A16" s="6" t="s">
        <v>224</v>
      </c>
      <c r="B16" s="6" t="s">
        <v>143</v>
      </c>
      <c r="C16" s="6" t="s">
        <v>136</v>
      </c>
      <c r="D16" s="6" t="s">
        <v>214</v>
      </c>
      <c r="E16" s="6" t="s">
        <v>144</v>
      </c>
      <c r="F16" s="20" t="n">
        <f aca="false">'Root Options'!E9*20%/4</f>
        <v>1.11279245100106</v>
      </c>
      <c r="G16" s="20" t="n">
        <f aca="false">'Root Options'!F9/4</f>
        <v>0.50047461808185</v>
      </c>
      <c r="H16" s="20" t="n">
        <f aca="false">'Root Options'!G9/4</f>
        <v>0.612317832919206</v>
      </c>
      <c r="I16" s="6" t="s">
        <v>139</v>
      </c>
      <c r="J16" s="6" t="s">
        <v>140</v>
      </c>
      <c r="K16" s="6" t="n">
        <v>0</v>
      </c>
      <c r="L16" s="6" t="n">
        <v>0</v>
      </c>
    </row>
    <row r="17" customFormat="false" ht="15" hidden="false" customHeight="false" outlineLevel="0" collapsed="false">
      <c r="A17" s="6" t="s">
        <v>225</v>
      </c>
      <c r="B17" s="6" t="s">
        <v>143</v>
      </c>
      <c r="C17" s="6" t="s">
        <v>136</v>
      </c>
      <c r="D17" s="6" t="s">
        <v>216</v>
      </c>
      <c r="E17" s="6" t="s">
        <v>144</v>
      </c>
      <c r="F17" s="20" t="n">
        <f aca="false">'Root Options'!E9*20%/4</f>
        <v>1.11279245100106</v>
      </c>
      <c r="G17" s="20" t="n">
        <f aca="false">'Root Options'!F9/4</f>
        <v>0.50047461808185</v>
      </c>
      <c r="H17" s="20" t="n">
        <f aca="false">'Root Options'!G9/4</f>
        <v>0.612317832919206</v>
      </c>
      <c r="I17" s="6" t="s">
        <v>139</v>
      </c>
      <c r="J17" s="6" t="s">
        <v>140</v>
      </c>
      <c r="K17" s="6" t="n">
        <v>0</v>
      </c>
      <c r="L17" s="6" t="n">
        <v>0</v>
      </c>
    </row>
    <row r="18" customFormat="false" ht="15" hidden="false" customHeight="false" outlineLevel="0" collapsed="false">
      <c r="A18" s="6" t="s">
        <v>226</v>
      </c>
      <c r="B18" s="6" t="s">
        <v>143</v>
      </c>
      <c r="C18" s="6" t="s">
        <v>136</v>
      </c>
      <c r="D18" s="6" t="s">
        <v>218</v>
      </c>
      <c r="E18" s="6" t="s">
        <v>144</v>
      </c>
      <c r="F18" s="20" t="n">
        <f aca="false">'Root Options'!E9*20%/4</f>
        <v>1.11279245100106</v>
      </c>
      <c r="G18" s="20" t="n">
        <f aca="false">'Root Options'!F9/4</f>
        <v>0.50047461808185</v>
      </c>
      <c r="H18" s="20" t="n">
        <f aca="false">'Root Options'!G9/4</f>
        <v>0.612317832919206</v>
      </c>
      <c r="I18" s="6" t="s">
        <v>139</v>
      </c>
      <c r="J18" s="6" t="s">
        <v>140</v>
      </c>
      <c r="K18" s="6" t="n">
        <v>0</v>
      </c>
      <c r="L18" s="6" t="n">
        <v>0</v>
      </c>
    </row>
    <row r="19" customFormat="false" ht="15" hidden="false" customHeight="false" outlineLevel="0" collapsed="false">
      <c r="A19" s="6" t="s">
        <v>227</v>
      </c>
      <c r="B19" s="6" t="s">
        <v>145</v>
      </c>
      <c r="C19" s="6" t="s">
        <v>136</v>
      </c>
      <c r="D19" s="6" t="s">
        <v>212</v>
      </c>
      <c r="E19" s="6" t="s">
        <v>146</v>
      </c>
      <c r="F19" s="20" t="n">
        <f aca="false">'Root Options'!E10*20%/4</f>
        <v>1.11279245100106</v>
      </c>
      <c r="G19" s="20" t="n">
        <f aca="false">'Root Options'!F10/4</f>
        <v>0.50047461808185</v>
      </c>
      <c r="H19" s="20" t="n">
        <f aca="false">'Root Options'!G10/4</f>
        <v>0.612317832919206</v>
      </c>
      <c r="I19" s="6" t="s">
        <v>139</v>
      </c>
      <c r="J19" s="6" t="s">
        <v>140</v>
      </c>
      <c r="K19" s="6" t="n">
        <v>0</v>
      </c>
      <c r="L19" s="6" t="n">
        <v>0</v>
      </c>
    </row>
    <row r="20" customFormat="false" ht="15" hidden="false" customHeight="false" outlineLevel="0" collapsed="false">
      <c r="A20" s="6" t="s">
        <v>228</v>
      </c>
      <c r="B20" s="6" t="s">
        <v>145</v>
      </c>
      <c r="C20" s="6" t="s">
        <v>136</v>
      </c>
      <c r="D20" s="6" t="s">
        <v>214</v>
      </c>
      <c r="E20" s="6" t="s">
        <v>146</v>
      </c>
      <c r="F20" s="20" t="n">
        <f aca="false">'Root Options'!E10*20%/4</f>
        <v>1.11279245100106</v>
      </c>
      <c r="G20" s="20" t="n">
        <f aca="false">'Root Options'!F10/4</f>
        <v>0.50047461808185</v>
      </c>
      <c r="H20" s="20" t="n">
        <f aca="false">'Root Options'!G10/4</f>
        <v>0.612317832919206</v>
      </c>
      <c r="I20" s="6" t="s">
        <v>139</v>
      </c>
      <c r="J20" s="6" t="s">
        <v>140</v>
      </c>
      <c r="K20" s="6" t="n">
        <v>0</v>
      </c>
      <c r="L20" s="6" t="n">
        <v>0</v>
      </c>
    </row>
    <row r="21" customFormat="false" ht="15" hidden="false" customHeight="false" outlineLevel="0" collapsed="false">
      <c r="A21" s="6" t="s">
        <v>229</v>
      </c>
      <c r="B21" s="6" t="s">
        <v>145</v>
      </c>
      <c r="C21" s="6" t="s">
        <v>136</v>
      </c>
      <c r="D21" s="6" t="s">
        <v>216</v>
      </c>
      <c r="E21" s="6" t="s">
        <v>146</v>
      </c>
      <c r="F21" s="20" t="n">
        <f aca="false">'Root Options'!E10*20%/4</f>
        <v>1.11279245100106</v>
      </c>
      <c r="G21" s="20" t="n">
        <f aca="false">'Root Options'!F10/4</f>
        <v>0.50047461808185</v>
      </c>
      <c r="H21" s="20" t="n">
        <f aca="false">'Root Options'!G10/4</f>
        <v>0.612317832919206</v>
      </c>
      <c r="I21" s="6" t="s">
        <v>139</v>
      </c>
      <c r="J21" s="6" t="s">
        <v>140</v>
      </c>
      <c r="K21" s="6" t="n">
        <v>0</v>
      </c>
      <c r="L21" s="6" t="n">
        <v>0</v>
      </c>
    </row>
    <row r="22" customFormat="false" ht="15" hidden="false" customHeight="false" outlineLevel="0" collapsed="false">
      <c r="A22" s="6" t="s">
        <v>230</v>
      </c>
      <c r="B22" s="6" t="s">
        <v>145</v>
      </c>
      <c r="C22" s="6" t="s">
        <v>136</v>
      </c>
      <c r="D22" s="6" t="s">
        <v>218</v>
      </c>
      <c r="E22" s="6" t="s">
        <v>146</v>
      </c>
      <c r="F22" s="20" t="n">
        <f aca="false">'Root Options'!E10*20%/4</f>
        <v>1.11279245100106</v>
      </c>
      <c r="G22" s="20" t="n">
        <f aca="false">'Root Options'!F10/4</f>
        <v>0.50047461808185</v>
      </c>
      <c r="H22" s="20" t="n">
        <f aca="false">'Root Options'!G10/4</f>
        <v>0.612317832919206</v>
      </c>
      <c r="I22" s="6" t="s">
        <v>139</v>
      </c>
      <c r="J22" s="6" t="s">
        <v>140</v>
      </c>
      <c r="K22" s="6" t="n">
        <v>0</v>
      </c>
      <c r="L22" s="6" t="n">
        <v>0</v>
      </c>
    </row>
    <row r="23" customFormat="false" ht="15" hidden="false" customHeight="false" outlineLevel="0" collapsed="false">
      <c r="A23" s="6" t="s">
        <v>231</v>
      </c>
      <c r="B23" s="6" t="s">
        <v>147</v>
      </c>
      <c r="C23" s="6" t="s">
        <v>148</v>
      </c>
      <c r="D23" s="6" t="s">
        <v>232</v>
      </c>
      <c r="E23" s="6" t="s">
        <v>150</v>
      </c>
      <c r="F23" s="20" t="n">
        <f aca="false">'Root Options'!E11*20%/4</f>
        <v>1.14840998273227</v>
      </c>
      <c r="G23" s="20" t="n">
        <f aca="false">'Root Options'!F11/4</f>
        <v>0.516493481773961</v>
      </c>
      <c r="H23" s="20" t="n">
        <f aca="false">'Root Options'!G11/4</f>
        <v>0.631916500958307</v>
      </c>
      <c r="I23" s="6" t="s">
        <v>139</v>
      </c>
      <c r="J23" s="6" t="s">
        <v>140</v>
      </c>
      <c r="K23" s="6" t="n">
        <v>0</v>
      </c>
      <c r="L23" s="6" t="n">
        <v>0</v>
      </c>
    </row>
    <row r="24" customFormat="false" ht="15" hidden="false" customHeight="false" outlineLevel="0" collapsed="false">
      <c r="A24" s="6" t="s">
        <v>233</v>
      </c>
      <c r="B24" s="6" t="s">
        <v>147</v>
      </c>
      <c r="C24" s="6" t="s">
        <v>148</v>
      </c>
      <c r="D24" s="6" t="s">
        <v>234</v>
      </c>
      <c r="E24" s="6" t="s">
        <v>150</v>
      </c>
      <c r="F24" s="20" t="n">
        <f aca="false">'Root Options'!E11*20%/4</f>
        <v>1.14840998273227</v>
      </c>
      <c r="G24" s="20" t="n">
        <f aca="false">'Root Options'!F11/4</f>
        <v>0.516493481773961</v>
      </c>
      <c r="H24" s="20" t="n">
        <f aca="false">'Root Options'!G11/4</f>
        <v>0.631916500958307</v>
      </c>
      <c r="I24" s="6" t="s">
        <v>139</v>
      </c>
      <c r="J24" s="6" t="s">
        <v>140</v>
      </c>
      <c r="K24" s="6" t="n">
        <v>0</v>
      </c>
      <c r="L24" s="6" t="n">
        <v>0</v>
      </c>
    </row>
    <row r="25" customFormat="false" ht="15" hidden="false" customHeight="false" outlineLevel="0" collapsed="false">
      <c r="A25" s="6" t="s">
        <v>235</v>
      </c>
      <c r="B25" s="6" t="s">
        <v>147</v>
      </c>
      <c r="C25" s="6" t="s">
        <v>148</v>
      </c>
      <c r="D25" s="6" t="s">
        <v>236</v>
      </c>
      <c r="E25" s="6" t="s">
        <v>150</v>
      </c>
      <c r="F25" s="20" t="n">
        <f aca="false">'Root Options'!E11*20%/4</f>
        <v>1.14840998273227</v>
      </c>
      <c r="G25" s="20" t="n">
        <f aca="false">'Root Options'!F11/4</f>
        <v>0.516493481773961</v>
      </c>
      <c r="H25" s="20" t="n">
        <f aca="false">'Root Options'!G11/4</f>
        <v>0.631916500958307</v>
      </c>
      <c r="I25" s="6" t="s">
        <v>139</v>
      </c>
      <c r="J25" s="6" t="s">
        <v>140</v>
      </c>
      <c r="K25" s="6" t="n">
        <v>0</v>
      </c>
      <c r="L25" s="6" t="n">
        <v>0</v>
      </c>
    </row>
    <row r="26" customFormat="false" ht="15" hidden="false" customHeight="false" outlineLevel="0" collapsed="false">
      <c r="A26" s="6" t="s">
        <v>237</v>
      </c>
      <c r="B26" s="6" t="s">
        <v>147</v>
      </c>
      <c r="C26" s="6" t="s">
        <v>148</v>
      </c>
      <c r="D26" s="6" t="s">
        <v>238</v>
      </c>
      <c r="E26" s="6" t="s">
        <v>150</v>
      </c>
      <c r="F26" s="20" t="n">
        <f aca="false">'Root Options'!E11*20%/4</f>
        <v>1.14840998273227</v>
      </c>
      <c r="G26" s="20" t="n">
        <f aca="false">'Root Options'!F11/4</f>
        <v>0.516493481773961</v>
      </c>
      <c r="H26" s="20" t="n">
        <f aca="false">'Root Options'!G11/4</f>
        <v>0.631916500958307</v>
      </c>
      <c r="I26" s="6" t="s">
        <v>139</v>
      </c>
      <c r="J26" s="6" t="s">
        <v>140</v>
      </c>
      <c r="K26" s="6" t="n">
        <v>0</v>
      </c>
      <c r="L26" s="6" t="n">
        <v>0</v>
      </c>
    </row>
    <row r="27" customFormat="false" ht="15" hidden="false" customHeight="false" outlineLevel="0" collapsed="false">
      <c r="A27" s="6" t="s">
        <v>239</v>
      </c>
      <c r="B27" s="6" t="s">
        <v>151</v>
      </c>
      <c r="C27" s="6" t="s">
        <v>148</v>
      </c>
      <c r="D27" s="6" t="s">
        <v>232</v>
      </c>
      <c r="E27" s="6" t="s">
        <v>152</v>
      </c>
      <c r="F27" s="20" t="n">
        <f aca="false">'Root Options'!E12*20%/4</f>
        <v>1.14840998273227</v>
      </c>
      <c r="G27" s="20" t="n">
        <f aca="false">'Root Options'!F12/4</f>
        <v>0.516493481773961</v>
      </c>
      <c r="H27" s="20" t="n">
        <f aca="false">'Root Options'!G12/4</f>
        <v>0.631916500958307</v>
      </c>
      <c r="I27" s="6" t="s">
        <v>139</v>
      </c>
      <c r="J27" s="6" t="s">
        <v>140</v>
      </c>
      <c r="K27" s="6" t="n">
        <v>0</v>
      </c>
      <c r="L27" s="6" t="n">
        <v>0</v>
      </c>
    </row>
    <row r="28" customFormat="false" ht="15" hidden="false" customHeight="false" outlineLevel="0" collapsed="false">
      <c r="A28" s="6" t="s">
        <v>240</v>
      </c>
      <c r="B28" s="6" t="s">
        <v>151</v>
      </c>
      <c r="C28" s="6" t="s">
        <v>148</v>
      </c>
      <c r="D28" s="6" t="s">
        <v>234</v>
      </c>
      <c r="E28" s="6" t="s">
        <v>152</v>
      </c>
      <c r="F28" s="20" t="n">
        <f aca="false">'Root Options'!E12*20%/4</f>
        <v>1.14840998273227</v>
      </c>
      <c r="G28" s="20" t="n">
        <f aca="false">'Root Options'!F12/4</f>
        <v>0.516493481773961</v>
      </c>
      <c r="H28" s="20" t="n">
        <f aca="false">'Root Options'!G12/4</f>
        <v>0.631916500958307</v>
      </c>
      <c r="I28" s="6" t="s">
        <v>139</v>
      </c>
      <c r="J28" s="6" t="s">
        <v>140</v>
      </c>
      <c r="K28" s="6" t="n">
        <v>0</v>
      </c>
      <c r="L28" s="6" t="n">
        <v>0</v>
      </c>
    </row>
    <row r="29" customFormat="false" ht="15" hidden="false" customHeight="false" outlineLevel="0" collapsed="false">
      <c r="A29" s="6" t="s">
        <v>241</v>
      </c>
      <c r="B29" s="6" t="s">
        <v>151</v>
      </c>
      <c r="C29" s="6" t="s">
        <v>148</v>
      </c>
      <c r="D29" s="6" t="s">
        <v>236</v>
      </c>
      <c r="E29" s="6" t="s">
        <v>152</v>
      </c>
      <c r="F29" s="20" t="n">
        <f aca="false">'Root Options'!E12*20%/4</f>
        <v>1.14840998273227</v>
      </c>
      <c r="G29" s="20" t="n">
        <f aca="false">'Root Options'!F12/4</f>
        <v>0.516493481773961</v>
      </c>
      <c r="H29" s="20" t="n">
        <f aca="false">'Root Options'!G12/4</f>
        <v>0.631916500958307</v>
      </c>
      <c r="I29" s="6" t="s">
        <v>139</v>
      </c>
      <c r="J29" s="6" t="s">
        <v>140</v>
      </c>
      <c r="K29" s="6" t="n">
        <v>0</v>
      </c>
      <c r="L29" s="6" t="n">
        <v>0</v>
      </c>
    </row>
    <row r="30" customFormat="false" ht="15" hidden="false" customHeight="false" outlineLevel="0" collapsed="false">
      <c r="A30" s="6" t="s">
        <v>242</v>
      </c>
      <c r="B30" s="6" t="s">
        <v>151</v>
      </c>
      <c r="C30" s="6" t="s">
        <v>148</v>
      </c>
      <c r="D30" s="6" t="s">
        <v>238</v>
      </c>
      <c r="E30" s="6" t="s">
        <v>152</v>
      </c>
      <c r="F30" s="20" t="n">
        <f aca="false">'Root Options'!E12*20%/4</f>
        <v>1.14840998273227</v>
      </c>
      <c r="G30" s="20" t="n">
        <f aca="false">'Root Options'!F12/4</f>
        <v>0.516493481773961</v>
      </c>
      <c r="H30" s="20" t="n">
        <f aca="false">'Root Options'!G12/4</f>
        <v>0.631916500958307</v>
      </c>
      <c r="I30" s="6" t="s">
        <v>139</v>
      </c>
      <c r="J30" s="6" t="s">
        <v>140</v>
      </c>
      <c r="K30" s="6" t="n">
        <v>0</v>
      </c>
      <c r="L30" s="6" t="n">
        <v>0</v>
      </c>
    </row>
    <row r="31" customFormat="false" ht="15" hidden="false" customHeight="false" outlineLevel="0" collapsed="false">
      <c r="A31" s="6" t="s">
        <v>243</v>
      </c>
      <c r="B31" s="6" t="s">
        <v>153</v>
      </c>
      <c r="C31" s="6" t="s">
        <v>148</v>
      </c>
      <c r="D31" s="6" t="s">
        <v>232</v>
      </c>
      <c r="E31" s="6" t="s">
        <v>154</v>
      </c>
      <c r="F31" s="20" t="n">
        <f aca="false">'Root Options'!E13*20%/4</f>
        <v>1.14840998273227</v>
      </c>
      <c r="G31" s="20" t="n">
        <f aca="false">'Root Options'!F13/4</f>
        <v>0.516493481773961</v>
      </c>
      <c r="H31" s="20" t="n">
        <f aca="false">'Root Options'!G13/4</f>
        <v>0.631916500958307</v>
      </c>
      <c r="I31" s="6" t="s">
        <v>139</v>
      </c>
      <c r="J31" s="6" t="s">
        <v>140</v>
      </c>
      <c r="K31" s="6" t="n">
        <v>0</v>
      </c>
      <c r="L31" s="6" t="n">
        <v>0</v>
      </c>
    </row>
    <row r="32" customFormat="false" ht="15" hidden="false" customHeight="false" outlineLevel="0" collapsed="false">
      <c r="A32" s="6" t="s">
        <v>244</v>
      </c>
      <c r="B32" s="6" t="s">
        <v>153</v>
      </c>
      <c r="C32" s="6" t="s">
        <v>148</v>
      </c>
      <c r="D32" s="6" t="s">
        <v>234</v>
      </c>
      <c r="E32" s="6" t="s">
        <v>154</v>
      </c>
      <c r="F32" s="20" t="n">
        <f aca="false">'Root Options'!E13*20%/4</f>
        <v>1.14840998273227</v>
      </c>
      <c r="G32" s="20" t="n">
        <f aca="false">'Root Options'!F13/4</f>
        <v>0.516493481773961</v>
      </c>
      <c r="H32" s="20" t="n">
        <f aca="false">'Root Options'!G13/4</f>
        <v>0.631916500958307</v>
      </c>
      <c r="I32" s="6" t="s">
        <v>139</v>
      </c>
      <c r="J32" s="6" t="s">
        <v>140</v>
      </c>
      <c r="K32" s="6" t="n">
        <v>0</v>
      </c>
      <c r="L32" s="6" t="n">
        <v>0</v>
      </c>
    </row>
    <row r="33" customFormat="false" ht="15" hidden="false" customHeight="false" outlineLevel="0" collapsed="false">
      <c r="A33" s="6" t="s">
        <v>245</v>
      </c>
      <c r="B33" s="6" t="s">
        <v>153</v>
      </c>
      <c r="C33" s="6" t="s">
        <v>148</v>
      </c>
      <c r="D33" s="6" t="s">
        <v>236</v>
      </c>
      <c r="E33" s="6" t="s">
        <v>154</v>
      </c>
      <c r="F33" s="20" t="n">
        <f aca="false">'Root Options'!E13*20%/4</f>
        <v>1.14840998273227</v>
      </c>
      <c r="G33" s="20" t="n">
        <f aca="false">'Root Options'!F13/4</f>
        <v>0.516493481773961</v>
      </c>
      <c r="H33" s="20" t="n">
        <f aca="false">'Root Options'!G13/4</f>
        <v>0.631916500958307</v>
      </c>
      <c r="I33" s="6" t="s">
        <v>139</v>
      </c>
      <c r="J33" s="6" t="s">
        <v>140</v>
      </c>
      <c r="K33" s="6" t="n">
        <v>0</v>
      </c>
      <c r="L33" s="6" t="n">
        <v>0</v>
      </c>
    </row>
    <row r="34" customFormat="false" ht="15" hidden="false" customHeight="false" outlineLevel="0" collapsed="false">
      <c r="A34" s="6" t="s">
        <v>246</v>
      </c>
      <c r="B34" s="6" t="s">
        <v>153</v>
      </c>
      <c r="C34" s="6" t="s">
        <v>148</v>
      </c>
      <c r="D34" s="6" t="s">
        <v>238</v>
      </c>
      <c r="E34" s="6" t="s">
        <v>154</v>
      </c>
      <c r="F34" s="20" t="n">
        <f aca="false">'Root Options'!E13*20%/4</f>
        <v>1.14840998273227</v>
      </c>
      <c r="G34" s="20" t="n">
        <f aca="false">'Root Options'!F13/4</f>
        <v>0.516493481773961</v>
      </c>
      <c r="H34" s="20" t="n">
        <f aca="false">'Root Options'!G13/4</f>
        <v>0.631916500958307</v>
      </c>
      <c r="I34" s="6" t="s">
        <v>139</v>
      </c>
      <c r="J34" s="6" t="s">
        <v>140</v>
      </c>
      <c r="K34" s="6" t="n">
        <v>0</v>
      </c>
      <c r="L34" s="6" t="n">
        <v>0</v>
      </c>
    </row>
    <row r="35" customFormat="false" ht="15" hidden="false" customHeight="false" outlineLevel="0" collapsed="false">
      <c r="A35" s="6" t="s">
        <v>247</v>
      </c>
      <c r="B35" s="6" t="s">
        <v>155</v>
      </c>
      <c r="C35" s="6" t="s">
        <v>148</v>
      </c>
      <c r="D35" s="6" t="s">
        <v>232</v>
      </c>
      <c r="E35" s="6" t="s">
        <v>156</v>
      </c>
      <c r="F35" s="20" t="n">
        <f aca="false">'Root Options'!E14*20%/4</f>
        <v>1.14840998273227</v>
      </c>
      <c r="G35" s="20" t="n">
        <f aca="false">'Root Options'!F14/4</f>
        <v>0.516493481773961</v>
      </c>
      <c r="H35" s="20" t="n">
        <f aca="false">'Root Options'!G14/4</f>
        <v>0.631916500958307</v>
      </c>
      <c r="I35" s="6" t="s">
        <v>139</v>
      </c>
      <c r="J35" s="6" t="s">
        <v>140</v>
      </c>
      <c r="K35" s="6" t="n">
        <v>0</v>
      </c>
      <c r="L35" s="6" t="n">
        <v>0</v>
      </c>
    </row>
    <row r="36" customFormat="false" ht="15" hidden="false" customHeight="false" outlineLevel="0" collapsed="false">
      <c r="A36" s="6" t="s">
        <v>248</v>
      </c>
      <c r="B36" s="6" t="s">
        <v>155</v>
      </c>
      <c r="C36" s="6" t="s">
        <v>148</v>
      </c>
      <c r="D36" s="6" t="s">
        <v>234</v>
      </c>
      <c r="E36" s="6" t="s">
        <v>156</v>
      </c>
      <c r="F36" s="20" t="n">
        <f aca="false">'Root Options'!E14*20%/4</f>
        <v>1.14840998273227</v>
      </c>
      <c r="G36" s="20" t="n">
        <f aca="false">'Root Options'!F14/4</f>
        <v>0.516493481773961</v>
      </c>
      <c r="H36" s="20" t="n">
        <f aca="false">'Root Options'!G14/4</f>
        <v>0.631916500958307</v>
      </c>
      <c r="I36" s="6" t="s">
        <v>139</v>
      </c>
      <c r="J36" s="6" t="s">
        <v>140</v>
      </c>
      <c r="K36" s="6" t="n">
        <v>0</v>
      </c>
      <c r="L36" s="6" t="n">
        <v>0</v>
      </c>
    </row>
    <row r="37" customFormat="false" ht="15" hidden="false" customHeight="false" outlineLevel="0" collapsed="false">
      <c r="A37" s="6" t="s">
        <v>249</v>
      </c>
      <c r="B37" s="6" t="s">
        <v>155</v>
      </c>
      <c r="C37" s="6" t="s">
        <v>148</v>
      </c>
      <c r="D37" s="6" t="s">
        <v>236</v>
      </c>
      <c r="E37" s="6" t="s">
        <v>156</v>
      </c>
      <c r="F37" s="20" t="n">
        <f aca="false">'Root Options'!E14*20%/4</f>
        <v>1.14840998273227</v>
      </c>
      <c r="G37" s="20" t="n">
        <f aca="false">'Root Options'!F14/4</f>
        <v>0.516493481773961</v>
      </c>
      <c r="H37" s="20" t="n">
        <f aca="false">'Root Options'!G14/4</f>
        <v>0.631916500958307</v>
      </c>
      <c r="I37" s="6" t="s">
        <v>139</v>
      </c>
      <c r="J37" s="6" t="s">
        <v>140</v>
      </c>
      <c r="K37" s="6" t="n">
        <v>0</v>
      </c>
      <c r="L37" s="6" t="n">
        <v>0</v>
      </c>
    </row>
    <row r="38" customFormat="false" ht="15" hidden="false" customHeight="false" outlineLevel="0" collapsed="false">
      <c r="A38" s="6" t="s">
        <v>250</v>
      </c>
      <c r="B38" s="6" t="s">
        <v>155</v>
      </c>
      <c r="C38" s="6" t="s">
        <v>148</v>
      </c>
      <c r="D38" s="6" t="s">
        <v>238</v>
      </c>
      <c r="E38" s="6" t="s">
        <v>156</v>
      </c>
      <c r="F38" s="20" t="n">
        <f aca="false">'Root Options'!E14*20%/4</f>
        <v>1.14840998273227</v>
      </c>
      <c r="G38" s="20" t="n">
        <f aca="false">'Root Options'!F14/4</f>
        <v>0.516493481773961</v>
      </c>
      <c r="H38" s="20" t="n">
        <f aca="false">'Root Options'!G14/4</f>
        <v>0.631916500958307</v>
      </c>
      <c r="I38" s="6" t="s">
        <v>139</v>
      </c>
      <c r="J38" s="6" t="s">
        <v>140</v>
      </c>
      <c r="K38" s="6" t="n">
        <v>0</v>
      </c>
      <c r="L38" s="6" t="n">
        <v>0</v>
      </c>
    </row>
    <row r="39" customFormat="false" ht="15" hidden="false" customHeight="false" outlineLevel="0" collapsed="false">
      <c r="A39" s="6" t="s">
        <v>251</v>
      </c>
      <c r="B39" s="6" t="s">
        <v>157</v>
      </c>
      <c r="C39" s="6" t="s">
        <v>158</v>
      </c>
      <c r="D39" s="6" t="s">
        <v>252</v>
      </c>
      <c r="E39" s="6" t="s">
        <v>160</v>
      </c>
      <c r="F39" s="20" t="n">
        <f aca="false">'Root Options'!E15*20%/4</f>
        <v>0.683099452156538</v>
      </c>
      <c r="G39" s="20" t="n">
        <f aca="false">'Root Options'!F15/4</f>
        <v>0.307221654067134</v>
      </c>
      <c r="H39" s="20" t="n">
        <f aca="false">'Root Options'!G15/4</f>
        <v>0.375877798089404</v>
      </c>
      <c r="I39" s="6" t="s">
        <v>139</v>
      </c>
      <c r="J39" s="6" t="s">
        <v>140</v>
      </c>
      <c r="K39" s="6" t="n">
        <v>0</v>
      </c>
      <c r="L39" s="6" t="n">
        <v>0</v>
      </c>
    </row>
    <row r="40" customFormat="false" ht="15" hidden="false" customHeight="false" outlineLevel="0" collapsed="false">
      <c r="A40" s="6" t="s">
        <v>253</v>
      </c>
      <c r="B40" s="6" t="s">
        <v>157</v>
      </c>
      <c r="C40" s="6" t="s">
        <v>158</v>
      </c>
      <c r="D40" s="6" t="s">
        <v>254</v>
      </c>
      <c r="E40" s="6" t="s">
        <v>160</v>
      </c>
      <c r="F40" s="20" t="n">
        <f aca="false">'Root Options'!E15*20%/4</f>
        <v>0.683099452156538</v>
      </c>
      <c r="G40" s="20" t="n">
        <f aca="false">'Root Options'!F15/4</f>
        <v>0.307221654067134</v>
      </c>
      <c r="H40" s="20" t="n">
        <f aca="false">'Root Options'!G15/4</f>
        <v>0.375877798089404</v>
      </c>
      <c r="I40" s="6" t="s">
        <v>139</v>
      </c>
      <c r="J40" s="6" t="s">
        <v>140</v>
      </c>
      <c r="K40" s="6" t="n">
        <v>0</v>
      </c>
      <c r="L40" s="6" t="n">
        <v>0</v>
      </c>
    </row>
    <row r="41" customFormat="false" ht="15" hidden="false" customHeight="false" outlineLevel="0" collapsed="false">
      <c r="A41" s="6" t="s">
        <v>255</v>
      </c>
      <c r="B41" s="6" t="s">
        <v>157</v>
      </c>
      <c r="C41" s="6" t="s">
        <v>158</v>
      </c>
      <c r="D41" s="6" t="s">
        <v>256</v>
      </c>
      <c r="E41" s="6" t="s">
        <v>160</v>
      </c>
      <c r="F41" s="20" t="n">
        <f aca="false">'Root Options'!E15*20%/4</f>
        <v>0.683099452156538</v>
      </c>
      <c r="G41" s="20" t="n">
        <f aca="false">'Root Options'!F15/4</f>
        <v>0.307221654067134</v>
      </c>
      <c r="H41" s="20" t="n">
        <f aca="false">'Root Options'!G15/4</f>
        <v>0.375877798089404</v>
      </c>
      <c r="I41" s="6" t="s">
        <v>139</v>
      </c>
      <c r="J41" s="6" t="s">
        <v>140</v>
      </c>
      <c r="K41" s="6" t="n">
        <v>0</v>
      </c>
      <c r="L41" s="6" t="n">
        <v>0</v>
      </c>
    </row>
    <row r="42" customFormat="false" ht="15" hidden="false" customHeight="false" outlineLevel="0" collapsed="false">
      <c r="A42" s="6" t="s">
        <v>257</v>
      </c>
      <c r="B42" s="6" t="s">
        <v>157</v>
      </c>
      <c r="C42" s="6" t="s">
        <v>158</v>
      </c>
      <c r="D42" s="6" t="s">
        <v>258</v>
      </c>
      <c r="E42" s="6" t="s">
        <v>160</v>
      </c>
      <c r="F42" s="20" t="n">
        <f aca="false">'Root Options'!E15*20%/4</f>
        <v>0.683099452156538</v>
      </c>
      <c r="G42" s="20" t="n">
        <f aca="false">'Root Options'!F15/4</f>
        <v>0.307221654067134</v>
      </c>
      <c r="H42" s="20" t="n">
        <f aca="false">'Root Options'!G15/4</f>
        <v>0.375877798089404</v>
      </c>
      <c r="I42" s="6" t="s">
        <v>139</v>
      </c>
      <c r="J42" s="6" t="s">
        <v>140</v>
      </c>
      <c r="K42" s="6" t="n">
        <v>0</v>
      </c>
      <c r="L42" s="6" t="n">
        <v>0</v>
      </c>
    </row>
    <row r="43" customFormat="false" ht="15" hidden="false" customHeight="false" outlineLevel="0" collapsed="false">
      <c r="A43" s="6" t="s">
        <v>259</v>
      </c>
      <c r="B43" s="6" t="s">
        <v>161</v>
      </c>
      <c r="C43" s="6" t="s">
        <v>158</v>
      </c>
      <c r="D43" s="6" t="s">
        <v>252</v>
      </c>
      <c r="E43" s="6" t="s">
        <v>162</v>
      </c>
      <c r="F43" s="20" t="n">
        <f aca="false">'Root Options'!E16*20%/4</f>
        <v>0.683099452156538</v>
      </c>
      <c r="G43" s="20" t="n">
        <f aca="false">'Root Options'!F16/4</f>
        <v>0.307221654067134</v>
      </c>
      <c r="H43" s="20" t="n">
        <f aca="false">'Root Options'!G16/4</f>
        <v>0.375877798089404</v>
      </c>
      <c r="I43" s="6" t="s">
        <v>139</v>
      </c>
      <c r="J43" s="6" t="s">
        <v>140</v>
      </c>
      <c r="K43" s="6" t="n">
        <v>0</v>
      </c>
      <c r="L43" s="6" t="n">
        <v>0</v>
      </c>
    </row>
    <row r="44" customFormat="false" ht="15" hidden="false" customHeight="false" outlineLevel="0" collapsed="false">
      <c r="A44" s="6" t="s">
        <v>260</v>
      </c>
      <c r="B44" s="6" t="s">
        <v>161</v>
      </c>
      <c r="C44" s="6" t="s">
        <v>158</v>
      </c>
      <c r="D44" s="6" t="s">
        <v>254</v>
      </c>
      <c r="E44" s="6" t="s">
        <v>162</v>
      </c>
      <c r="F44" s="20" t="n">
        <f aca="false">'Root Options'!E16*20%/4</f>
        <v>0.683099452156538</v>
      </c>
      <c r="G44" s="20" t="n">
        <f aca="false">'Root Options'!F16/4</f>
        <v>0.307221654067134</v>
      </c>
      <c r="H44" s="20" t="n">
        <f aca="false">'Root Options'!G16/4</f>
        <v>0.375877798089404</v>
      </c>
      <c r="I44" s="6" t="s">
        <v>139</v>
      </c>
      <c r="J44" s="6" t="s">
        <v>140</v>
      </c>
      <c r="K44" s="6" t="n">
        <v>0</v>
      </c>
      <c r="L44" s="6" t="n">
        <v>0</v>
      </c>
    </row>
    <row r="45" customFormat="false" ht="15" hidden="false" customHeight="false" outlineLevel="0" collapsed="false">
      <c r="A45" s="6" t="s">
        <v>261</v>
      </c>
      <c r="B45" s="6" t="s">
        <v>161</v>
      </c>
      <c r="C45" s="6" t="s">
        <v>158</v>
      </c>
      <c r="D45" s="6" t="s">
        <v>256</v>
      </c>
      <c r="E45" s="6" t="s">
        <v>162</v>
      </c>
      <c r="F45" s="20" t="n">
        <f aca="false">'Root Options'!E16*20%/4</f>
        <v>0.683099452156538</v>
      </c>
      <c r="G45" s="20" t="n">
        <f aca="false">'Root Options'!F16/4</f>
        <v>0.307221654067134</v>
      </c>
      <c r="H45" s="20" t="n">
        <f aca="false">'Root Options'!G16/4</f>
        <v>0.375877798089404</v>
      </c>
      <c r="I45" s="6" t="s">
        <v>139</v>
      </c>
      <c r="J45" s="6" t="s">
        <v>140</v>
      </c>
      <c r="K45" s="6" t="n">
        <v>0</v>
      </c>
      <c r="L45" s="6" t="n">
        <v>0</v>
      </c>
    </row>
    <row r="46" customFormat="false" ht="15" hidden="false" customHeight="false" outlineLevel="0" collapsed="false">
      <c r="A46" s="6" t="s">
        <v>262</v>
      </c>
      <c r="B46" s="6" t="s">
        <v>161</v>
      </c>
      <c r="C46" s="6" t="s">
        <v>158</v>
      </c>
      <c r="D46" s="6" t="s">
        <v>258</v>
      </c>
      <c r="E46" s="6" t="s">
        <v>162</v>
      </c>
      <c r="F46" s="20" t="n">
        <f aca="false">'Root Options'!E16*20%/4</f>
        <v>0.683099452156538</v>
      </c>
      <c r="G46" s="20" t="n">
        <f aca="false">'Root Options'!F16/4</f>
        <v>0.307221654067134</v>
      </c>
      <c r="H46" s="20" t="n">
        <f aca="false">'Root Options'!G16/4</f>
        <v>0.375877798089404</v>
      </c>
      <c r="I46" s="6" t="s">
        <v>139</v>
      </c>
      <c r="J46" s="6" t="s">
        <v>140</v>
      </c>
      <c r="K46" s="6" t="n">
        <v>0</v>
      </c>
      <c r="L46" s="6" t="n">
        <v>0</v>
      </c>
    </row>
    <row r="47" customFormat="false" ht="15" hidden="false" customHeight="false" outlineLevel="0" collapsed="false">
      <c r="A47" s="6" t="s">
        <v>263</v>
      </c>
      <c r="B47" s="6" t="s">
        <v>163</v>
      </c>
      <c r="C47" s="6" t="s">
        <v>158</v>
      </c>
      <c r="D47" s="6" t="s">
        <v>252</v>
      </c>
      <c r="E47" s="6" t="s">
        <v>164</v>
      </c>
      <c r="F47" s="20" t="n">
        <f aca="false">'Root Options'!E17*20%/4</f>
        <v>0.683099452156538</v>
      </c>
      <c r="G47" s="20" t="n">
        <f aca="false">'Root Options'!F17/4</f>
        <v>0.307221654067134</v>
      </c>
      <c r="H47" s="20" t="n">
        <f aca="false">'Root Options'!G17/4</f>
        <v>0.375877798089404</v>
      </c>
      <c r="I47" s="6" t="s">
        <v>139</v>
      </c>
      <c r="J47" s="6" t="s">
        <v>140</v>
      </c>
      <c r="K47" s="6" t="n">
        <v>0</v>
      </c>
      <c r="L47" s="6" t="n">
        <v>0</v>
      </c>
    </row>
    <row r="48" customFormat="false" ht="15" hidden="false" customHeight="false" outlineLevel="0" collapsed="false">
      <c r="A48" s="6" t="s">
        <v>264</v>
      </c>
      <c r="B48" s="6" t="s">
        <v>163</v>
      </c>
      <c r="C48" s="6" t="s">
        <v>158</v>
      </c>
      <c r="D48" s="6" t="s">
        <v>254</v>
      </c>
      <c r="E48" s="6" t="s">
        <v>164</v>
      </c>
      <c r="F48" s="20" t="n">
        <f aca="false">'Root Options'!E17*20%/4</f>
        <v>0.683099452156538</v>
      </c>
      <c r="G48" s="20" t="n">
        <f aca="false">'Root Options'!F17/4</f>
        <v>0.307221654067134</v>
      </c>
      <c r="H48" s="20" t="n">
        <f aca="false">'Root Options'!G17/4</f>
        <v>0.375877798089404</v>
      </c>
      <c r="I48" s="6" t="s">
        <v>139</v>
      </c>
      <c r="J48" s="6" t="s">
        <v>140</v>
      </c>
      <c r="K48" s="6" t="n">
        <v>0</v>
      </c>
      <c r="L48" s="6" t="n">
        <v>0</v>
      </c>
    </row>
    <row r="49" customFormat="false" ht="15" hidden="false" customHeight="false" outlineLevel="0" collapsed="false">
      <c r="A49" s="6" t="s">
        <v>265</v>
      </c>
      <c r="B49" s="6" t="s">
        <v>163</v>
      </c>
      <c r="C49" s="6" t="s">
        <v>158</v>
      </c>
      <c r="D49" s="6" t="s">
        <v>256</v>
      </c>
      <c r="E49" s="6" t="s">
        <v>164</v>
      </c>
      <c r="F49" s="20" t="n">
        <f aca="false">'Root Options'!E17*20%/4</f>
        <v>0.683099452156538</v>
      </c>
      <c r="G49" s="20" t="n">
        <f aca="false">'Root Options'!F17/4</f>
        <v>0.307221654067134</v>
      </c>
      <c r="H49" s="20" t="n">
        <f aca="false">'Root Options'!G17/4</f>
        <v>0.375877798089404</v>
      </c>
      <c r="I49" s="6" t="s">
        <v>139</v>
      </c>
      <c r="J49" s="6" t="s">
        <v>140</v>
      </c>
      <c r="K49" s="6" t="n">
        <v>0</v>
      </c>
      <c r="L49" s="6" t="n">
        <v>0</v>
      </c>
    </row>
    <row r="50" customFormat="false" ht="15" hidden="false" customHeight="false" outlineLevel="0" collapsed="false">
      <c r="A50" s="6" t="s">
        <v>266</v>
      </c>
      <c r="B50" s="6" t="s">
        <v>163</v>
      </c>
      <c r="C50" s="6" t="s">
        <v>158</v>
      </c>
      <c r="D50" s="6" t="s">
        <v>258</v>
      </c>
      <c r="E50" s="6" t="s">
        <v>164</v>
      </c>
      <c r="F50" s="20" t="n">
        <f aca="false">'Root Options'!E17*20%/4</f>
        <v>0.683099452156538</v>
      </c>
      <c r="G50" s="20" t="n">
        <f aca="false">'Root Options'!F17/4</f>
        <v>0.307221654067134</v>
      </c>
      <c r="H50" s="20" t="n">
        <f aca="false">'Root Options'!G17/4</f>
        <v>0.375877798089404</v>
      </c>
      <c r="I50" s="6" t="s">
        <v>139</v>
      </c>
      <c r="J50" s="6" t="s">
        <v>140</v>
      </c>
      <c r="K50" s="6" t="n">
        <v>0</v>
      </c>
      <c r="L50" s="6" t="n">
        <v>0</v>
      </c>
    </row>
    <row r="51" customFormat="false" ht="15" hidden="false" customHeight="false" outlineLevel="0" collapsed="false">
      <c r="A51" s="6" t="s">
        <v>267</v>
      </c>
      <c r="B51" s="6" t="s">
        <v>165</v>
      </c>
      <c r="C51" s="6" t="s">
        <v>158</v>
      </c>
      <c r="D51" s="6" t="s">
        <v>252</v>
      </c>
      <c r="E51" s="6" t="s">
        <v>166</v>
      </c>
      <c r="F51" s="20" t="n">
        <f aca="false">'Root Options'!E18*20%/4</f>
        <v>0.683099452156538</v>
      </c>
      <c r="G51" s="20" t="n">
        <f aca="false">'Root Options'!F18/4</f>
        <v>0.307221654067134</v>
      </c>
      <c r="H51" s="20" t="n">
        <f aca="false">'Root Options'!G18/4</f>
        <v>0.375877798089404</v>
      </c>
      <c r="I51" s="6" t="s">
        <v>139</v>
      </c>
      <c r="J51" s="6" t="s">
        <v>140</v>
      </c>
      <c r="K51" s="6" t="n">
        <v>0</v>
      </c>
      <c r="L51" s="6" t="n">
        <v>0</v>
      </c>
    </row>
    <row r="52" customFormat="false" ht="15" hidden="false" customHeight="false" outlineLevel="0" collapsed="false">
      <c r="A52" s="6" t="s">
        <v>268</v>
      </c>
      <c r="B52" s="6" t="s">
        <v>165</v>
      </c>
      <c r="C52" s="6" t="s">
        <v>158</v>
      </c>
      <c r="D52" s="6" t="s">
        <v>254</v>
      </c>
      <c r="E52" s="6" t="s">
        <v>166</v>
      </c>
      <c r="F52" s="20" t="n">
        <f aca="false">'Root Options'!E18*20%/4</f>
        <v>0.683099452156538</v>
      </c>
      <c r="G52" s="20" t="n">
        <f aca="false">'Root Options'!F18/4</f>
        <v>0.307221654067134</v>
      </c>
      <c r="H52" s="20" t="n">
        <f aca="false">'Root Options'!G18/4</f>
        <v>0.375877798089404</v>
      </c>
      <c r="I52" s="6" t="s">
        <v>139</v>
      </c>
      <c r="J52" s="6" t="s">
        <v>140</v>
      </c>
      <c r="K52" s="6" t="n">
        <v>0</v>
      </c>
      <c r="L52" s="6" t="n">
        <v>0</v>
      </c>
    </row>
    <row r="53" customFormat="false" ht="15" hidden="false" customHeight="false" outlineLevel="0" collapsed="false">
      <c r="A53" s="6" t="s">
        <v>269</v>
      </c>
      <c r="B53" s="6" t="s">
        <v>165</v>
      </c>
      <c r="C53" s="6" t="s">
        <v>158</v>
      </c>
      <c r="D53" s="6" t="s">
        <v>256</v>
      </c>
      <c r="E53" s="6" t="s">
        <v>166</v>
      </c>
      <c r="F53" s="20" t="n">
        <f aca="false">'Root Options'!E18*20%/4</f>
        <v>0.683099452156538</v>
      </c>
      <c r="G53" s="20" t="n">
        <f aca="false">'Root Options'!F18/4</f>
        <v>0.307221654067134</v>
      </c>
      <c r="H53" s="20" t="n">
        <f aca="false">'Root Options'!G18/4</f>
        <v>0.375877798089404</v>
      </c>
      <c r="I53" s="6" t="s">
        <v>139</v>
      </c>
      <c r="J53" s="6" t="s">
        <v>140</v>
      </c>
      <c r="K53" s="6" t="n">
        <v>0</v>
      </c>
      <c r="L53" s="6" t="n">
        <v>0</v>
      </c>
    </row>
    <row r="54" customFormat="false" ht="15" hidden="false" customHeight="false" outlineLevel="0" collapsed="false">
      <c r="A54" s="6" t="s">
        <v>270</v>
      </c>
      <c r="B54" s="6" t="s">
        <v>165</v>
      </c>
      <c r="C54" s="6" t="s">
        <v>158</v>
      </c>
      <c r="D54" s="6" t="s">
        <v>258</v>
      </c>
      <c r="E54" s="6" t="s">
        <v>166</v>
      </c>
      <c r="F54" s="20" t="n">
        <f aca="false">'Root Options'!E18*20%/4</f>
        <v>0.683099452156538</v>
      </c>
      <c r="G54" s="20" t="n">
        <f aca="false">'Root Options'!F18/4</f>
        <v>0.307221654067134</v>
      </c>
      <c r="H54" s="20" t="n">
        <f aca="false">'Root Options'!G18/4</f>
        <v>0.375877798089404</v>
      </c>
      <c r="I54" s="6" t="s">
        <v>139</v>
      </c>
      <c r="J54" s="6" t="s">
        <v>140</v>
      </c>
      <c r="K54" s="6" t="n">
        <v>0</v>
      </c>
      <c r="L54" s="6" t="n">
        <v>0</v>
      </c>
    </row>
    <row r="55" customFormat="false" ht="15" hidden="false" customHeight="false" outlineLevel="0" collapsed="false">
      <c r="A55" s="6" t="s">
        <v>271</v>
      </c>
      <c r="B55" s="6" t="s">
        <v>167</v>
      </c>
      <c r="C55" s="6" t="s">
        <v>168</v>
      </c>
      <c r="D55" s="6" t="s">
        <v>272</v>
      </c>
      <c r="E55" s="6" t="s">
        <v>170</v>
      </c>
      <c r="F55" s="20" t="n">
        <f aca="false">'Root Options'!E19*20%/4</f>
        <v>0.899412819320564</v>
      </c>
      <c r="G55" s="20" t="n">
        <f aca="false">'Root Options'!F19/4</f>
        <v>0.899412819320564</v>
      </c>
      <c r="H55" s="20" t="n">
        <f aca="false">'Root Options'!G19/4</f>
        <v>0</v>
      </c>
      <c r="I55" s="6" t="s">
        <v>139</v>
      </c>
      <c r="J55" s="6" t="s">
        <v>140</v>
      </c>
      <c r="K55" s="6" t="n">
        <v>0</v>
      </c>
      <c r="L55" s="6" t="n">
        <v>0</v>
      </c>
    </row>
    <row r="56" customFormat="false" ht="15" hidden="false" customHeight="false" outlineLevel="0" collapsed="false">
      <c r="A56" s="6" t="s">
        <v>273</v>
      </c>
      <c r="B56" s="6" t="s">
        <v>167</v>
      </c>
      <c r="C56" s="6" t="s">
        <v>168</v>
      </c>
      <c r="D56" s="6" t="s">
        <v>274</v>
      </c>
      <c r="E56" s="6" t="s">
        <v>170</v>
      </c>
      <c r="F56" s="20" t="n">
        <f aca="false">'Root Options'!E19*20%/4</f>
        <v>0.899412819320564</v>
      </c>
      <c r="G56" s="20" t="n">
        <f aca="false">'Root Options'!F19/4</f>
        <v>0.899412819320564</v>
      </c>
      <c r="H56" s="20" t="n">
        <f aca="false">'Root Options'!G19/4</f>
        <v>0</v>
      </c>
      <c r="I56" s="6" t="s">
        <v>139</v>
      </c>
      <c r="J56" s="6" t="s">
        <v>140</v>
      </c>
      <c r="K56" s="6" t="n">
        <v>0</v>
      </c>
      <c r="L56" s="6" t="n">
        <v>0</v>
      </c>
    </row>
    <row r="57" customFormat="false" ht="15" hidden="false" customHeight="false" outlineLevel="0" collapsed="false">
      <c r="A57" s="6" t="s">
        <v>275</v>
      </c>
      <c r="B57" s="6" t="s">
        <v>167</v>
      </c>
      <c r="C57" s="6" t="s">
        <v>168</v>
      </c>
      <c r="D57" s="6" t="s">
        <v>276</v>
      </c>
      <c r="E57" s="6" t="s">
        <v>170</v>
      </c>
      <c r="F57" s="20" t="n">
        <f aca="false">'Root Options'!E19*20%/4</f>
        <v>0.899412819320564</v>
      </c>
      <c r="G57" s="20" t="n">
        <f aca="false">'Root Options'!F19/4</f>
        <v>0.899412819320564</v>
      </c>
      <c r="H57" s="20" t="n">
        <f aca="false">'Root Options'!G19/4</f>
        <v>0</v>
      </c>
      <c r="I57" s="6" t="s">
        <v>139</v>
      </c>
      <c r="J57" s="6" t="s">
        <v>140</v>
      </c>
      <c r="K57" s="6" t="n">
        <v>0</v>
      </c>
      <c r="L57" s="6" t="n">
        <v>0</v>
      </c>
    </row>
    <row r="58" customFormat="false" ht="15" hidden="false" customHeight="false" outlineLevel="0" collapsed="false">
      <c r="A58" s="6" t="s">
        <v>277</v>
      </c>
      <c r="B58" s="6" t="s">
        <v>167</v>
      </c>
      <c r="C58" s="6" t="s">
        <v>168</v>
      </c>
      <c r="D58" s="6" t="s">
        <v>278</v>
      </c>
      <c r="E58" s="6" t="s">
        <v>170</v>
      </c>
      <c r="F58" s="20" t="n">
        <f aca="false">'Root Options'!E19*20%/4</f>
        <v>0.899412819320564</v>
      </c>
      <c r="G58" s="20" t="n">
        <f aca="false">'Root Options'!F19/4</f>
        <v>0.899412819320564</v>
      </c>
      <c r="H58" s="20" t="n">
        <f aca="false">'Root Options'!G19/4</f>
        <v>0</v>
      </c>
      <c r="I58" s="6" t="s">
        <v>139</v>
      </c>
      <c r="J58" s="6" t="s">
        <v>140</v>
      </c>
      <c r="K58" s="6" t="n">
        <v>0</v>
      </c>
      <c r="L58" s="6" t="n">
        <v>0</v>
      </c>
    </row>
    <row r="59" customFormat="false" ht="15" hidden="false" customHeight="false" outlineLevel="0" collapsed="false">
      <c r="A59" s="6" t="s">
        <v>279</v>
      </c>
      <c r="B59" s="6" t="s">
        <v>171</v>
      </c>
      <c r="C59" s="6" t="s">
        <v>168</v>
      </c>
      <c r="D59" s="6" t="s">
        <v>272</v>
      </c>
      <c r="E59" s="6" t="s">
        <v>172</v>
      </c>
      <c r="F59" s="20" t="n">
        <f aca="false">'Root Options'!E20*20%/4</f>
        <v>0.899412819320564</v>
      </c>
      <c r="G59" s="20" t="n">
        <f aca="false">'Root Options'!F20/4</f>
        <v>0.899412819320564</v>
      </c>
      <c r="H59" s="20" t="n">
        <f aca="false">'Root Options'!G20/4</f>
        <v>0</v>
      </c>
      <c r="I59" s="6" t="s">
        <v>139</v>
      </c>
      <c r="J59" s="6" t="s">
        <v>140</v>
      </c>
      <c r="K59" s="6" t="n">
        <v>0</v>
      </c>
      <c r="L59" s="6" t="n">
        <v>0</v>
      </c>
    </row>
    <row r="60" customFormat="false" ht="15" hidden="false" customHeight="false" outlineLevel="0" collapsed="false">
      <c r="A60" s="6" t="s">
        <v>280</v>
      </c>
      <c r="B60" s="6" t="s">
        <v>171</v>
      </c>
      <c r="C60" s="6" t="s">
        <v>168</v>
      </c>
      <c r="D60" s="6" t="s">
        <v>274</v>
      </c>
      <c r="E60" s="6" t="s">
        <v>172</v>
      </c>
      <c r="F60" s="20" t="n">
        <f aca="false">'Root Options'!E20*20%/4</f>
        <v>0.899412819320564</v>
      </c>
      <c r="G60" s="20" t="n">
        <f aca="false">'Root Options'!F20/4</f>
        <v>0.899412819320564</v>
      </c>
      <c r="H60" s="20" t="n">
        <f aca="false">'Root Options'!G20/4</f>
        <v>0</v>
      </c>
      <c r="I60" s="6" t="s">
        <v>139</v>
      </c>
      <c r="J60" s="6" t="s">
        <v>140</v>
      </c>
      <c r="K60" s="6" t="n">
        <v>0</v>
      </c>
      <c r="L60" s="6" t="n">
        <v>0</v>
      </c>
    </row>
    <row r="61" customFormat="false" ht="15" hidden="false" customHeight="false" outlineLevel="0" collapsed="false">
      <c r="A61" s="6" t="s">
        <v>281</v>
      </c>
      <c r="B61" s="6" t="s">
        <v>171</v>
      </c>
      <c r="C61" s="6" t="s">
        <v>168</v>
      </c>
      <c r="D61" s="6" t="s">
        <v>276</v>
      </c>
      <c r="E61" s="6" t="s">
        <v>172</v>
      </c>
      <c r="F61" s="20" t="n">
        <f aca="false">'Root Options'!E20*20%/4</f>
        <v>0.899412819320564</v>
      </c>
      <c r="G61" s="20" t="n">
        <f aca="false">'Root Options'!F20/4</f>
        <v>0.899412819320564</v>
      </c>
      <c r="H61" s="20" t="n">
        <f aca="false">'Root Options'!G20/4</f>
        <v>0</v>
      </c>
      <c r="I61" s="6" t="s">
        <v>139</v>
      </c>
      <c r="J61" s="6" t="s">
        <v>140</v>
      </c>
      <c r="K61" s="6" t="n">
        <v>0</v>
      </c>
      <c r="L61" s="6" t="n">
        <v>0</v>
      </c>
    </row>
    <row r="62" customFormat="false" ht="15" hidden="false" customHeight="false" outlineLevel="0" collapsed="false">
      <c r="A62" s="6" t="s">
        <v>282</v>
      </c>
      <c r="B62" s="6" t="s">
        <v>171</v>
      </c>
      <c r="C62" s="6" t="s">
        <v>168</v>
      </c>
      <c r="D62" s="6" t="s">
        <v>278</v>
      </c>
      <c r="E62" s="6" t="s">
        <v>172</v>
      </c>
      <c r="F62" s="20" t="n">
        <f aca="false">'Root Options'!E20*20%/4</f>
        <v>0.899412819320564</v>
      </c>
      <c r="G62" s="20" t="n">
        <f aca="false">'Root Options'!F20/4</f>
        <v>0.899412819320564</v>
      </c>
      <c r="H62" s="20" t="n">
        <f aca="false">'Root Options'!G20/4</f>
        <v>0</v>
      </c>
      <c r="I62" s="6" t="s">
        <v>139</v>
      </c>
      <c r="J62" s="6" t="s">
        <v>140</v>
      </c>
      <c r="K62" s="6" t="n">
        <v>0</v>
      </c>
      <c r="L62" s="6" t="n">
        <v>0</v>
      </c>
    </row>
    <row r="63" customFormat="false" ht="15" hidden="false" customHeight="false" outlineLevel="0" collapsed="false">
      <c r="A63" s="6" t="s">
        <v>283</v>
      </c>
      <c r="B63" s="6" t="s">
        <v>173</v>
      </c>
      <c r="C63" s="6" t="s">
        <v>168</v>
      </c>
      <c r="D63" s="6" t="s">
        <v>272</v>
      </c>
      <c r="E63" s="6" t="s">
        <v>174</v>
      </c>
      <c r="F63" s="20" t="n">
        <f aca="false">'Root Options'!E21*20%/4</f>
        <v>0.899412819320564</v>
      </c>
      <c r="G63" s="20" t="n">
        <f aca="false">'Root Options'!F21/4</f>
        <v>0.899412819320564</v>
      </c>
      <c r="H63" s="20" t="n">
        <f aca="false">'Root Options'!G21/4</f>
        <v>0</v>
      </c>
      <c r="I63" s="6" t="s">
        <v>139</v>
      </c>
      <c r="J63" s="6" t="s">
        <v>140</v>
      </c>
      <c r="K63" s="6" t="n">
        <v>0</v>
      </c>
      <c r="L63" s="6" t="n">
        <v>0</v>
      </c>
    </row>
    <row r="64" customFormat="false" ht="15" hidden="false" customHeight="false" outlineLevel="0" collapsed="false">
      <c r="A64" s="6" t="s">
        <v>284</v>
      </c>
      <c r="B64" s="6" t="s">
        <v>173</v>
      </c>
      <c r="C64" s="6" t="s">
        <v>168</v>
      </c>
      <c r="D64" s="6" t="s">
        <v>274</v>
      </c>
      <c r="E64" s="6" t="s">
        <v>174</v>
      </c>
      <c r="F64" s="20" t="n">
        <f aca="false">'Root Options'!E21*20%/4</f>
        <v>0.899412819320564</v>
      </c>
      <c r="G64" s="20" t="n">
        <f aca="false">'Root Options'!F21/4</f>
        <v>0.899412819320564</v>
      </c>
      <c r="H64" s="20" t="n">
        <f aca="false">'Root Options'!G21/4</f>
        <v>0</v>
      </c>
      <c r="I64" s="6" t="s">
        <v>139</v>
      </c>
      <c r="J64" s="6" t="s">
        <v>140</v>
      </c>
      <c r="K64" s="6" t="n">
        <v>0</v>
      </c>
      <c r="L64" s="6" t="n">
        <v>0</v>
      </c>
    </row>
    <row r="65" customFormat="false" ht="15" hidden="false" customHeight="false" outlineLevel="0" collapsed="false">
      <c r="A65" s="6" t="s">
        <v>285</v>
      </c>
      <c r="B65" s="6" t="s">
        <v>173</v>
      </c>
      <c r="C65" s="6" t="s">
        <v>168</v>
      </c>
      <c r="D65" s="6" t="s">
        <v>276</v>
      </c>
      <c r="E65" s="6" t="s">
        <v>174</v>
      </c>
      <c r="F65" s="20" t="n">
        <f aca="false">'Root Options'!E21*20%/4</f>
        <v>0.899412819320564</v>
      </c>
      <c r="G65" s="20" t="n">
        <f aca="false">'Root Options'!F21/4</f>
        <v>0.899412819320564</v>
      </c>
      <c r="H65" s="20" t="n">
        <f aca="false">'Root Options'!G21/4</f>
        <v>0</v>
      </c>
      <c r="I65" s="6" t="s">
        <v>139</v>
      </c>
      <c r="J65" s="6" t="s">
        <v>140</v>
      </c>
      <c r="K65" s="6" t="n">
        <v>0</v>
      </c>
      <c r="L65" s="6" t="n">
        <v>0</v>
      </c>
    </row>
    <row r="66" customFormat="false" ht="15" hidden="false" customHeight="false" outlineLevel="0" collapsed="false">
      <c r="A66" s="6" t="s">
        <v>286</v>
      </c>
      <c r="B66" s="6" t="s">
        <v>173</v>
      </c>
      <c r="C66" s="6" t="s">
        <v>168</v>
      </c>
      <c r="D66" s="6" t="s">
        <v>278</v>
      </c>
      <c r="E66" s="6" t="s">
        <v>174</v>
      </c>
      <c r="F66" s="20" t="n">
        <f aca="false">'Root Options'!E21*20%/4</f>
        <v>0.899412819320564</v>
      </c>
      <c r="G66" s="20" t="n">
        <f aca="false">'Root Options'!F21/4</f>
        <v>0.899412819320564</v>
      </c>
      <c r="H66" s="20" t="n">
        <f aca="false">'Root Options'!G21/4</f>
        <v>0</v>
      </c>
      <c r="I66" s="6" t="s">
        <v>139</v>
      </c>
      <c r="J66" s="6" t="s">
        <v>140</v>
      </c>
      <c r="K66" s="6" t="n">
        <v>0</v>
      </c>
      <c r="L66" s="6" t="n">
        <v>0</v>
      </c>
    </row>
    <row r="67" customFormat="false" ht="15" hidden="false" customHeight="false" outlineLevel="0" collapsed="false">
      <c r="A67" s="6" t="s">
        <v>287</v>
      </c>
      <c r="B67" s="6" t="s">
        <v>175</v>
      </c>
      <c r="C67" s="6" t="s">
        <v>168</v>
      </c>
      <c r="D67" s="6" t="s">
        <v>272</v>
      </c>
      <c r="E67" s="6" t="s">
        <v>176</v>
      </c>
      <c r="F67" s="20" t="n">
        <f aca="false">'Root Options'!E22*20%/4</f>
        <v>0.899412819320564</v>
      </c>
      <c r="G67" s="20" t="n">
        <f aca="false">'Root Options'!F22/4</f>
        <v>0.899412819320564</v>
      </c>
      <c r="H67" s="20" t="n">
        <f aca="false">'Root Options'!G22/4</f>
        <v>0</v>
      </c>
      <c r="I67" s="6" t="s">
        <v>139</v>
      </c>
      <c r="J67" s="6" t="s">
        <v>140</v>
      </c>
      <c r="K67" s="6" t="n">
        <v>0</v>
      </c>
      <c r="L67" s="6" t="n">
        <v>0</v>
      </c>
    </row>
    <row r="68" customFormat="false" ht="15" hidden="false" customHeight="false" outlineLevel="0" collapsed="false">
      <c r="A68" s="6" t="s">
        <v>288</v>
      </c>
      <c r="B68" s="6" t="s">
        <v>175</v>
      </c>
      <c r="C68" s="6" t="s">
        <v>168</v>
      </c>
      <c r="D68" s="6" t="s">
        <v>274</v>
      </c>
      <c r="E68" s="6" t="s">
        <v>176</v>
      </c>
      <c r="F68" s="20" t="n">
        <f aca="false">'Root Options'!E22*20%/4</f>
        <v>0.899412819320564</v>
      </c>
      <c r="G68" s="20" t="n">
        <f aca="false">'Root Options'!F22/4</f>
        <v>0.899412819320564</v>
      </c>
      <c r="H68" s="20" t="n">
        <f aca="false">'Root Options'!G22/4</f>
        <v>0</v>
      </c>
      <c r="I68" s="6" t="s">
        <v>139</v>
      </c>
      <c r="J68" s="6" t="s">
        <v>140</v>
      </c>
      <c r="K68" s="6" t="n">
        <v>0</v>
      </c>
      <c r="L68" s="6" t="n">
        <v>0</v>
      </c>
    </row>
    <row r="69" customFormat="false" ht="15" hidden="false" customHeight="false" outlineLevel="0" collapsed="false">
      <c r="A69" s="6" t="s">
        <v>289</v>
      </c>
      <c r="B69" s="6" t="s">
        <v>175</v>
      </c>
      <c r="C69" s="6" t="s">
        <v>168</v>
      </c>
      <c r="D69" s="6" t="s">
        <v>276</v>
      </c>
      <c r="E69" s="6" t="s">
        <v>176</v>
      </c>
      <c r="F69" s="20" t="n">
        <f aca="false">'Root Options'!E22*20%/4</f>
        <v>0.899412819320564</v>
      </c>
      <c r="G69" s="20" t="n">
        <f aca="false">'Root Options'!F22/4</f>
        <v>0.899412819320564</v>
      </c>
      <c r="H69" s="20" t="n">
        <f aca="false">'Root Options'!G22/4</f>
        <v>0</v>
      </c>
      <c r="I69" s="6" t="s">
        <v>139</v>
      </c>
      <c r="J69" s="6" t="s">
        <v>140</v>
      </c>
      <c r="K69" s="6" t="n">
        <v>0</v>
      </c>
      <c r="L69" s="6" t="n">
        <v>0</v>
      </c>
    </row>
    <row r="70" customFormat="false" ht="15" hidden="false" customHeight="false" outlineLevel="0" collapsed="false">
      <c r="A70" s="6" t="s">
        <v>290</v>
      </c>
      <c r="B70" s="6" t="s">
        <v>175</v>
      </c>
      <c r="C70" s="6" t="s">
        <v>168</v>
      </c>
      <c r="D70" s="6" t="s">
        <v>278</v>
      </c>
      <c r="E70" s="6" t="s">
        <v>176</v>
      </c>
      <c r="F70" s="20" t="n">
        <f aca="false">'Root Options'!E22*20%/4</f>
        <v>0.899412819320564</v>
      </c>
      <c r="G70" s="20" t="n">
        <f aca="false">'Root Options'!F22/4</f>
        <v>0.899412819320564</v>
      </c>
      <c r="H70" s="20" t="n">
        <f aca="false">'Root Options'!G22/4</f>
        <v>0</v>
      </c>
      <c r="I70" s="6" t="s">
        <v>139</v>
      </c>
      <c r="J70" s="6" t="s">
        <v>140</v>
      </c>
      <c r="K70" s="6" t="n">
        <v>0</v>
      </c>
      <c r="L70" s="6" t="n">
        <v>0</v>
      </c>
    </row>
    <row r="71" customFormat="false" ht="15" hidden="false" customHeight="false" outlineLevel="0" collapsed="false">
      <c r="A71" s="6" t="s">
        <v>291</v>
      </c>
      <c r="B71" s="6" t="s">
        <v>177</v>
      </c>
      <c r="C71" s="6" t="s">
        <v>178</v>
      </c>
      <c r="D71" s="6" t="s">
        <v>292</v>
      </c>
      <c r="E71" s="6" t="s">
        <v>180</v>
      </c>
      <c r="F71" s="20" t="n">
        <f aca="false">'Root Options'!E23*20%/4</f>
        <v>1.91377201862175</v>
      </c>
      <c r="G71" s="20" t="n">
        <f aca="false">'Root Options'!F23/4</f>
        <v>0.860712452941094</v>
      </c>
      <c r="H71" s="20" t="n">
        <f aca="false">'Root Options'!G23/4</f>
        <v>1.05305956568066</v>
      </c>
      <c r="I71" s="6" t="s">
        <v>139</v>
      </c>
      <c r="J71" s="6" t="s">
        <v>140</v>
      </c>
      <c r="K71" s="6" t="n">
        <v>0</v>
      </c>
      <c r="L71" s="6" t="n">
        <v>0</v>
      </c>
    </row>
    <row r="72" customFormat="false" ht="15" hidden="false" customHeight="false" outlineLevel="0" collapsed="false">
      <c r="A72" s="6" t="s">
        <v>293</v>
      </c>
      <c r="B72" s="6" t="s">
        <v>177</v>
      </c>
      <c r="C72" s="6" t="s">
        <v>178</v>
      </c>
      <c r="D72" s="6" t="s">
        <v>294</v>
      </c>
      <c r="E72" s="6" t="s">
        <v>180</v>
      </c>
      <c r="F72" s="20" t="n">
        <f aca="false">'Root Options'!E23*20%/4</f>
        <v>1.91377201862175</v>
      </c>
      <c r="G72" s="20" t="n">
        <f aca="false">'Root Options'!F23/4</f>
        <v>0.860712452941094</v>
      </c>
      <c r="H72" s="20" t="n">
        <f aca="false">'Root Options'!G23/4</f>
        <v>1.05305956568066</v>
      </c>
      <c r="I72" s="6" t="s">
        <v>139</v>
      </c>
      <c r="J72" s="6" t="s">
        <v>140</v>
      </c>
      <c r="K72" s="6" t="n">
        <v>0</v>
      </c>
      <c r="L72" s="6" t="n">
        <v>0</v>
      </c>
    </row>
    <row r="73" customFormat="false" ht="15" hidden="false" customHeight="false" outlineLevel="0" collapsed="false">
      <c r="A73" s="6" t="s">
        <v>295</v>
      </c>
      <c r="B73" s="6" t="s">
        <v>177</v>
      </c>
      <c r="C73" s="6" t="s">
        <v>178</v>
      </c>
      <c r="D73" s="6" t="s">
        <v>296</v>
      </c>
      <c r="E73" s="6" t="s">
        <v>180</v>
      </c>
      <c r="F73" s="20" t="n">
        <f aca="false">'Root Options'!E23*20%/4</f>
        <v>1.91377201862175</v>
      </c>
      <c r="G73" s="20" t="n">
        <f aca="false">'Root Options'!F23/4</f>
        <v>0.860712452941094</v>
      </c>
      <c r="H73" s="20" t="n">
        <f aca="false">'Root Options'!G23/4</f>
        <v>1.05305956568066</v>
      </c>
      <c r="I73" s="6" t="s">
        <v>139</v>
      </c>
      <c r="J73" s="6" t="s">
        <v>140</v>
      </c>
      <c r="K73" s="6" t="n">
        <v>0</v>
      </c>
      <c r="L73" s="6" t="n">
        <v>0</v>
      </c>
    </row>
    <row r="74" customFormat="false" ht="15" hidden="false" customHeight="false" outlineLevel="0" collapsed="false">
      <c r="A74" s="6" t="s">
        <v>297</v>
      </c>
      <c r="B74" s="6" t="s">
        <v>177</v>
      </c>
      <c r="C74" s="6" t="s">
        <v>178</v>
      </c>
      <c r="D74" s="6" t="s">
        <v>298</v>
      </c>
      <c r="E74" s="6" t="s">
        <v>180</v>
      </c>
      <c r="F74" s="20" t="n">
        <f aca="false">'Root Options'!E23*20%/4</f>
        <v>1.91377201862175</v>
      </c>
      <c r="G74" s="20" t="n">
        <f aca="false">'Root Options'!F23/4</f>
        <v>0.860712452941094</v>
      </c>
      <c r="H74" s="20" t="n">
        <f aca="false">'Root Options'!G23/4</f>
        <v>1.05305956568066</v>
      </c>
      <c r="I74" s="6" t="s">
        <v>139</v>
      </c>
      <c r="J74" s="6" t="s">
        <v>140</v>
      </c>
      <c r="K74" s="6" t="n">
        <v>0</v>
      </c>
      <c r="L74" s="6" t="n">
        <v>0</v>
      </c>
    </row>
    <row r="75" customFormat="false" ht="15" hidden="false" customHeight="false" outlineLevel="0" collapsed="false">
      <c r="A75" s="6" t="s">
        <v>299</v>
      </c>
      <c r="B75" s="6" t="s">
        <v>181</v>
      </c>
      <c r="C75" s="6" t="s">
        <v>178</v>
      </c>
      <c r="D75" s="6" t="s">
        <v>292</v>
      </c>
      <c r="E75" s="6" t="s">
        <v>182</v>
      </c>
      <c r="F75" s="20" t="n">
        <f aca="false">'Root Options'!E24*20%/4</f>
        <v>1.91377201862175</v>
      </c>
      <c r="G75" s="20" t="n">
        <f aca="false">'Root Options'!F24/4</f>
        <v>0.860712452941094</v>
      </c>
      <c r="H75" s="20" t="n">
        <f aca="false">'Root Options'!G24/4</f>
        <v>1.05305956568066</v>
      </c>
      <c r="I75" s="6" t="s">
        <v>139</v>
      </c>
      <c r="J75" s="6" t="s">
        <v>140</v>
      </c>
      <c r="K75" s="6" t="n">
        <v>0</v>
      </c>
      <c r="L75" s="6" t="n">
        <v>0</v>
      </c>
    </row>
    <row r="76" customFormat="false" ht="15" hidden="false" customHeight="false" outlineLevel="0" collapsed="false">
      <c r="A76" s="6" t="s">
        <v>300</v>
      </c>
      <c r="B76" s="6" t="s">
        <v>181</v>
      </c>
      <c r="C76" s="6" t="s">
        <v>178</v>
      </c>
      <c r="D76" s="6" t="s">
        <v>294</v>
      </c>
      <c r="E76" s="6" t="s">
        <v>182</v>
      </c>
      <c r="F76" s="20" t="n">
        <f aca="false">'Root Options'!E24*20%/4</f>
        <v>1.91377201862175</v>
      </c>
      <c r="G76" s="20" t="n">
        <f aca="false">'Root Options'!F24/4</f>
        <v>0.860712452941094</v>
      </c>
      <c r="H76" s="20" t="n">
        <f aca="false">'Root Options'!G24/4</f>
        <v>1.05305956568066</v>
      </c>
      <c r="I76" s="6" t="s">
        <v>139</v>
      </c>
      <c r="J76" s="6" t="s">
        <v>140</v>
      </c>
      <c r="K76" s="6" t="n">
        <v>0</v>
      </c>
      <c r="L76" s="6" t="n">
        <v>0</v>
      </c>
    </row>
    <row r="77" customFormat="false" ht="15" hidden="false" customHeight="false" outlineLevel="0" collapsed="false">
      <c r="A77" s="6" t="s">
        <v>301</v>
      </c>
      <c r="B77" s="6" t="s">
        <v>181</v>
      </c>
      <c r="C77" s="6" t="s">
        <v>178</v>
      </c>
      <c r="D77" s="6" t="s">
        <v>296</v>
      </c>
      <c r="E77" s="6" t="s">
        <v>182</v>
      </c>
      <c r="F77" s="20" t="n">
        <f aca="false">'Root Options'!E24*20%/4</f>
        <v>1.91377201862175</v>
      </c>
      <c r="G77" s="20" t="n">
        <f aca="false">'Root Options'!F24/4</f>
        <v>0.860712452941094</v>
      </c>
      <c r="H77" s="20" t="n">
        <f aca="false">'Root Options'!G24/4</f>
        <v>1.05305956568066</v>
      </c>
      <c r="I77" s="6" t="s">
        <v>139</v>
      </c>
      <c r="J77" s="6" t="s">
        <v>140</v>
      </c>
      <c r="K77" s="6" t="n">
        <v>0</v>
      </c>
      <c r="L77" s="6" t="n">
        <v>0</v>
      </c>
    </row>
    <row r="78" customFormat="false" ht="15" hidden="false" customHeight="false" outlineLevel="0" collapsed="false">
      <c r="A78" s="6" t="s">
        <v>302</v>
      </c>
      <c r="B78" s="6" t="s">
        <v>181</v>
      </c>
      <c r="C78" s="6" t="s">
        <v>178</v>
      </c>
      <c r="D78" s="6" t="s">
        <v>298</v>
      </c>
      <c r="E78" s="6" t="s">
        <v>182</v>
      </c>
      <c r="F78" s="20" t="n">
        <f aca="false">'Root Options'!E24*20%/4</f>
        <v>1.91377201862175</v>
      </c>
      <c r="G78" s="20" t="n">
        <f aca="false">'Root Options'!F24/4</f>
        <v>0.860712452941094</v>
      </c>
      <c r="H78" s="20" t="n">
        <f aca="false">'Root Options'!G24/4</f>
        <v>1.05305956568066</v>
      </c>
      <c r="I78" s="6" t="s">
        <v>139</v>
      </c>
      <c r="J78" s="6" t="s">
        <v>140</v>
      </c>
      <c r="K78" s="6" t="n">
        <v>0</v>
      </c>
      <c r="L78" s="6" t="n">
        <v>0</v>
      </c>
    </row>
    <row r="79" customFormat="false" ht="15" hidden="false" customHeight="false" outlineLevel="0" collapsed="false">
      <c r="A79" s="6" t="s">
        <v>303</v>
      </c>
      <c r="B79" s="6" t="s">
        <v>183</v>
      </c>
      <c r="C79" s="6" t="s">
        <v>178</v>
      </c>
      <c r="D79" s="6" t="s">
        <v>292</v>
      </c>
      <c r="E79" s="6" t="s">
        <v>184</v>
      </c>
      <c r="F79" s="20" t="n">
        <f aca="false">'Root Options'!E25*20%/4</f>
        <v>1.91377201862175</v>
      </c>
      <c r="G79" s="20" t="n">
        <f aca="false">'Root Options'!F25/4</f>
        <v>0.860712452941094</v>
      </c>
      <c r="H79" s="20" t="n">
        <f aca="false">'Root Options'!G25/4</f>
        <v>1.05305956568066</v>
      </c>
      <c r="I79" s="6" t="s">
        <v>139</v>
      </c>
      <c r="J79" s="6" t="s">
        <v>140</v>
      </c>
      <c r="K79" s="6" t="n">
        <v>0</v>
      </c>
      <c r="L79" s="6" t="n">
        <v>0</v>
      </c>
    </row>
    <row r="80" customFormat="false" ht="15" hidden="false" customHeight="false" outlineLevel="0" collapsed="false">
      <c r="A80" s="6" t="s">
        <v>304</v>
      </c>
      <c r="B80" s="6" t="s">
        <v>183</v>
      </c>
      <c r="C80" s="6" t="s">
        <v>178</v>
      </c>
      <c r="D80" s="6" t="s">
        <v>294</v>
      </c>
      <c r="E80" s="6" t="s">
        <v>184</v>
      </c>
      <c r="F80" s="20" t="n">
        <f aca="false">'Root Options'!E25*20%/4</f>
        <v>1.91377201862175</v>
      </c>
      <c r="G80" s="20" t="n">
        <f aca="false">'Root Options'!F25/4</f>
        <v>0.860712452941094</v>
      </c>
      <c r="H80" s="20" t="n">
        <f aca="false">'Root Options'!G25/4</f>
        <v>1.05305956568066</v>
      </c>
      <c r="I80" s="6" t="s">
        <v>139</v>
      </c>
      <c r="J80" s="6" t="s">
        <v>140</v>
      </c>
      <c r="K80" s="6" t="n">
        <v>0</v>
      </c>
      <c r="L80" s="6" t="n">
        <v>0</v>
      </c>
    </row>
    <row r="81" customFormat="false" ht="15" hidden="false" customHeight="false" outlineLevel="0" collapsed="false">
      <c r="A81" s="6" t="s">
        <v>305</v>
      </c>
      <c r="B81" s="6" t="s">
        <v>183</v>
      </c>
      <c r="C81" s="6" t="s">
        <v>178</v>
      </c>
      <c r="D81" s="6" t="s">
        <v>296</v>
      </c>
      <c r="E81" s="6" t="s">
        <v>184</v>
      </c>
      <c r="F81" s="20" t="n">
        <f aca="false">'Root Options'!E25*20%/4</f>
        <v>1.91377201862175</v>
      </c>
      <c r="G81" s="20" t="n">
        <f aca="false">'Root Options'!F25/4</f>
        <v>0.860712452941094</v>
      </c>
      <c r="H81" s="20" t="n">
        <f aca="false">'Root Options'!G25/4</f>
        <v>1.05305956568066</v>
      </c>
      <c r="I81" s="6" t="s">
        <v>139</v>
      </c>
      <c r="J81" s="6" t="s">
        <v>140</v>
      </c>
      <c r="K81" s="6" t="n">
        <v>0</v>
      </c>
      <c r="L81" s="6" t="n">
        <v>0</v>
      </c>
    </row>
    <row r="82" customFormat="false" ht="15" hidden="false" customHeight="false" outlineLevel="0" collapsed="false">
      <c r="A82" s="6" t="s">
        <v>306</v>
      </c>
      <c r="B82" s="6" t="s">
        <v>183</v>
      </c>
      <c r="C82" s="6" t="s">
        <v>178</v>
      </c>
      <c r="D82" s="6" t="s">
        <v>298</v>
      </c>
      <c r="E82" s="6" t="s">
        <v>184</v>
      </c>
      <c r="F82" s="20" t="n">
        <f aca="false">'Root Options'!E25*20%/4</f>
        <v>1.91377201862175</v>
      </c>
      <c r="G82" s="20" t="n">
        <f aca="false">'Root Options'!F25/4</f>
        <v>0.860712452941094</v>
      </c>
      <c r="H82" s="20" t="n">
        <f aca="false">'Root Options'!G25/4</f>
        <v>1.05305956568066</v>
      </c>
      <c r="I82" s="6" t="s">
        <v>139</v>
      </c>
      <c r="J82" s="6" t="s">
        <v>140</v>
      </c>
      <c r="K82" s="6" t="n">
        <v>0</v>
      </c>
      <c r="L82" s="6" t="n">
        <v>0</v>
      </c>
    </row>
    <row r="83" customFormat="false" ht="15" hidden="false" customHeight="false" outlineLevel="0" collapsed="false">
      <c r="A83" s="6" t="s">
        <v>307</v>
      </c>
      <c r="B83" s="6" t="s">
        <v>185</v>
      </c>
      <c r="C83" s="6" t="s">
        <v>178</v>
      </c>
      <c r="D83" s="6" t="s">
        <v>292</v>
      </c>
      <c r="E83" s="6" t="s">
        <v>186</v>
      </c>
      <c r="F83" s="20" t="n">
        <f aca="false">'Root Options'!E26*20%/4</f>
        <v>1.91377201862175</v>
      </c>
      <c r="G83" s="20" t="n">
        <f aca="false">'Root Options'!F26/4</f>
        <v>0.860712452941094</v>
      </c>
      <c r="H83" s="20" t="n">
        <f aca="false">'Root Options'!G26/4</f>
        <v>1.05305956568066</v>
      </c>
      <c r="I83" s="6" t="s">
        <v>139</v>
      </c>
      <c r="J83" s="6" t="s">
        <v>140</v>
      </c>
      <c r="K83" s="6" t="n">
        <v>0</v>
      </c>
      <c r="L83" s="6" t="n">
        <v>0</v>
      </c>
    </row>
    <row r="84" customFormat="false" ht="15" hidden="false" customHeight="false" outlineLevel="0" collapsed="false">
      <c r="A84" s="6" t="s">
        <v>308</v>
      </c>
      <c r="B84" s="6" t="s">
        <v>185</v>
      </c>
      <c r="C84" s="6" t="s">
        <v>178</v>
      </c>
      <c r="D84" s="6" t="s">
        <v>294</v>
      </c>
      <c r="E84" s="6" t="s">
        <v>186</v>
      </c>
      <c r="F84" s="20" t="n">
        <f aca="false">'Root Options'!E26*20%/4</f>
        <v>1.91377201862175</v>
      </c>
      <c r="G84" s="20" t="n">
        <f aca="false">'Root Options'!F26/4</f>
        <v>0.860712452941094</v>
      </c>
      <c r="H84" s="20" t="n">
        <f aca="false">'Root Options'!G26/4</f>
        <v>1.05305956568066</v>
      </c>
      <c r="I84" s="6" t="s">
        <v>139</v>
      </c>
      <c r="J84" s="6" t="s">
        <v>140</v>
      </c>
      <c r="K84" s="6" t="n">
        <v>0</v>
      </c>
      <c r="L84" s="6" t="n">
        <v>0</v>
      </c>
    </row>
    <row r="85" customFormat="false" ht="15" hidden="false" customHeight="false" outlineLevel="0" collapsed="false">
      <c r="A85" s="6" t="s">
        <v>309</v>
      </c>
      <c r="B85" s="6" t="s">
        <v>185</v>
      </c>
      <c r="C85" s="6" t="s">
        <v>178</v>
      </c>
      <c r="D85" s="6" t="s">
        <v>296</v>
      </c>
      <c r="E85" s="6" t="s">
        <v>186</v>
      </c>
      <c r="F85" s="20" t="n">
        <f aca="false">'Root Options'!E26*20%/4</f>
        <v>1.91377201862175</v>
      </c>
      <c r="G85" s="20" t="n">
        <f aca="false">'Root Options'!F26/4</f>
        <v>0.860712452941094</v>
      </c>
      <c r="H85" s="20" t="n">
        <f aca="false">'Root Options'!G26/4</f>
        <v>1.05305956568066</v>
      </c>
      <c r="I85" s="6" t="s">
        <v>139</v>
      </c>
      <c r="J85" s="6" t="s">
        <v>140</v>
      </c>
      <c r="K85" s="6" t="n">
        <v>0</v>
      </c>
      <c r="L85" s="6" t="n">
        <v>0</v>
      </c>
    </row>
    <row r="86" customFormat="false" ht="15" hidden="false" customHeight="false" outlineLevel="0" collapsed="false">
      <c r="A86" s="6" t="s">
        <v>310</v>
      </c>
      <c r="B86" s="6" t="s">
        <v>185</v>
      </c>
      <c r="C86" s="6" t="s">
        <v>178</v>
      </c>
      <c r="D86" s="6" t="s">
        <v>298</v>
      </c>
      <c r="E86" s="6" t="s">
        <v>186</v>
      </c>
      <c r="F86" s="20" t="n">
        <f aca="false">'Root Options'!E26*20%/4</f>
        <v>1.91377201862175</v>
      </c>
      <c r="G86" s="20" t="n">
        <f aca="false">'Root Options'!F26/4</f>
        <v>0.860712452941094</v>
      </c>
      <c r="H86" s="20" t="n">
        <f aca="false">'Root Options'!G26/4</f>
        <v>1.05305956568066</v>
      </c>
      <c r="I86" s="6" t="s">
        <v>139</v>
      </c>
      <c r="J86" s="6" t="s">
        <v>140</v>
      </c>
      <c r="K86" s="6" t="n">
        <v>0</v>
      </c>
      <c r="L86" s="6" t="n">
        <v>0</v>
      </c>
    </row>
    <row r="87" customFormat="false" ht="15" hidden="false" customHeight="false" outlineLevel="0" collapsed="false">
      <c r="A87" s="6" t="s">
        <v>311</v>
      </c>
      <c r="B87" s="6" t="s">
        <v>187</v>
      </c>
      <c r="C87" s="6" t="s">
        <v>188</v>
      </c>
      <c r="D87" s="6" t="s">
        <v>312</v>
      </c>
      <c r="E87" s="6" t="s">
        <v>190</v>
      </c>
      <c r="F87" s="20" t="n">
        <f aca="false">'Root Options'!E27*20%/4</f>
        <v>1.11751327616782</v>
      </c>
      <c r="G87" s="20" t="n">
        <f aca="false">'Root Options'!F27/4</f>
        <v>0.502597793135962</v>
      </c>
      <c r="H87" s="20" t="n">
        <f aca="false">'Root Options'!G27/4</f>
        <v>0.614915483031863</v>
      </c>
      <c r="I87" s="6" t="s">
        <v>139</v>
      </c>
      <c r="J87" s="6" t="s">
        <v>140</v>
      </c>
      <c r="K87" s="6" t="n">
        <v>0</v>
      </c>
      <c r="L87" s="6" t="n">
        <v>0</v>
      </c>
    </row>
    <row r="88" customFormat="false" ht="15" hidden="false" customHeight="false" outlineLevel="0" collapsed="false">
      <c r="A88" s="6" t="s">
        <v>313</v>
      </c>
      <c r="B88" s="6" t="s">
        <v>187</v>
      </c>
      <c r="C88" s="6" t="s">
        <v>188</v>
      </c>
      <c r="D88" s="6" t="s">
        <v>314</v>
      </c>
      <c r="E88" s="6" t="s">
        <v>190</v>
      </c>
      <c r="F88" s="20" t="n">
        <f aca="false">'Root Options'!E27*20%/4</f>
        <v>1.11751327616782</v>
      </c>
      <c r="G88" s="20" t="n">
        <f aca="false">'Root Options'!F27/4</f>
        <v>0.502597793135962</v>
      </c>
      <c r="H88" s="20" t="n">
        <f aca="false">'Root Options'!G27/4</f>
        <v>0.614915483031863</v>
      </c>
      <c r="I88" s="6" t="s">
        <v>139</v>
      </c>
      <c r="J88" s="6" t="s">
        <v>140</v>
      </c>
      <c r="K88" s="6" t="n">
        <v>0</v>
      </c>
      <c r="L88" s="6" t="n">
        <v>0</v>
      </c>
    </row>
    <row r="89" customFormat="false" ht="15" hidden="false" customHeight="false" outlineLevel="0" collapsed="false">
      <c r="A89" s="6" t="s">
        <v>315</v>
      </c>
      <c r="B89" s="6" t="s">
        <v>187</v>
      </c>
      <c r="C89" s="6" t="s">
        <v>188</v>
      </c>
      <c r="D89" s="6" t="s">
        <v>316</v>
      </c>
      <c r="E89" s="6" t="s">
        <v>190</v>
      </c>
      <c r="F89" s="20" t="n">
        <f aca="false">'Root Options'!E27*20%/4</f>
        <v>1.11751327616782</v>
      </c>
      <c r="G89" s="20" t="n">
        <f aca="false">'Root Options'!F27/4</f>
        <v>0.502597793135962</v>
      </c>
      <c r="H89" s="20" t="n">
        <f aca="false">'Root Options'!G27/4</f>
        <v>0.614915483031863</v>
      </c>
      <c r="I89" s="6" t="s">
        <v>139</v>
      </c>
      <c r="J89" s="6" t="s">
        <v>140</v>
      </c>
      <c r="K89" s="6" t="n">
        <v>0</v>
      </c>
      <c r="L89" s="6" t="n">
        <v>0</v>
      </c>
    </row>
    <row r="90" customFormat="false" ht="15" hidden="false" customHeight="false" outlineLevel="0" collapsed="false">
      <c r="A90" s="6" t="s">
        <v>317</v>
      </c>
      <c r="B90" s="6" t="s">
        <v>187</v>
      </c>
      <c r="C90" s="6" t="s">
        <v>188</v>
      </c>
      <c r="D90" s="6" t="s">
        <v>318</v>
      </c>
      <c r="E90" s="6" t="s">
        <v>190</v>
      </c>
      <c r="F90" s="20" t="n">
        <f aca="false">'Root Options'!E27*20%/4</f>
        <v>1.11751327616782</v>
      </c>
      <c r="G90" s="20" t="n">
        <f aca="false">'Root Options'!F27/4</f>
        <v>0.502597793135962</v>
      </c>
      <c r="H90" s="20" t="n">
        <f aca="false">'Root Options'!G27/4</f>
        <v>0.614915483031863</v>
      </c>
      <c r="I90" s="6" t="s">
        <v>139</v>
      </c>
      <c r="J90" s="6" t="s">
        <v>140</v>
      </c>
      <c r="K90" s="6" t="n">
        <v>0</v>
      </c>
      <c r="L90" s="6" t="n">
        <v>0</v>
      </c>
    </row>
    <row r="91" customFormat="false" ht="15" hidden="false" customHeight="false" outlineLevel="0" collapsed="false">
      <c r="A91" s="6" t="s">
        <v>319</v>
      </c>
      <c r="B91" s="6" t="s">
        <v>191</v>
      </c>
      <c r="C91" s="6" t="s">
        <v>188</v>
      </c>
      <c r="D91" s="6" t="s">
        <v>312</v>
      </c>
      <c r="E91" s="6" t="s">
        <v>192</v>
      </c>
      <c r="F91" s="20" t="n">
        <f aca="false">'Root Options'!E28*20%/4</f>
        <v>1.11751327616782</v>
      </c>
      <c r="G91" s="20" t="n">
        <f aca="false">'Root Options'!F28/4</f>
        <v>0.502597793135962</v>
      </c>
      <c r="H91" s="20" t="n">
        <f aca="false">'Root Options'!G28/4</f>
        <v>0.614915483031863</v>
      </c>
      <c r="I91" s="6" t="s">
        <v>139</v>
      </c>
      <c r="J91" s="6" t="s">
        <v>140</v>
      </c>
      <c r="K91" s="6" t="n">
        <v>0</v>
      </c>
      <c r="L91" s="6" t="n">
        <v>0</v>
      </c>
    </row>
    <row r="92" customFormat="false" ht="15" hidden="false" customHeight="false" outlineLevel="0" collapsed="false">
      <c r="A92" s="6" t="s">
        <v>320</v>
      </c>
      <c r="B92" s="6" t="s">
        <v>191</v>
      </c>
      <c r="C92" s="6" t="s">
        <v>188</v>
      </c>
      <c r="D92" s="6" t="s">
        <v>314</v>
      </c>
      <c r="E92" s="6" t="s">
        <v>192</v>
      </c>
      <c r="F92" s="20" t="n">
        <f aca="false">'Root Options'!E28*20%/4</f>
        <v>1.11751327616782</v>
      </c>
      <c r="G92" s="20" t="n">
        <f aca="false">'Root Options'!F28/4</f>
        <v>0.502597793135962</v>
      </c>
      <c r="H92" s="20" t="n">
        <f aca="false">'Root Options'!G28/4</f>
        <v>0.614915483031863</v>
      </c>
      <c r="I92" s="6" t="s">
        <v>139</v>
      </c>
      <c r="J92" s="6" t="s">
        <v>140</v>
      </c>
      <c r="K92" s="6" t="n">
        <v>0</v>
      </c>
      <c r="L92" s="6" t="n">
        <v>0</v>
      </c>
    </row>
    <row r="93" customFormat="false" ht="15" hidden="false" customHeight="false" outlineLevel="0" collapsed="false">
      <c r="A93" s="6" t="s">
        <v>321</v>
      </c>
      <c r="B93" s="6" t="s">
        <v>191</v>
      </c>
      <c r="C93" s="6" t="s">
        <v>188</v>
      </c>
      <c r="D93" s="6" t="s">
        <v>316</v>
      </c>
      <c r="E93" s="6" t="s">
        <v>192</v>
      </c>
      <c r="F93" s="20" t="n">
        <f aca="false">'Root Options'!E28*20%/4</f>
        <v>1.11751327616782</v>
      </c>
      <c r="G93" s="20" t="n">
        <f aca="false">'Root Options'!F28/4</f>
        <v>0.502597793135962</v>
      </c>
      <c r="H93" s="20" t="n">
        <f aca="false">'Root Options'!G28/4</f>
        <v>0.614915483031863</v>
      </c>
      <c r="I93" s="6" t="s">
        <v>139</v>
      </c>
      <c r="J93" s="6" t="s">
        <v>140</v>
      </c>
      <c r="K93" s="6" t="n">
        <v>0</v>
      </c>
      <c r="L93" s="6" t="n">
        <v>0</v>
      </c>
    </row>
    <row r="94" customFormat="false" ht="15" hidden="false" customHeight="false" outlineLevel="0" collapsed="false">
      <c r="A94" s="6" t="s">
        <v>322</v>
      </c>
      <c r="B94" s="6" t="s">
        <v>191</v>
      </c>
      <c r="C94" s="6" t="s">
        <v>188</v>
      </c>
      <c r="D94" s="6" t="s">
        <v>318</v>
      </c>
      <c r="E94" s="6" t="s">
        <v>192</v>
      </c>
      <c r="F94" s="20" t="n">
        <f aca="false">'Root Options'!E28*20%/4</f>
        <v>1.11751327616782</v>
      </c>
      <c r="G94" s="20" t="n">
        <f aca="false">'Root Options'!F28/4</f>
        <v>0.502597793135962</v>
      </c>
      <c r="H94" s="20" t="n">
        <f aca="false">'Root Options'!G28/4</f>
        <v>0.614915483031863</v>
      </c>
      <c r="I94" s="6" t="s">
        <v>139</v>
      </c>
      <c r="J94" s="6" t="s">
        <v>140</v>
      </c>
      <c r="K94" s="6" t="n">
        <v>0</v>
      </c>
      <c r="L94" s="6" t="n">
        <v>0</v>
      </c>
    </row>
    <row r="95" customFormat="false" ht="15" hidden="false" customHeight="false" outlineLevel="0" collapsed="false">
      <c r="A95" s="6" t="s">
        <v>323</v>
      </c>
      <c r="B95" s="6" t="s">
        <v>193</v>
      </c>
      <c r="C95" s="6" t="s">
        <v>188</v>
      </c>
      <c r="D95" s="6" t="s">
        <v>312</v>
      </c>
      <c r="E95" s="6" t="s">
        <v>194</v>
      </c>
      <c r="F95" s="20" t="n">
        <f aca="false">'Root Options'!E29*20%/4</f>
        <v>1.11751327616782</v>
      </c>
      <c r="G95" s="20" t="n">
        <f aca="false">'Root Options'!F29/4</f>
        <v>0.502597793135962</v>
      </c>
      <c r="H95" s="20" t="n">
        <f aca="false">'Root Options'!G29/4</f>
        <v>0.614915483031863</v>
      </c>
      <c r="I95" s="6" t="s">
        <v>139</v>
      </c>
      <c r="J95" s="6" t="s">
        <v>140</v>
      </c>
      <c r="K95" s="6" t="n">
        <v>0</v>
      </c>
      <c r="L95" s="6" t="n">
        <v>0</v>
      </c>
    </row>
    <row r="96" customFormat="false" ht="15" hidden="false" customHeight="false" outlineLevel="0" collapsed="false">
      <c r="A96" s="6" t="s">
        <v>324</v>
      </c>
      <c r="B96" s="6" t="s">
        <v>193</v>
      </c>
      <c r="C96" s="6" t="s">
        <v>188</v>
      </c>
      <c r="D96" s="6" t="s">
        <v>314</v>
      </c>
      <c r="E96" s="6" t="s">
        <v>194</v>
      </c>
      <c r="F96" s="20" t="n">
        <f aca="false">'Root Options'!E29*20%/4</f>
        <v>1.11751327616782</v>
      </c>
      <c r="G96" s="20" t="n">
        <f aca="false">'Root Options'!F29/4</f>
        <v>0.502597793135962</v>
      </c>
      <c r="H96" s="20" t="n">
        <f aca="false">'Root Options'!G29/4</f>
        <v>0.614915483031863</v>
      </c>
      <c r="I96" s="6" t="s">
        <v>139</v>
      </c>
      <c r="J96" s="6" t="s">
        <v>140</v>
      </c>
      <c r="K96" s="6" t="n">
        <v>0</v>
      </c>
      <c r="L96" s="6" t="n">
        <v>0</v>
      </c>
    </row>
    <row r="97" customFormat="false" ht="15" hidden="false" customHeight="false" outlineLevel="0" collapsed="false">
      <c r="A97" s="6" t="s">
        <v>325</v>
      </c>
      <c r="B97" s="6" t="s">
        <v>193</v>
      </c>
      <c r="C97" s="6" t="s">
        <v>188</v>
      </c>
      <c r="D97" s="6" t="s">
        <v>316</v>
      </c>
      <c r="E97" s="6" t="s">
        <v>194</v>
      </c>
      <c r="F97" s="20" t="n">
        <f aca="false">'Root Options'!E29*20%/4</f>
        <v>1.11751327616782</v>
      </c>
      <c r="G97" s="20" t="n">
        <f aca="false">'Root Options'!F29/4</f>
        <v>0.502597793135962</v>
      </c>
      <c r="H97" s="20" t="n">
        <f aca="false">'Root Options'!G29/4</f>
        <v>0.614915483031863</v>
      </c>
      <c r="I97" s="6" t="s">
        <v>139</v>
      </c>
      <c r="J97" s="6" t="s">
        <v>140</v>
      </c>
      <c r="K97" s="6" t="n">
        <v>0</v>
      </c>
      <c r="L97" s="6" t="n">
        <v>0</v>
      </c>
    </row>
    <row r="98" customFormat="false" ht="15" hidden="false" customHeight="false" outlineLevel="0" collapsed="false">
      <c r="A98" s="6" t="s">
        <v>326</v>
      </c>
      <c r="B98" s="6" t="s">
        <v>193</v>
      </c>
      <c r="C98" s="6" t="s">
        <v>188</v>
      </c>
      <c r="D98" s="6" t="s">
        <v>318</v>
      </c>
      <c r="E98" s="6" t="s">
        <v>194</v>
      </c>
      <c r="F98" s="20" t="n">
        <f aca="false">'Root Options'!E29*20%/4</f>
        <v>1.11751327616782</v>
      </c>
      <c r="G98" s="20" t="n">
        <f aca="false">'Root Options'!F29/4</f>
        <v>0.502597793135962</v>
      </c>
      <c r="H98" s="20" t="n">
        <f aca="false">'Root Options'!G29/4</f>
        <v>0.614915483031863</v>
      </c>
      <c r="I98" s="6" t="s">
        <v>139</v>
      </c>
      <c r="J98" s="6" t="s">
        <v>140</v>
      </c>
      <c r="K98" s="6" t="n">
        <v>0</v>
      </c>
      <c r="L98" s="6" t="n">
        <v>0</v>
      </c>
    </row>
    <row r="99" customFormat="false" ht="15" hidden="false" customHeight="false" outlineLevel="0" collapsed="false">
      <c r="A99" s="6" t="s">
        <v>327</v>
      </c>
      <c r="B99" s="6" t="s">
        <v>195</v>
      </c>
      <c r="C99" s="6" t="s">
        <v>188</v>
      </c>
      <c r="D99" s="6" t="s">
        <v>312</v>
      </c>
      <c r="E99" s="6" t="s">
        <v>196</v>
      </c>
      <c r="F99" s="20" t="n">
        <f aca="false">'Root Options'!E30*20%/4</f>
        <v>1.11751327616782</v>
      </c>
      <c r="G99" s="20" t="n">
        <f aca="false">'Root Options'!F30/4</f>
        <v>0.502597793135962</v>
      </c>
      <c r="H99" s="20" t="n">
        <f aca="false">'Root Options'!G30/4</f>
        <v>0.614915483031863</v>
      </c>
      <c r="I99" s="6" t="s">
        <v>139</v>
      </c>
      <c r="J99" s="6" t="s">
        <v>140</v>
      </c>
      <c r="K99" s="6" t="n">
        <v>0</v>
      </c>
      <c r="L99" s="6" t="n">
        <v>0</v>
      </c>
    </row>
    <row r="100" customFormat="false" ht="15" hidden="false" customHeight="false" outlineLevel="0" collapsed="false">
      <c r="A100" s="6" t="s">
        <v>328</v>
      </c>
      <c r="B100" s="6" t="s">
        <v>195</v>
      </c>
      <c r="C100" s="6" t="s">
        <v>188</v>
      </c>
      <c r="D100" s="6" t="s">
        <v>314</v>
      </c>
      <c r="E100" s="6" t="s">
        <v>196</v>
      </c>
      <c r="F100" s="20" t="n">
        <f aca="false">'Root Options'!E30*20%/4</f>
        <v>1.11751327616782</v>
      </c>
      <c r="G100" s="20" t="n">
        <f aca="false">'Root Options'!F30/4</f>
        <v>0.502597793135962</v>
      </c>
      <c r="H100" s="20" t="n">
        <f aca="false">'Root Options'!G30/4</f>
        <v>0.614915483031863</v>
      </c>
      <c r="I100" s="6" t="s">
        <v>139</v>
      </c>
      <c r="J100" s="6" t="s">
        <v>140</v>
      </c>
      <c r="K100" s="6" t="n">
        <v>0</v>
      </c>
      <c r="L100" s="6" t="n">
        <v>0</v>
      </c>
    </row>
    <row r="101" customFormat="false" ht="15" hidden="false" customHeight="false" outlineLevel="0" collapsed="false">
      <c r="A101" s="6" t="s">
        <v>329</v>
      </c>
      <c r="B101" s="6" t="s">
        <v>195</v>
      </c>
      <c r="C101" s="6" t="s">
        <v>188</v>
      </c>
      <c r="D101" s="6" t="s">
        <v>316</v>
      </c>
      <c r="E101" s="6" t="s">
        <v>196</v>
      </c>
      <c r="F101" s="20" t="n">
        <f aca="false">'Root Options'!E30*20%/4</f>
        <v>1.11751327616782</v>
      </c>
      <c r="G101" s="20" t="n">
        <f aca="false">'Root Options'!F30/4</f>
        <v>0.502597793135962</v>
      </c>
      <c r="H101" s="20" t="n">
        <f aca="false">'Root Options'!G30/4</f>
        <v>0.614915483031863</v>
      </c>
      <c r="I101" s="6" t="s">
        <v>139</v>
      </c>
      <c r="J101" s="6" t="s">
        <v>140</v>
      </c>
      <c r="K101" s="6" t="n">
        <v>0</v>
      </c>
      <c r="L101" s="6" t="n">
        <v>0</v>
      </c>
    </row>
    <row r="102" customFormat="false" ht="15" hidden="false" customHeight="false" outlineLevel="0" collapsed="false">
      <c r="A102" s="6" t="s">
        <v>330</v>
      </c>
      <c r="B102" s="6" t="s">
        <v>195</v>
      </c>
      <c r="C102" s="6" t="s">
        <v>188</v>
      </c>
      <c r="D102" s="6" t="s">
        <v>318</v>
      </c>
      <c r="E102" s="6" t="s">
        <v>196</v>
      </c>
      <c r="F102" s="20" t="n">
        <f aca="false">'Root Options'!E30*20%/4</f>
        <v>1.11751327616782</v>
      </c>
      <c r="G102" s="20" t="n">
        <f aca="false">'Root Options'!F30/4</f>
        <v>0.502597793135962</v>
      </c>
      <c r="H102" s="20" t="n">
        <f aca="false">'Root Options'!G30/4</f>
        <v>0.614915483031863</v>
      </c>
      <c r="I102" s="6" t="s">
        <v>139</v>
      </c>
      <c r="J102" s="6" t="s">
        <v>140</v>
      </c>
      <c r="K102" s="6" t="n">
        <v>0</v>
      </c>
      <c r="L102" s="6" t="n">
        <v>0</v>
      </c>
    </row>
    <row r="103" customFormat="false" ht="15" hidden="false" customHeight="false" outlineLevel="0" collapsed="false">
      <c r="A103" s="18" t="s">
        <v>102</v>
      </c>
      <c r="B103" s="18" t="s">
        <v>198</v>
      </c>
      <c r="C103" s="18" t="s">
        <v>197</v>
      </c>
      <c r="D103" s="18" t="s">
        <v>331</v>
      </c>
      <c r="E103" s="18" t="s">
        <v>332</v>
      </c>
      <c r="F103" s="22" t="n">
        <f aca="false">SUM(F7:F102)</f>
        <v>110</v>
      </c>
      <c r="G103" s="22" t="n">
        <f aca="false">SUM(G7:G102)</f>
        <v>57.390605109129</v>
      </c>
      <c r="H103" s="22" t="n">
        <f aca="false">SUM(H7:H102)</f>
        <v>52.609394890871</v>
      </c>
      <c r="I103" s="18" t="s">
        <v>200</v>
      </c>
      <c r="J103" s="18" t="s">
        <v>201</v>
      </c>
      <c r="K103" s="18" t="n">
        <v>0</v>
      </c>
      <c r="L103" s="18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6" min="5" style="0" width="22"/>
    <col collapsed="false" customWidth="true" hidden="false" outlineLevel="0" max="7" min="7" style="0" width="13"/>
    <col collapsed="false" customWidth="true" hidden="false" outlineLevel="0" max="8" min="8" style="0" width="18"/>
  </cols>
  <sheetData>
    <row r="2" customFormat="false" ht="24" hidden="false" customHeight="true" outlineLevel="0" collapsed="false">
      <c r="A2" s="1" t="s">
        <v>333</v>
      </c>
    </row>
    <row r="3" customFormat="false" ht="18" hidden="false" customHeight="true" outlineLevel="0" collapsed="false">
      <c r="A3" s="2" t="s">
        <v>334</v>
      </c>
      <c r="B3" s="2"/>
      <c r="C3" s="2"/>
      <c r="D3" s="2"/>
      <c r="E3" s="2"/>
      <c r="F3" s="2"/>
      <c r="G3" s="2"/>
      <c r="H3" s="2"/>
    </row>
    <row r="6" customFormat="false" ht="15" hidden="false" customHeight="false" outlineLevel="0" collapsed="false">
      <c r="A6" s="5" t="s">
        <v>123</v>
      </c>
      <c r="B6" s="5" t="s">
        <v>124</v>
      </c>
      <c r="C6" s="5" t="s">
        <v>335</v>
      </c>
      <c r="D6" s="5" t="s">
        <v>336</v>
      </c>
      <c r="E6" s="5" t="s">
        <v>337</v>
      </c>
      <c r="F6" s="5" t="s">
        <v>338</v>
      </c>
      <c r="G6" s="5" t="s">
        <v>339</v>
      </c>
      <c r="H6" s="5" t="s">
        <v>35</v>
      </c>
    </row>
    <row r="7" customFormat="false" ht="15" hidden="false" customHeight="false" outlineLevel="0" collapsed="false">
      <c r="A7" s="6" t="s">
        <v>135</v>
      </c>
      <c r="B7" s="6" t="s">
        <v>136</v>
      </c>
      <c r="C7" s="6" t="s">
        <v>340</v>
      </c>
      <c r="D7" s="6" t="s">
        <v>139</v>
      </c>
      <c r="E7" s="12" t="n">
        <v>1</v>
      </c>
      <c r="F7" s="12" t="n">
        <v>0</v>
      </c>
      <c r="G7" s="6" t="s">
        <v>341</v>
      </c>
      <c r="H7" s="6" t="n">
        <v>0</v>
      </c>
    </row>
    <row r="8" customFormat="false" ht="15" hidden="false" customHeight="false" outlineLevel="0" collapsed="false">
      <c r="A8" s="6" t="s">
        <v>135</v>
      </c>
      <c r="B8" s="6" t="s">
        <v>136</v>
      </c>
      <c r="C8" s="6" t="s">
        <v>342</v>
      </c>
      <c r="D8" s="6" t="s">
        <v>139</v>
      </c>
      <c r="E8" s="12" t="n">
        <v>1</v>
      </c>
      <c r="F8" s="12" t="n">
        <v>0</v>
      </c>
      <c r="G8" s="6" t="s">
        <v>341</v>
      </c>
      <c r="H8" s="6" t="n">
        <v>0</v>
      </c>
    </row>
    <row r="9" customFormat="false" ht="15" hidden="false" customHeight="false" outlineLevel="0" collapsed="false">
      <c r="A9" s="6" t="s">
        <v>135</v>
      </c>
      <c r="B9" s="6" t="s">
        <v>136</v>
      </c>
      <c r="C9" s="6" t="s">
        <v>343</v>
      </c>
      <c r="D9" s="6" t="s">
        <v>139</v>
      </c>
      <c r="E9" s="12" t="n">
        <v>1</v>
      </c>
      <c r="F9" s="12" t="n">
        <v>0</v>
      </c>
      <c r="G9" s="6" t="s">
        <v>341</v>
      </c>
      <c r="H9" s="6" t="n">
        <v>0</v>
      </c>
    </row>
    <row r="10" customFormat="false" ht="15" hidden="false" customHeight="false" outlineLevel="0" collapsed="false">
      <c r="A10" s="6" t="s">
        <v>135</v>
      </c>
      <c r="B10" s="6" t="s">
        <v>136</v>
      </c>
      <c r="C10" s="6" t="s">
        <v>344</v>
      </c>
      <c r="D10" s="6" t="s">
        <v>139</v>
      </c>
      <c r="E10" s="12" t="n">
        <v>1</v>
      </c>
      <c r="F10" s="12" t="n">
        <v>0</v>
      </c>
      <c r="G10" s="6" t="s">
        <v>341</v>
      </c>
      <c r="H10" s="6" t="n">
        <v>0</v>
      </c>
    </row>
    <row r="11" customFormat="false" ht="15" hidden="false" customHeight="false" outlineLevel="0" collapsed="false">
      <c r="A11" s="6" t="s">
        <v>135</v>
      </c>
      <c r="B11" s="6" t="s">
        <v>136</v>
      </c>
      <c r="C11" s="6" t="s">
        <v>345</v>
      </c>
      <c r="D11" s="6" t="s">
        <v>139</v>
      </c>
      <c r="E11" s="12" t="n">
        <v>1</v>
      </c>
      <c r="F11" s="12" t="n">
        <v>0</v>
      </c>
      <c r="G11" s="6" t="s">
        <v>341</v>
      </c>
      <c r="H11" s="6" t="n">
        <v>0</v>
      </c>
    </row>
    <row r="12" customFormat="false" ht="15" hidden="false" customHeight="false" outlineLevel="0" collapsed="false">
      <c r="A12" s="6" t="s">
        <v>135</v>
      </c>
      <c r="B12" s="6" t="s">
        <v>136</v>
      </c>
      <c r="C12" s="6" t="s">
        <v>346</v>
      </c>
      <c r="D12" s="6" t="s">
        <v>139</v>
      </c>
      <c r="E12" s="12" t="n">
        <v>1</v>
      </c>
      <c r="F12" s="12" t="n">
        <v>0</v>
      </c>
      <c r="G12" s="6" t="s">
        <v>341</v>
      </c>
      <c r="H12" s="6" t="n">
        <v>0</v>
      </c>
    </row>
    <row r="13" customFormat="false" ht="15" hidden="false" customHeight="false" outlineLevel="0" collapsed="false">
      <c r="A13" s="6" t="s">
        <v>135</v>
      </c>
      <c r="B13" s="6" t="s">
        <v>136</v>
      </c>
      <c r="C13" s="6" t="s">
        <v>347</v>
      </c>
      <c r="D13" s="6" t="s">
        <v>139</v>
      </c>
      <c r="E13" s="12" t="n">
        <v>1</v>
      </c>
      <c r="F13" s="12" t="n">
        <v>0</v>
      </c>
      <c r="G13" s="6" t="s">
        <v>341</v>
      </c>
      <c r="H13" s="6" t="n">
        <v>0</v>
      </c>
    </row>
    <row r="14" customFormat="false" ht="15" hidden="false" customHeight="false" outlineLevel="0" collapsed="false">
      <c r="A14" s="6" t="s">
        <v>135</v>
      </c>
      <c r="B14" s="6" t="s">
        <v>136</v>
      </c>
      <c r="C14" s="6" t="s">
        <v>348</v>
      </c>
      <c r="D14" s="6" t="s">
        <v>139</v>
      </c>
      <c r="E14" s="12" t="n">
        <v>1</v>
      </c>
      <c r="F14" s="12" t="n">
        <v>0</v>
      </c>
      <c r="G14" s="6" t="s">
        <v>341</v>
      </c>
      <c r="H14" s="6" t="n">
        <v>0</v>
      </c>
    </row>
    <row r="15" customFormat="false" ht="15" hidden="false" customHeight="false" outlineLevel="0" collapsed="false">
      <c r="A15" s="6" t="s">
        <v>135</v>
      </c>
      <c r="B15" s="6" t="s">
        <v>136</v>
      </c>
      <c r="C15" s="6" t="s">
        <v>349</v>
      </c>
      <c r="D15" s="6" t="s">
        <v>139</v>
      </c>
      <c r="E15" s="12" t="n">
        <v>1</v>
      </c>
      <c r="F15" s="12" t="n">
        <v>0</v>
      </c>
      <c r="G15" s="6" t="s">
        <v>341</v>
      </c>
      <c r="H15" s="6" t="n">
        <v>0</v>
      </c>
    </row>
    <row r="16" customFormat="false" ht="15" hidden="false" customHeight="false" outlineLevel="0" collapsed="false">
      <c r="A16" s="6" t="s">
        <v>135</v>
      </c>
      <c r="B16" s="6" t="s">
        <v>136</v>
      </c>
      <c r="C16" s="6" t="s">
        <v>350</v>
      </c>
      <c r="D16" s="6" t="s">
        <v>139</v>
      </c>
      <c r="E16" s="12" t="n">
        <v>1</v>
      </c>
      <c r="F16" s="12" t="n">
        <v>0</v>
      </c>
      <c r="G16" s="6" t="s">
        <v>341</v>
      </c>
      <c r="H16" s="6" t="n">
        <v>0</v>
      </c>
    </row>
    <row r="17" customFormat="false" ht="15" hidden="false" customHeight="false" outlineLevel="0" collapsed="false">
      <c r="A17" s="6" t="s">
        <v>135</v>
      </c>
      <c r="B17" s="6" t="s">
        <v>136</v>
      </c>
      <c r="C17" s="6" t="s">
        <v>351</v>
      </c>
      <c r="D17" s="6" t="s">
        <v>139</v>
      </c>
      <c r="E17" s="12" t="n">
        <v>1</v>
      </c>
      <c r="F17" s="12" t="n">
        <v>0</v>
      </c>
      <c r="G17" s="6" t="s">
        <v>341</v>
      </c>
      <c r="H17" s="6" t="n">
        <v>0</v>
      </c>
    </row>
    <row r="18" customFormat="false" ht="15" hidden="false" customHeight="false" outlineLevel="0" collapsed="false">
      <c r="A18" s="6" t="s">
        <v>135</v>
      </c>
      <c r="B18" s="6" t="s">
        <v>136</v>
      </c>
      <c r="C18" s="6" t="s">
        <v>352</v>
      </c>
      <c r="D18" s="6" t="s">
        <v>139</v>
      </c>
      <c r="E18" s="12" t="n">
        <v>1</v>
      </c>
      <c r="F18" s="12" t="n">
        <v>0</v>
      </c>
      <c r="G18" s="6" t="s">
        <v>341</v>
      </c>
      <c r="H18" s="6" t="n">
        <v>0</v>
      </c>
    </row>
    <row r="19" customFormat="false" ht="15" hidden="false" customHeight="false" outlineLevel="0" collapsed="false">
      <c r="A19" s="6" t="s">
        <v>141</v>
      </c>
      <c r="B19" s="6" t="s">
        <v>136</v>
      </c>
      <c r="C19" s="6" t="s">
        <v>340</v>
      </c>
      <c r="D19" s="6" t="s">
        <v>139</v>
      </c>
      <c r="E19" s="12" t="n">
        <v>1</v>
      </c>
      <c r="F19" s="12" t="n">
        <v>0</v>
      </c>
      <c r="G19" s="6" t="s">
        <v>341</v>
      </c>
      <c r="H19" s="6" t="n">
        <v>0</v>
      </c>
    </row>
    <row r="20" customFormat="false" ht="15" hidden="false" customHeight="false" outlineLevel="0" collapsed="false">
      <c r="A20" s="6" t="s">
        <v>141</v>
      </c>
      <c r="B20" s="6" t="s">
        <v>136</v>
      </c>
      <c r="C20" s="6" t="s">
        <v>342</v>
      </c>
      <c r="D20" s="6" t="s">
        <v>139</v>
      </c>
      <c r="E20" s="12" t="n">
        <v>1</v>
      </c>
      <c r="F20" s="12" t="n">
        <v>0</v>
      </c>
      <c r="G20" s="6" t="s">
        <v>341</v>
      </c>
      <c r="H20" s="6" t="n">
        <v>0</v>
      </c>
    </row>
    <row r="21" customFormat="false" ht="15" hidden="false" customHeight="false" outlineLevel="0" collapsed="false">
      <c r="A21" s="6" t="s">
        <v>141</v>
      </c>
      <c r="B21" s="6" t="s">
        <v>136</v>
      </c>
      <c r="C21" s="6" t="s">
        <v>343</v>
      </c>
      <c r="D21" s="6" t="s">
        <v>139</v>
      </c>
      <c r="E21" s="12" t="n">
        <v>1</v>
      </c>
      <c r="F21" s="12" t="n">
        <v>0</v>
      </c>
      <c r="G21" s="6" t="s">
        <v>341</v>
      </c>
      <c r="H21" s="6" t="n">
        <v>0</v>
      </c>
    </row>
    <row r="22" customFormat="false" ht="15" hidden="false" customHeight="false" outlineLevel="0" collapsed="false">
      <c r="A22" s="6" t="s">
        <v>141</v>
      </c>
      <c r="B22" s="6" t="s">
        <v>136</v>
      </c>
      <c r="C22" s="6" t="s">
        <v>344</v>
      </c>
      <c r="D22" s="6" t="s">
        <v>139</v>
      </c>
      <c r="E22" s="12" t="n">
        <v>1</v>
      </c>
      <c r="F22" s="12" t="n">
        <v>0</v>
      </c>
      <c r="G22" s="6" t="s">
        <v>341</v>
      </c>
      <c r="H22" s="6" t="n">
        <v>0</v>
      </c>
    </row>
    <row r="23" customFormat="false" ht="15" hidden="false" customHeight="false" outlineLevel="0" collapsed="false">
      <c r="A23" s="6" t="s">
        <v>141</v>
      </c>
      <c r="B23" s="6" t="s">
        <v>136</v>
      </c>
      <c r="C23" s="6" t="s">
        <v>345</v>
      </c>
      <c r="D23" s="6" t="s">
        <v>139</v>
      </c>
      <c r="E23" s="12" t="n">
        <v>1</v>
      </c>
      <c r="F23" s="12" t="n">
        <v>0</v>
      </c>
      <c r="G23" s="6" t="s">
        <v>341</v>
      </c>
      <c r="H23" s="6" t="n">
        <v>0</v>
      </c>
    </row>
    <row r="24" customFormat="false" ht="15" hidden="false" customHeight="false" outlineLevel="0" collapsed="false">
      <c r="A24" s="6" t="s">
        <v>141</v>
      </c>
      <c r="B24" s="6" t="s">
        <v>136</v>
      </c>
      <c r="C24" s="6" t="s">
        <v>346</v>
      </c>
      <c r="D24" s="6" t="s">
        <v>139</v>
      </c>
      <c r="E24" s="12" t="n">
        <v>1</v>
      </c>
      <c r="F24" s="12" t="n">
        <v>0</v>
      </c>
      <c r="G24" s="6" t="s">
        <v>341</v>
      </c>
      <c r="H24" s="6" t="n">
        <v>0</v>
      </c>
    </row>
    <row r="25" customFormat="false" ht="15" hidden="false" customHeight="false" outlineLevel="0" collapsed="false">
      <c r="A25" s="6" t="s">
        <v>141</v>
      </c>
      <c r="B25" s="6" t="s">
        <v>136</v>
      </c>
      <c r="C25" s="6" t="s">
        <v>347</v>
      </c>
      <c r="D25" s="6" t="s">
        <v>139</v>
      </c>
      <c r="E25" s="12" t="n">
        <v>1</v>
      </c>
      <c r="F25" s="12" t="n">
        <v>0</v>
      </c>
      <c r="G25" s="6" t="s">
        <v>341</v>
      </c>
      <c r="H25" s="6" t="n">
        <v>0</v>
      </c>
    </row>
    <row r="26" customFormat="false" ht="15" hidden="false" customHeight="false" outlineLevel="0" collapsed="false">
      <c r="A26" s="6" t="s">
        <v>141</v>
      </c>
      <c r="B26" s="6" t="s">
        <v>136</v>
      </c>
      <c r="C26" s="6" t="s">
        <v>348</v>
      </c>
      <c r="D26" s="6" t="s">
        <v>139</v>
      </c>
      <c r="E26" s="12" t="n">
        <v>1</v>
      </c>
      <c r="F26" s="12" t="n">
        <v>0</v>
      </c>
      <c r="G26" s="6" t="s">
        <v>341</v>
      </c>
      <c r="H26" s="6" t="n">
        <v>0</v>
      </c>
    </row>
    <row r="27" customFormat="false" ht="15" hidden="false" customHeight="false" outlineLevel="0" collapsed="false">
      <c r="A27" s="6" t="s">
        <v>141</v>
      </c>
      <c r="B27" s="6" t="s">
        <v>136</v>
      </c>
      <c r="C27" s="6" t="s">
        <v>349</v>
      </c>
      <c r="D27" s="6" t="s">
        <v>139</v>
      </c>
      <c r="E27" s="12" t="n">
        <v>1</v>
      </c>
      <c r="F27" s="12" t="n">
        <v>0</v>
      </c>
      <c r="G27" s="6" t="s">
        <v>341</v>
      </c>
      <c r="H27" s="6" t="n">
        <v>0</v>
      </c>
    </row>
    <row r="28" customFormat="false" ht="15" hidden="false" customHeight="false" outlineLevel="0" collapsed="false">
      <c r="A28" s="6" t="s">
        <v>141</v>
      </c>
      <c r="B28" s="6" t="s">
        <v>136</v>
      </c>
      <c r="C28" s="6" t="s">
        <v>350</v>
      </c>
      <c r="D28" s="6" t="s">
        <v>139</v>
      </c>
      <c r="E28" s="12" t="n">
        <v>1</v>
      </c>
      <c r="F28" s="12" t="n">
        <v>0</v>
      </c>
      <c r="G28" s="6" t="s">
        <v>341</v>
      </c>
      <c r="H28" s="6" t="n">
        <v>0</v>
      </c>
    </row>
    <row r="29" customFormat="false" ht="15" hidden="false" customHeight="false" outlineLevel="0" collapsed="false">
      <c r="A29" s="6" t="s">
        <v>141</v>
      </c>
      <c r="B29" s="6" t="s">
        <v>136</v>
      </c>
      <c r="C29" s="6" t="s">
        <v>351</v>
      </c>
      <c r="D29" s="6" t="s">
        <v>139</v>
      </c>
      <c r="E29" s="12" t="n">
        <v>1</v>
      </c>
      <c r="F29" s="12" t="n">
        <v>0</v>
      </c>
      <c r="G29" s="6" t="s">
        <v>341</v>
      </c>
      <c r="H29" s="6" t="n">
        <v>0</v>
      </c>
    </row>
    <row r="30" customFormat="false" ht="15" hidden="false" customHeight="false" outlineLevel="0" collapsed="false">
      <c r="A30" s="6" t="s">
        <v>141</v>
      </c>
      <c r="B30" s="6" t="s">
        <v>136</v>
      </c>
      <c r="C30" s="6" t="s">
        <v>352</v>
      </c>
      <c r="D30" s="6" t="s">
        <v>139</v>
      </c>
      <c r="E30" s="12" t="n">
        <v>1</v>
      </c>
      <c r="F30" s="12" t="n">
        <v>0</v>
      </c>
      <c r="G30" s="6" t="s">
        <v>341</v>
      </c>
      <c r="H30" s="6" t="n">
        <v>0</v>
      </c>
    </row>
    <row r="31" customFormat="false" ht="15" hidden="false" customHeight="false" outlineLevel="0" collapsed="false">
      <c r="A31" s="6" t="s">
        <v>143</v>
      </c>
      <c r="B31" s="6" t="s">
        <v>136</v>
      </c>
      <c r="C31" s="6" t="s">
        <v>340</v>
      </c>
      <c r="D31" s="6" t="s">
        <v>139</v>
      </c>
      <c r="E31" s="12" t="n">
        <v>1</v>
      </c>
      <c r="F31" s="12" t="n">
        <v>0</v>
      </c>
      <c r="G31" s="6" t="s">
        <v>341</v>
      </c>
      <c r="H31" s="6" t="n">
        <v>0</v>
      </c>
    </row>
    <row r="32" customFormat="false" ht="15" hidden="false" customHeight="false" outlineLevel="0" collapsed="false">
      <c r="A32" s="6" t="s">
        <v>143</v>
      </c>
      <c r="B32" s="6" t="s">
        <v>136</v>
      </c>
      <c r="C32" s="6" t="s">
        <v>342</v>
      </c>
      <c r="D32" s="6" t="s">
        <v>139</v>
      </c>
      <c r="E32" s="12" t="n">
        <v>1</v>
      </c>
      <c r="F32" s="12" t="n">
        <v>0</v>
      </c>
      <c r="G32" s="6" t="s">
        <v>341</v>
      </c>
      <c r="H32" s="6" t="n">
        <v>0</v>
      </c>
    </row>
    <row r="33" customFormat="false" ht="15" hidden="false" customHeight="false" outlineLevel="0" collapsed="false">
      <c r="A33" s="6" t="s">
        <v>143</v>
      </c>
      <c r="B33" s="6" t="s">
        <v>136</v>
      </c>
      <c r="C33" s="6" t="s">
        <v>343</v>
      </c>
      <c r="D33" s="6" t="s">
        <v>139</v>
      </c>
      <c r="E33" s="12" t="n">
        <v>1</v>
      </c>
      <c r="F33" s="12" t="n">
        <v>0</v>
      </c>
      <c r="G33" s="6" t="s">
        <v>341</v>
      </c>
      <c r="H33" s="6" t="n">
        <v>0</v>
      </c>
    </row>
    <row r="34" customFormat="false" ht="15" hidden="false" customHeight="false" outlineLevel="0" collapsed="false">
      <c r="A34" s="6" t="s">
        <v>143</v>
      </c>
      <c r="B34" s="6" t="s">
        <v>136</v>
      </c>
      <c r="C34" s="6" t="s">
        <v>344</v>
      </c>
      <c r="D34" s="6" t="s">
        <v>139</v>
      </c>
      <c r="E34" s="12" t="n">
        <v>1</v>
      </c>
      <c r="F34" s="12" t="n">
        <v>0</v>
      </c>
      <c r="G34" s="6" t="s">
        <v>341</v>
      </c>
      <c r="H34" s="6" t="n">
        <v>0</v>
      </c>
    </row>
    <row r="35" customFormat="false" ht="15" hidden="false" customHeight="false" outlineLevel="0" collapsed="false">
      <c r="A35" s="6" t="s">
        <v>143</v>
      </c>
      <c r="B35" s="6" t="s">
        <v>136</v>
      </c>
      <c r="C35" s="6" t="s">
        <v>345</v>
      </c>
      <c r="D35" s="6" t="s">
        <v>139</v>
      </c>
      <c r="E35" s="12" t="n">
        <v>1</v>
      </c>
      <c r="F35" s="12" t="n">
        <v>0</v>
      </c>
      <c r="G35" s="6" t="s">
        <v>341</v>
      </c>
      <c r="H35" s="6" t="n">
        <v>0</v>
      </c>
    </row>
    <row r="36" customFormat="false" ht="15" hidden="false" customHeight="false" outlineLevel="0" collapsed="false">
      <c r="A36" s="6" t="s">
        <v>143</v>
      </c>
      <c r="B36" s="6" t="s">
        <v>136</v>
      </c>
      <c r="C36" s="6" t="s">
        <v>346</v>
      </c>
      <c r="D36" s="6" t="s">
        <v>139</v>
      </c>
      <c r="E36" s="12" t="n">
        <v>1</v>
      </c>
      <c r="F36" s="12" t="n">
        <v>0</v>
      </c>
      <c r="G36" s="6" t="s">
        <v>341</v>
      </c>
      <c r="H36" s="6" t="n">
        <v>0</v>
      </c>
    </row>
    <row r="37" customFormat="false" ht="15" hidden="false" customHeight="false" outlineLevel="0" collapsed="false">
      <c r="A37" s="6" t="s">
        <v>143</v>
      </c>
      <c r="B37" s="6" t="s">
        <v>136</v>
      </c>
      <c r="C37" s="6" t="s">
        <v>347</v>
      </c>
      <c r="D37" s="6" t="s">
        <v>139</v>
      </c>
      <c r="E37" s="12" t="n">
        <v>1</v>
      </c>
      <c r="F37" s="12" t="n">
        <v>0</v>
      </c>
      <c r="G37" s="6" t="s">
        <v>341</v>
      </c>
      <c r="H37" s="6" t="n">
        <v>0</v>
      </c>
    </row>
    <row r="38" customFormat="false" ht="15" hidden="false" customHeight="false" outlineLevel="0" collapsed="false">
      <c r="A38" s="6" t="s">
        <v>143</v>
      </c>
      <c r="B38" s="6" t="s">
        <v>136</v>
      </c>
      <c r="C38" s="6" t="s">
        <v>348</v>
      </c>
      <c r="D38" s="6" t="s">
        <v>139</v>
      </c>
      <c r="E38" s="12" t="n">
        <v>1</v>
      </c>
      <c r="F38" s="12" t="n">
        <v>0</v>
      </c>
      <c r="G38" s="6" t="s">
        <v>341</v>
      </c>
      <c r="H38" s="6" t="n">
        <v>0</v>
      </c>
    </row>
    <row r="39" customFormat="false" ht="15" hidden="false" customHeight="false" outlineLevel="0" collapsed="false">
      <c r="A39" s="6" t="s">
        <v>143</v>
      </c>
      <c r="B39" s="6" t="s">
        <v>136</v>
      </c>
      <c r="C39" s="6" t="s">
        <v>349</v>
      </c>
      <c r="D39" s="6" t="s">
        <v>139</v>
      </c>
      <c r="E39" s="12" t="n">
        <v>1</v>
      </c>
      <c r="F39" s="12" t="n">
        <v>0</v>
      </c>
      <c r="G39" s="6" t="s">
        <v>341</v>
      </c>
      <c r="H39" s="6" t="n">
        <v>0</v>
      </c>
    </row>
    <row r="40" customFormat="false" ht="15" hidden="false" customHeight="false" outlineLevel="0" collapsed="false">
      <c r="A40" s="6" t="s">
        <v>143</v>
      </c>
      <c r="B40" s="6" t="s">
        <v>136</v>
      </c>
      <c r="C40" s="6" t="s">
        <v>350</v>
      </c>
      <c r="D40" s="6" t="s">
        <v>139</v>
      </c>
      <c r="E40" s="12" t="n">
        <v>1</v>
      </c>
      <c r="F40" s="12" t="n">
        <v>0</v>
      </c>
      <c r="G40" s="6" t="s">
        <v>341</v>
      </c>
      <c r="H40" s="6" t="n">
        <v>0</v>
      </c>
    </row>
    <row r="41" customFormat="false" ht="15" hidden="false" customHeight="false" outlineLevel="0" collapsed="false">
      <c r="A41" s="6" t="s">
        <v>143</v>
      </c>
      <c r="B41" s="6" t="s">
        <v>136</v>
      </c>
      <c r="C41" s="6" t="s">
        <v>351</v>
      </c>
      <c r="D41" s="6" t="s">
        <v>139</v>
      </c>
      <c r="E41" s="12" t="n">
        <v>1</v>
      </c>
      <c r="F41" s="12" t="n">
        <v>0</v>
      </c>
      <c r="G41" s="6" t="s">
        <v>341</v>
      </c>
      <c r="H41" s="6" t="n">
        <v>0</v>
      </c>
    </row>
    <row r="42" customFormat="false" ht="15" hidden="false" customHeight="false" outlineLevel="0" collapsed="false">
      <c r="A42" s="6" t="s">
        <v>143</v>
      </c>
      <c r="B42" s="6" t="s">
        <v>136</v>
      </c>
      <c r="C42" s="6" t="s">
        <v>352</v>
      </c>
      <c r="D42" s="6" t="s">
        <v>139</v>
      </c>
      <c r="E42" s="12" t="n">
        <v>1</v>
      </c>
      <c r="F42" s="12" t="n">
        <v>0</v>
      </c>
      <c r="G42" s="6" t="s">
        <v>341</v>
      </c>
      <c r="H42" s="6" t="n">
        <v>0</v>
      </c>
    </row>
    <row r="43" customFormat="false" ht="15" hidden="false" customHeight="false" outlineLevel="0" collapsed="false">
      <c r="A43" s="6" t="s">
        <v>145</v>
      </c>
      <c r="B43" s="6" t="s">
        <v>136</v>
      </c>
      <c r="C43" s="6" t="s">
        <v>340</v>
      </c>
      <c r="D43" s="6" t="s">
        <v>139</v>
      </c>
      <c r="E43" s="12" t="n">
        <v>1</v>
      </c>
      <c r="F43" s="12" t="n">
        <v>0</v>
      </c>
      <c r="G43" s="6" t="s">
        <v>341</v>
      </c>
      <c r="H43" s="6" t="n">
        <v>0</v>
      </c>
    </row>
    <row r="44" customFormat="false" ht="15" hidden="false" customHeight="false" outlineLevel="0" collapsed="false">
      <c r="A44" s="6" t="s">
        <v>145</v>
      </c>
      <c r="B44" s="6" t="s">
        <v>136</v>
      </c>
      <c r="C44" s="6" t="s">
        <v>342</v>
      </c>
      <c r="D44" s="6" t="s">
        <v>139</v>
      </c>
      <c r="E44" s="12" t="n">
        <v>1</v>
      </c>
      <c r="F44" s="12" t="n">
        <v>0</v>
      </c>
      <c r="G44" s="6" t="s">
        <v>341</v>
      </c>
      <c r="H44" s="6" t="n">
        <v>0</v>
      </c>
    </row>
    <row r="45" customFormat="false" ht="15" hidden="false" customHeight="false" outlineLevel="0" collapsed="false">
      <c r="A45" s="6" t="s">
        <v>145</v>
      </c>
      <c r="B45" s="6" t="s">
        <v>136</v>
      </c>
      <c r="C45" s="6" t="s">
        <v>343</v>
      </c>
      <c r="D45" s="6" t="s">
        <v>139</v>
      </c>
      <c r="E45" s="12" t="n">
        <v>1</v>
      </c>
      <c r="F45" s="12" t="n">
        <v>0</v>
      </c>
      <c r="G45" s="6" t="s">
        <v>341</v>
      </c>
      <c r="H45" s="6" t="n">
        <v>0</v>
      </c>
    </row>
    <row r="46" customFormat="false" ht="15" hidden="false" customHeight="false" outlineLevel="0" collapsed="false">
      <c r="A46" s="6" t="s">
        <v>145</v>
      </c>
      <c r="B46" s="6" t="s">
        <v>136</v>
      </c>
      <c r="C46" s="6" t="s">
        <v>344</v>
      </c>
      <c r="D46" s="6" t="s">
        <v>139</v>
      </c>
      <c r="E46" s="12" t="n">
        <v>1</v>
      </c>
      <c r="F46" s="12" t="n">
        <v>0</v>
      </c>
      <c r="G46" s="6" t="s">
        <v>341</v>
      </c>
      <c r="H46" s="6" t="n">
        <v>0</v>
      </c>
    </row>
    <row r="47" customFormat="false" ht="15" hidden="false" customHeight="false" outlineLevel="0" collapsed="false">
      <c r="A47" s="6" t="s">
        <v>145</v>
      </c>
      <c r="B47" s="6" t="s">
        <v>136</v>
      </c>
      <c r="C47" s="6" t="s">
        <v>345</v>
      </c>
      <c r="D47" s="6" t="s">
        <v>139</v>
      </c>
      <c r="E47" s="12" t="n">
        <v>1</v>
      </c>
      <c r="F47" s="12" t="n">
        <v>0</v>
      </c>
      <c r="G47" s="6" t="s">
        <v>341</v>
      </c>
      <c r="H47" s="6" t="n">
        <v>0</v>
      </c>
    </row>
    <row r="48" customFormat="false" ht="15" hidden="false" customHeight="false" outlineLevel="0" collapsed="false">
      <c r="A48" s="6" t="s">
        <v>145</v>
      </c>
      <c r="B48" s="6" t="s">
        <v>136</v>
      </c>
      <c r="C48" s="6" t="s">
        <v>346</v>
      </c>
      <c r="D48" s="6" t="s">
        <v>139</v>
      </c>
      <c r="E48" s="12" t="n">
        <v>1</v>
      </c>
      <c r="F48" s="12" t="n">
        <v>0</v>
      </c>
      <c r="G48" s="6" t="s">
        <v>341</v>
      </c>
      <c r="H48" s="6" t="n">
        <v>0</v>
      </c>
    </row>
    <row r="49" customFormat="false" ht="15" hidden="false" customHeight="false" outlineLevel="0" collapsed="false">
      <c r="A49" s="6" t="s">
        <v>145</v>
      </c>
      <c r="B49" s="6" t="s">
        <v>136</v>
      </c>
      <c r="C49" s="6" t="s">
        <v>347</v>
      </c>
      <c r="D49" s="6" t="s">
        <v>139</v>
      </c>
      <c r="E49" s="12" t="n">
        <v>1</v>
      </c>
      <c r="F49" s="12" t="n">
        <v>0</v>
      </c>
      <c r="G49" s="6" t="s">
        <v>341</v>
      </c>
      <c r="H49" s="6" t="n">
        <v>0</v>
      </c>
    </row>
    <row r="50" customFormat="false" ht="15" hidden="false" customHeight="false" outlineLevel="0" collapsed="false">
      <c r="A50" s="6" t="s">
        <v>145</v>
      </c>
      <c r="B50" s="6" t="s">
        <v>136</v>
      </c>
      <c r="C50" s="6" t="s">
        <v>348</v>
      </c>
      <c r="D50" s="6" t="s">
        <v>139</v>
      </c>
      <c r="E50" s="12" t="n">
        <v>1</v>
      </c>
      <c r="F50" s="12" t="n">
        <v>0</v>
      </c>
      <c r="G50" s="6" t="s">
        <v>341</v>
      </c>
      <c r="H50" s="6" t="n">
        <v>0</v>
      </c>
    </row>
    <row r="51" customFormat="false" ht="15" hidden="false" customHeight="false" outlineLevel="0" collapsed="false">
      <c r="A51" s="6" t="s">
        <v>145</v>
      </c>
      <c r="B51" s="6" t="s">
        <v>136</v>
      </c>
      <c r="C51" s="6" t="s">
        <v>349</v>
      </c>
      <c r="D51" s="6" t="s">
        <v>139</v>
      </c>
      <c r="E51" s="12" t="n">
        <v>1</v>
      </c>
      <c r="F51" s="12" t="n">
        <v>0</v>
      </c>
      <c r="G51" s="6" t="s">
        <v>341</v>
      </c>
      <c r="H51" s="6" t="n">
        <v>0</v>
      </c>
    </row>
    <row r="52" customFormat="false" ht="15" hidden="false" customHeight="false" outlineLevel="0" collapsed="false">
      <c r="A52" s="6" t="s">
        <v>145</v>
      </c>
      <c r="B52" s="6" t="s">
        <v>136</v>
      </c>
      <c r="C52" s="6" t="s">
        <v>350</v>
      </c>
      <c r="D52" s="6" t="s">
        <v>139</v>
      </c>
      <c r="E52" s="12" t="n">
        <v>1</v>
      </c>
      <c r="F52" s="12" t="n">
        <v>0</v>
      </c>
      <c r="G52" s="6" t="s">
        <v>341</v>
      </c>
      <c r="H52" s="6" t="n">
        <v>0</v>
      </c>
    </row>
    <row r="53" customFormat="false" ht="15" hidden="false" customHeight="false" outlineLevel="0" collapsed="false">
      <c r="A53" s="6" t="s">
        <v>145</v>
      </c>
      <c r="B53" s="6" t="s">
        <v>136</v>
      </c>
      <c r="C53" s="6" t="s">
        <v>351</v>
      </c>
      <c r="D53" s="6" t="s">
        <v>139</v>
      </c>
      <c r="E53" s="12" t="n">
        <v>1</v>
      </c>
      <c r="F53" s="12" t="n">
        <v>0</v>
      </c>
      <c r="G53" s="6" t="s">
        <v>341</v>
      </c>
      <c r="H53" s="6" t="n">
        <v>0</v>
      </c>
    </row>
    <row r="54" customFormat="false" ht="15" hidden="false" customHeight="false" outlineLevel="0" collapsed="false">
      <c r="A54" s="6" t="s">
        <v>145</v>
      </c>
      <c r="B54" s="6" t="s">
        <v>136</v>
      </c>
      <c r="C54" s="6" t="s">
        <v>352</v>
      </c>
      <c r="D54" s="6" t="s">
        <v>139</v>
      </c>
      <c r="E54" s="12" t="n">
        <v>1</v>
      </c>
      <c r="F54" s="12" t="n">
        <v>0</v>
      </c>
      <c r="G54" s="6" t="s">
        <v>341</v>
      </c>
      <c r="H54" s="6" t="n">
        <v>0</v>
      </c>
    </row>
    <row r="55" customFormat="false" ht="15" hidden="false" customHeight="false" outlineLevel="0" collapsed="false">
      <c r="A55" s="6" t="s">
        <v>147</v>
      </c>
      <c r="B55" s="6" t="s">
        <v>148</v>
      </c>
      <c r="C55" s="6" t="s">
        <v>340</v>
      </c>
      <c r="D55" s="6" t="s">
        <v>139</v>
      </c>
      <c r="E55" s="12" t="n">
        <v>1</v>
      </c>
      <c r="F55" s="12" t="n">
        <v>0</v>
      </c>
      <c r="G55" s="6" t="s">
        <v>341</v>
      </c>
      <c r="H55" s="6" t="n">
        <v>0</v>
      </c>
    </row>
    <row r="56" customFormat="false" ht="15" hidden="false" customHeight="false" outlineLevel="0" collapsed="false">
      <c r="A56" s="6" t="s">
        <v>147</v>
      </c>
      <c r="B56" s="6" t="s">
        <v>148</v>
      </c>
      <c r="C56" s="6" t="s">
        <v>342</v>
      </c>
      <c r="D56" s="6" t="s">
        <v>139</v>
      </c>
      <c r="E56" s="12" t="n">
        <v>1</v>
      </c>
      <c r="F56" s="12" t="n">
        <v>0</v>
      </c>
      <c r="G56" s="6" t="s">
        <v>341</v>
      </c>
      <c r="H56" s="6" t="n">
        <v>0</v>
      </c>
    </row>
    <row r="57" customFormat="false" ht="15" hidden="false" customHeight="false" outlineLevel="0" collapsed="false">
      <c r="A57" s="6" t="s">
        <v>147</v>
      </c>
      <c r="B57" s="6" t="s">
        <v>148</v>
      </c>
      <c r="C57" s="6" t="s">
        <v>343</v>
      </c>
      <c r="D57" s="6" t="s">
        <v>139</v>
      </c>
      <c r="E57" s="12" t="n">
        <v>1</v>
      </c>
      <c r="F57" s="12" t="n">
        <v>0</v>
      </c>
      <c r="G57" s="6" t="s">
        <v>341</v>
      </c>
      <c r="H57" s="6" t="n">
        <v>0</v>
      </c>
    </row>
    <row r="58" customFormat="false" ht="15" hidden="false" customHeight="false" outlineLevel="0" collapsed="false">
      <c r="A58" s="6" t="s">
        <v>147</v>
      </c>
      <c r="B58" s="6" t="s">
        <v>148</v>
      </c>
      <c r="C58" s="6" t="s">
        <v>344</v>
      </c>
      <c r="D58" s="6" t="s">
        <v>139</v>
      </c>
      <c r="E58" s="12" t="n">
        <v>1</v>
      </c>
      <c r="F58" s="12" t="n">
        <v>0</v>
      </c>
      <c r="G58" s="6" t="s">
        <v>341</v>
      </c>
      <c r="H58" s="6" t="n">
        <v>0</v>
      </c>
    </row>
    <row r="59" customFormat="false" ht="15" hidden="false" customHeight="false" outlineLevel="0" collapsed="false">
      <c r="A59" s="6" t="s">
        <v>147</v>
      </c>
      <c r="B59" s="6" t="s">
        <v>148</v>
      </c>
      <c r="C59" s="6" t="s">
        <v>345</v>
      </c>
      <c r="D59" s="6" t="s">
        <v>139</v>
      </c>
      <c r="E59" s="12" t="n">
        <v>1</v>
      </c>
      <c r="F59" s="12" t="n">
        <v>0</v>
      </c>
      <c r="G59" s="6" t="s">
        <v>341</v>
      </c>
      <c r="H59" s="6" t="n">
        <v>0</v>
      </c>
    </row>
    <row r="60" customFormat="false" ht="15" hidden="false" customHeight="false" outlineLevel="0" collapsed="false">
      <c r="A60" s="6" t="s">
        <v>147</v>
      </c>
      <c r="B60" s="6" t="s">
        <v>148</v>
      </c>
      <c r="C60" s="6" t="s">
        <v>346</v>
      </c>
      <c r="D60" s="6" t="s">
        <v>139</v>
      </c>
      <c r="E60" s="12" t="n">
        <v>1</v>
      </c>
      <c r="F60" s="12" t="n">
        <v>0</v>
      </c>
      <c r="G60" s="6" t="s">
        <v>341</v>
      </c>
      <c r="H60" s="6" t="n">
        <v>0</v>
      </c>
    </row>
    <row r="61" customFormat="false" ht="15" hidden="false" customHeight="false" outlineLevel="0" collapsed="false">
      <c r="A61" s="6" t="s">
        <v>147</v>
      </c>
      <c r="B61" s="6" t="s">
        <v>148</v>
      </c>
      <c r="C61" s="6" t="s">
        <v>347</v>
      </c>
      <c r="D61" s="6" t="s">
        <v>139</v>
      </c>
      <c r="E61" s="12" t="n">
        <v>1</v>
      </c>
      <c r="F61" s="12" t="n">
        <v>0</v>
      </c>
      <c r="G61" s="6" t="s">
        <v>341</v>
      </c>
      <c r="H61" s="6" t="n">
        <v>0</v>
      </c>
    </row>
    <row r="62" customFormat="false" ht="15" hidden="false" customHeight="false" outlineLevel="0" collapsed="false">
      <c r="A62" s="6" t="s">
        <v>147</v>
      </c>
      <c r="B62" s="6" t="s">
        <v>148</v>
      </c>
      <c r="C62" s="6" t="s">
        <v>348</v>
      </c>
      <c r="D62" s="6" t="s">
        <v>139</v>
      </c>
      <c r="E62" s="12" t="n">
        <v>1</v>
      </c>
      <c r="F62" s="12" t="n">
        <v>0</v>
      </c>
      <c r="G62" s="6" t="s">
        <v>341</v>
      </c>
      <c r="H62" s="6" t="n">
        <v>0</v>
      </c>
    </row>
    <row r="63" customFormat="false" ht="15" hidden="false" customHeight="false" outlineLevel="0" collapsed="false">
      <c r="A63" s="6" t="s">
        <v>147</v>
      </c>
      <c r="B63" s="6" t="s">
        <v>148</v>
      </c>
      <c r="C63" s="6" t="s">
        <v>349</v>
      </c>
      <c r="D63" s="6" t="s">
        <v>139</v>
      </c>
      <c r="E63" s="12" t="n">
        <v>1</v>
      </c>
      <c r="F63" s="12" t="n">
        <v>0</v>
      </c>
      <c r="G63" s="6" t="s">
        <v>341</v>
      </c>
      <c r="H63" s="6" t="n">
        <v>0</v>
      </c>
    </row>
    <row r="64" customFormat="false" ht="15" hidden="false" customHeight="false" outlineLevel="0" collapsed="false">
      <c r="A64" s="6" t="s">
        <v>147</v>
      </c>
      <c r="B64" s="6" t="s">
        <v>148</v>
      </c>
      <c r="C64" s="6" t="s">
        <v>350</v>
      </c>
      <c r="D64" s="6" t="s">
        <v>139</v>
      </c>
      <c r="E64" s="12" t="n">
        <v>1</v>
      </c>
      <c r="F64" s="12" t="n">
        <v>0</v>
      </c>
      <c r="G64" s="6" t="s">
        <v>341</v>
      </c>
      <c r="H64" s="6" t="n">
        <v>0</v>
      </c>
    </row>
    <row r="65" customFormat="false" ht="15" hidden="false" customHeight="false" outlineLevel="0" collapsed="false">
      <c r="A65" s="6" t="s">
        <v>147</v>
      </c>
      <c r="B65" s="6" t="s">
        <v>148</v>
      </c>
      <c r="C65" s="6" t="s">
        <v>351</v>
      </c>
      <c r="D65" s="6" t="s">
        <v>139</v>
      </c>
      <c r="E65" s="12" t="n">
        <v>1</v>
      </c>
      <c r="F65" s="12" t="n">
        <v>0</v>
      </c>
      <c r="G65" s="6" t="s">
        <v>341</v>
      </c>
      <c r="H65" s="6" t="n">
        <v>0</v>
      </c>
    </row>
    <row r="66" customFormat="false" ht="15" hidden="false" customHeight="false" outlineLevel="0" collapsed="false">
      <c r="A66" s="6" t="s">
        <v>147</v>
      </c>
      <c r="B66" s="6" t="s">
        <v>148</v>
      </c>
      <c r="C66" s="6" t="s">
        <v>352</v>
      </c>
      <c r="D66" s="6" t="s">
        <v>139</v>
      </c>
      <c r="E66" s="12" t="n">
        <v>1</v>
      </c>
      <c r="F66" s="12" t="n">
        <v>0</v>
      </c>
      <c r="G66" s="6" t="s">
        <v>341</v>
      </c>
      <c r="H66" s="6" t="n">
        <v>0</v>
      </c>
    </row>
    <row r="67" customFormat="false" ht="15" hidden="false" customHeight="false" outlineLevel="0" collapsed="false">
      <c r="A67" s="6" t="s">
        <v>151</v>
      </c>
      <c r="B67" s="6" t="s">
        <v>148</v>
      </c>
      <c r="C67" s="6" t="s">
        <v>340</v>
      </c>
      <c r="D67" s="6" t="s">
        <v>139</v>
      </c>
      <c r="E67" s="12" t="n">
        <v>1</v>
      </c>
      <c r="F67" s="12" t="n">
        <v>0</v>
      </c>
      <c r="G67" s="6" t="s">
        <v>341</v>
      </c>
      <c r="H67" s="6" t="n">
        <v>0</v>
      </c>
    </row>
    <row r="68" customFormat="false" ht="15" hidden="false" customHeight="false" outlineLevel="0" collapsed="false">
      <c r="A68" s="6" t="s">
        <v>151</v>
      </c>
      <c r="B68" s="6" t="s">
        <v>148</v>
      </c>
      <c r="C68" s="6" t="s">
        <v>342</v>
      </c>
      <c r="D68" s="6" t="s">
        <v>139</v>
      </c>
      <c r="E68" s="12" t="n">
        <v>1</v>
      </c>
      <c r="F68" s="12" t="n">
        <v>0</v>
      </c>
      <c r="G68" s="6" t="s">
        <v>341</v>
      </c>
      <c r="H68" s="6" t="n">
        <v>0</v>
      </c>
    </row>
    <row r="69" customFormat="false" ht="15" hidden="false" customHeight="false" outlineLevel="0" collapsed="false">
      <c r="A69" s="6" t="s">
        <v>151</v>
      </c>
      <c r="B69" s="6" t="s">
        <v>148</v>
      </c>
      <c r="C69" s="6" t="s">
        <v>343</v>
      </c>
      <c r="D69" s="6" t="s">
        <v>139</v>
      </c>
      <c r="E69" s="12" t="n">
        <v>1</v>
      </c>
      <c r="F69" s="12" t="n">
        <v>0</v>
      </c>
      <c r="G69" s="6" t="s">
        <v>341</v>
      </c>
      <c r="H69" s="6" t="n">
        <v>0</v>
      </c>
    </row>
    <row r="70" customFormat="false" ht="15" hidden="false" customHeight="false" outlineLevel="0" collapsed="false">
      <c r="A70" s="6" t="s">
        <v>151</v>
      </c>
      <c r="B70" s="6" t="s">
        <v>148</v>
      </c>
      <c r="C70" s="6" t="s">
        <v>344</v>
      </c>
      <c r="D70" s="6" t="s">
        <v>139</v>
      </c>
      <c r="E70" s="12" t="n">
        <v>1</v>
      </c>
      <c r="F70" s="12" t="n">
        <v>0</v>
      </c>
      <c r="G70" s="6" t="s">
        <v>341</v>
      </c>
      <c r="H70" s="6" t="n">
        <v>0</v>
      </c>
    </row>
    <row r="71" customFormat="false" ht="15" hidden="false" customHeight="false" outlineLevel="0" collapsed="false">
      <c r="A71" s="6" t="s">
        <v>151</v>
      </c>
      <c r="B71" s="6" t="s">
        <v>148</v>
      </c>
      <c r="C71" s="6" t="s">
        <v>345</v>
      </c>
      <c r="D71" s="6" t="s">
        <v>139</v>
      </c>
      <c r="E71" s="12" t="n">
        <v>1</v>
      </c>
      <c r="F71" s="12" t="n">
        <v>0</v>
      </c>
      <c r="G71" s="6" t="s">
        <v>341</v>
      </c>
      <c r="H71" s="6" t="n">
        <v>0</v>
      </c>
    </row>
    <row r="72" customFormat="false" ht="15" hidden="false" customHeight="false" outlineLevel="0" collapsed="false">
      <c r="A72" s="6" t="s">
        <v>151</v>
      </c>
      <c r="B72" s="6" t="s">
        <v>148</v>
      </c>
      <c r="C72" s="6" t="s">
        <v>346</v>
      </c>
      <c r="D72" s="6" t="s">
        <v>139</v>
      </c>
      <c r="E72" s="12" t="n">
        <v>1</v>
      </c>
      <c r="F72" s="12" t="n">
        <v>0</v>
      </c>
      <c r="G72" s="6" t="s">
        <v>341</v>
      </c>
      <c r="H72" s="6" t="n">
        <v>0</v>
      </c>
    </row>
    <row r="73" customFormat="false" ht="15" hidden="false" customHeight="false" outlineLevel="0" collapsed="false">
      <c r="A73" s="6" t="s">
        <v>151</v>
      </c>
      <c r="B73" s="6" t="s">
        <v>148</v>
      </c>
      <c r="C73" s="6" t="s">
        <v>347</v>
      </c>
      <c r="D73" s="6" t="s">
        <v>139</v>
      </c>
      <c r="E73" s="12" t="n">
        <v>1</v>
      </c>
      <c r="F73" s="12" t="n">
        <v>0</v>
      </c>
      <c r="G73" s="6" t="s">
        <v>341</v>
      </c>
      <c r="H73" s="6" t="n">
        <v>0</v>
      </c>
    </row>
    <row r="74" customFormat="false" ht="15" hidden="false" customHeight="false" outlineLevel="0" collapsed="false">
      <c r="A74" s="6" t="s">
        <v>151</v>
      </c>
      <c r="B74" s="6" t="s">
        <v>148</v>
      </c>
      <c r="C74" s="6" t="s">
        <v>348</v>
      </c>
      <c r="D74" s="6" t="s">
        <v>139</v>
      </c>
      <c r="E74" s="12" t="n">
        <v>1</v>
      </c>
      <c r="F74" s="12" t="n">
        <v>0</v>
      </c>
      <c r="G74" s="6" t="s">
        <v>341</v>
      </c>
      <c r="H74" s="6" t="n">
        <v>0</v>
      </c>
    </row>
    <row r="75" customFormat="false" ht="15" hidden="false" customHeight="false" outlineLevel="0" collapsed="false">
      <c r="A75" s="6" t="s">
        <v>151</v>
      </c>
      <c r="B75" s="6" t="s">
        <v>148</v>
      </c>
      <c r="C75" s="6" t="s">
        <v>349</v>
      </c>
      <c r="D75" s="6" t="s">
        <v>139</v>
      </c>
      <c r="E75" s="12" t="n">
        <v>1</v>
      </c>
      <c r="F75" s="12" t="n">
        <v>0</v>
      </c>
      <c r="G75" s="6" t="s">
        <v>341</v>
      </c>
      <c r="H75" s="6" t="n">
        <v>0</v>
      </c>
    </row>
    <row r="76" customFormat="false" ht="15" hidden="false" customHeight="false" outlineLevel="0" collapsed="false">
      <c r="A76" s="6" t="s">
        <v>151</v>
      </c>
      <c r="B76" s="6" t="s">
        <v>148</v>
      </c>
      <c r="C76" s="6" t="s">
        <v>350</v>
      </c>
      <c r="D76" s="6" t="s">
        <v>139</v>
      </c>
      <c r="E76" s="12" t="n">
        <v>1</v>
      </c>
      <c r="F76" s="12" t="n">
        <v>0</v>
      </c>
      <c r="G76" s="6" t="s">
        <v>341</v>
      </c>
      <c r="H76" s="6" t="n">
        <v>0</v>
      </c>
    </row>
    <row r="77" customFormat="false" ht="15" hidden="false" customHeight="false" outlineLevel="0" collapsed="false">
      <c r="A77" s="6" t="s">
        <v>151</v>
      </c>
      <c r="B77" s="6" t="s">
        <v>148</v>
      </c>
      <c r="C77" s="6" t="s">
        <v>351</v>
      </c>
      <c r="D77" s="6" t="s">
        <v>139</v>
      </c>
      <c r="E77" s="12" t="n">
        <v>1</v>
      </c>
      <c r="F77" s="12" t="n">
        <v>0</v>
      </c>
      <c r="G77" s="6" t="s">
        <v>341</v>
      </c>
      <c r="H77" s="6" t="n">
        <v>0</v>
      </c>
    </row>
    <row r="78" customFormat="false" ht="15" hidden="false" customHeight="false" outlineLevel="0" collapsed="false">
      <c r="A78" s="6" t="s">
        <v>151</v>
      </c>
      <c r="B78" s="6" t="s">
        <v>148</v>
      </c>
      <c r="C78" s="6" t="s">
        <v>352</v>
      </c>
      <c r="D78" s="6" t="s">
        <v>139</v>
      </c>
      <c r="E78" s="12" t="n">
        <v>1</v>
      </c>
      <c r="F78" s="12" t="n">
        <v>0</v>
      </c>
      <c r="G78" s="6" t="s">
        <v>341</v>
      </c>
      <c r="H78" s="6" t="n">
        <v>0</v>
      </c>
    </row>
    <row r="79" customFormat="false" ht="15" hidden="false" customHeight="false" outlineLevel="0" collapsed="false">
      <c r="A79" s="6" t="s">
        <v>153</v>
      </c>
      <c r="B79" s="6" t="s">
        <v>148</v>
      </c>
      <c r="C79" s="6" t="s">
        <v>340</v>
      </c>
      <c r="D79" s="6" t="s">
        <v>139</v>
      </c>
      <c r="E79" s="12" t="n">
        <v>1</v>
      </c>
      <c r="F79" s="12" t="n">
        <v>0</v>
      </c>
      <c r="G79" s="6" t="s">
        <v>341</v>
      </c>
      <c r="H79" s="6" t="n">
        <v>0</v>
      </c>
    </row>
    <row r="80" customFormat="false" ht="15" hidden="false" customHeight="false" outlineLevel="0" collapsed="false">
      <c r="A80" s="6" t="s">
        <v>153</v>
      </c>
      <c r="B80" s="6" t="s">
        <v>148</v>
      </c>
      <c r="C80" s="6" t="s">
        <v>342</v>
      </c>
      <c r="D80" s="6" t="s">
        <v>139</v>
      </c>
      <c r="E80" s="12" t="n">
        <v>1</v>
      </c>
      <c r="F80" s="12" t="n">
        <v>0</v>
      </c>
      <c r="G80" s="6" t="s">
        <v>341</v>
      </c>
      <c r="H80" s="6" t="n">
        <v>0</v>
      </c>
    </row>
    <row r="81" customFormat="false" ht="15" hidden="false" customHeight="false" outlineLevel="0" collapsed="false">
      <c r="A81" s="6" t="s">
        <v>153</v>
      </c>
      <c r="B81" s="6" t="s">
        <v>148</v>
      </c>
      <c r="C81" s="6" t="s">
        <v>343</v>
      </c>
      <c r="D81" s="6" t="s">
        <v>139</v>
      </c>
      <c r="E81" s="12" t="n">
        <v>1</v>
      </c>
      <c r="F81" s="12" t="n">
        <v>0</v>
      </c>
      <c r="G81" s="6" t="s">
        <v>341</v>
      </c>
      <c r="H81" s="6" t="n">
        <v>0</v>
      </c>
    </row>
    <row r="82" customFormat="false" ht="15" hidden="false" customHeight="false" outlineLevel="0" collapsed="false">
      <c r="A82" s="6" t="s">
        <v>153</v>
      </c>
      <c r="B82" s="6" t="s">
        <v>148</v>
      </c>
      <c r="C82" s="6" t="s">
        <v>344</v>
      </c>
      <c r="D82" s="6" t="s">
        <v>139</v>
      </c>
      <c r="E82" s="12" t="n">
        <v>1</v>
      </c>
      <c r="F82" s="12" t="n">
        <v>0</v>
      </c>
      <c r="G82" s="6" t="s">
        <v>341</v>
      </c>
      <c r="H82" s="6" t="n">
        <v>0</v>
      </c>
    </row>
    <row r="83" customFormat="false" ht="15" hidden="false" customHeight="false" outlineLevel="0" collapsed="false">
      <c r="A83" s="6" t="s">
        <v>153</v>
      </c>
      <c r="B83" s="6" t="s">
        <v>148</v>
      </c>
      <c r="C83" s="6" t="s">
        <v>345</v>
      </c>
      <c r="D83" s="6" t="s">
        <v>139</v>
      </c>
      <c r="E83" s="12" t="n">
        <v>1</v>
      </c>
      <c r="F83" s="12" t="n">
        <v>0</v>
      </c>
      <c r="G83" s="6" t="s">
        <v>341</v>
      </c>
      <c r="H83" s="6" t="n">
        <v>0</v>
      </c>
    </row>
    <row r="84" customFormat="false" ht="15" hidden="false" customHeight="false" outlineLevel="0" collapsed="false">
      <c r="A84" s="6" t="s">
        <v>153</v>
      </c>
      <c r="B84" s="6" t="s">
        <v>148</v>
      </c>
      <c r="C84" s="6" t="s">
        <v>346</v>
      </c>
      <c r="D84" s="6" t="s">
        <v>139</v>
      </c>
      <c r="E84" s="12" t="n">
        <v>1</v>
      </c>
      <c r="F84" s="12" t="n">
        <v>0</v>
      </c>
      <c r="G84" s="6" t="s">
        <v>341</v>
      </c>
      <c r="H84" s="6" t="n">
        <v>0</v>
      </c>
    </row>
    <row r="85" customFormat="false" ht="15" hidden="false" customHeight="false" outlineLevel="0" collapsed="false">
      <c r="A85" s="6" t="s">
        <v>153</v>
      </c>
      <c r="B85" s="6" t="s">
        <v>148</v>
      </c>
      <c r="C85" s="6" t="s">
        <v>347</v>
      </c>
      <c r="D85" s="6" t="s">
        <v>139</v>
      </c>
      <c r="E85" s="12" t="n">
        <v>1</v>
      </c>
      <c r="F85" s="12" t="n">
        <v>0</v>
      </c>
      <c r="G85" s="6" t="s">
        <v>341</v>
      </c>
      <c r="H85" s="6" t="n">
        <v>0</v>
      </c>
    </row>
    <row r="86" customFormat="false" ht="15" hidden="false" customHeight="false" outlineLevel="0" collapsed="false">
      <c r="A86" s="6" t="s">
        <v>153</v>
      </c>
      <c r="B86" s="6" t="s">
        <v>148</v>
      </c>
      <c r="C86" s="6" t="s">
        <v>348</v>
      </c>
      <c r="D86" s="6" t="s">
        <v>139</v>
      </c>
      <c r="E86" s="12" t="n">
        <v>1</v>
      </c>
      <c r="F86" s="12" t="n">
        <v>0</v>
      </c>
      <c r="G86" s="6" t="s">
        <v>341</v>
      </c>
      <c r="H86" s="6" t="n">
        <v>0</v>
      </c>
    </row>
    <row r="87" customFormat="false" ht="15" hidden="false" customHeight="false" outlineLevel="0" collapsed="false">
      <c r="A87" s="6" t="s">
        <v>153</v>
      </c>
      <c r="B87" s="6" t="s">
        <v>148</v>
      </c>
      <c r="C87" s="6" t="s">
        <v>349</v>
      </c>
      <c r="D87" s="6" t="s">
        <v>139</v>
      </c>
      <c r="E87" s="12" t="n">
        <v>1</v>
      </c>
      <c r="F87" s="12" t="n">
        <v>0</v>
      </c>
      <c r="G87" s="6" t="s">
        <v>341</v>
      </c>
      <c r="H87" s="6" t="n">
        <v>0</v>
      </c>
    </row>
    <row r="88" customFormat="false" ht="15" hidden="false" customHeight="false" outlineLevel="0" collapsed="false">
      <c r="A88" s="6" t="s">
        <v>153</v>
      </c>
      <c r="B88" s="6" t="s">
        <v>148</v>
      </c>
      <c r="C88" s="6" t="s">
        <v>350</v>
      </c>
      <c r="D88" s="6" t="s">
        <v>139</v>
      </c>
      <c r="E88" s="12" t="n">
        <v>1</v>
      </c>
      <c r="F88" s="12" t="n">
        <v>0</v>
      </c>
      <c r="G88" s="6" t="s">
        <v>341</v>
      </c>
      <c r="H88" s="6" t="n">
        <v>0</v>
      </c>
    </row>
    <row r="89" customFormat="false" ht="15" hidden="false" customHeight="false" outlineLevel="0" collapsed="false">
      <c r="A89" s="6" t="s">
        <v>153</v>
      </c>
      <c r="B89" s="6" t="s">
        <v>148</v>
      </c>
      <c r="C89" s="6" t="s">
        <v>351</v>
      </c>
      <c r="D89" s="6" t="s">
        <v>139</v>
      </c>
      <c r="E89" s="12" t="n">
        <v>1</v>
      </c>
      <c r="F89" s="12" t="n">
        <v>0</v>
      </c>
      <c r="G89" s="6" t="s">
        <v>341</v>
      </c>
      <c r="H89" s="6" t="n">
        <v>0</v>
      </c>
    </row>
    <row r="90" customFormat="false" ht="15" hidden="false" customHeight="false" outlineLevel="0" collapsed="false">
      <c r="A90" s="6" t="s">
        <v>153</v>
      </c>
      <c r="B90" s="6" t="s">
        <v>148</v>
      </c>
      <c r="C90" s="6" t="s">
        <v>352</v>
      </c>
      <c r="D90" s="6" t="s">
        <v>139</v>
      </c>
      <c r="E90" s="12" t="n">
        <v>1</v>
      </c>
      <c r="F90" s="12" t="n">
        <v>0</v>
      </c>
      <c r="G90" s="6" t="s">
        <v>341</v>
      </c>
      <c r="H90" s="6" t="n">
        <v>0</v>
      </c>
    </row>
    <row r="91" customFormat="false" ht="15" hidden="false" customHeight="false" outlineLevel="0" collapsed="false">
      <c r="A91" s="6" t="s">
        <v>155</v>
      </c>
      <c r="B91" s="6" t="s">
        <v>148</v>
      </c>
      <c r="C91" s="6" t="s">
        <v>340</v>
      </c>
      <c r="D91" s="6" t="s">
        <v>139</v>
      </c>
      <c r="E91" s="12" t="n">
        <v>1</v>
      </c>
      <c r="F91" s="12" t="n">
        <v>0</v>
      </c>
      <c r="G91" s="6" t="s">
        <v>341</v>
      </c>
      <c r="H91" s="6" t="n">
        <v>0</v>
      </c>
    </row>
    <row r="92" customFormat="false" ht="15" hidden="false" customHeight="false" outlineLevel="0" collapsed="false">
      <c r="A92" s="6" t="s">
        <v>155</v>
      </c>
      <c r="B92" s="6" t="s">
        <v>148</v>
      </c>
      <c r="C92" s="6" t="s">
        <v>342</v>
      </c>
      <c r="D92" s="6" t="s">
        <v>139</v>
      </c>
      <c r="E92" s="12" t="n">
        <v>1</v>
      </c>
      <c r="F92" s="12" t="n">
        <v>0</v>
      </c>
      <c r="G92" s="6" t="s">
        <v>341</v>
      </c>
      <c r="H92" s="6" t="n">
        <v>0</v>
      </c>
    </row>
    <row r="93" customFormat="false" ht="15" hidden="false" customHeight="false" outlineLevel="0" collapsed="false">
      <c r="A93" s="6" t="s">
        <v>155</v>
      </c>
      <c r="B93" s="6" t="s">
        <v>148</v>
      </c>
      <c r="C93" s="6" t="s">
        <v>343</v>
      </c>
      <c r="D93" s="6" t="s">
        <v>139</v>
      </c>
      <c r="E93" s="12" t="n">
        <v>1</v>
      </c>
      <c r="F93" s="12" t="n">
        <v>0</v>
      </c>
      <c r="G93" s="6" t="s">
        <v>341</v>
      </c>
      <c r="H93" s="6" t="n">
        <v>0</v>
      </c>
    </row>
    <row r="94" customFormat="false" ht="15" hidden="false" customHeight="false" outlineLevel="0" collapsed="false">
      <c r="A94" s="6" t="s">
        <v>155</v>
      </c>
      <c r="B94" s="6" t="s">
        <v>148</v>
      </c>
      <c r="C94" s="6" t="s">
        <v>344</v>
      </c>
      <c r="D94" s="6" t="s">
        <v>139</v>
      </c>
      <c r="E94" s="12" t="n">
        <v>1</v>
      </c>
      <c r="F94" s="12" t="n">
        <v>0</v>
      </c>
      <c r="G94" s="6" t="s">
        <v>341</v>
      </c>
      <c r="H94" s="6" t="n">
        <v>0</v>
      </c>
    </row>
    <row r="95" customFormat="false" ht="15" hidden="false" customHeight="false" outlineLevel="0" collapsed="false">
      <c r="A95" s="6" t="s">
        <v>155</v>
      </c>
      <c r="B95" s="6" t="s">
        <v>148</v>
      </c>
      <c r="C95" s="6" t="s">
        <v>345</v>
      </c>
      <c r="D95" s="6" t="s">
        <v>139</v>
      </c>
      <c r="E95" s="12" t="n">
        <v>1</v>
      </c>
      <c r="F95" s="12" t="n">
        <v>0</v>
      </c>
      <c r="G95" s="6" t="s">
        <v>341</v>
      </c>
      <c r="H95" s="6" t="n">
        <v>0</v>
      </c>
    </row>
    <row r="96" customFormat="false" ht="15" hidden="false" customHeight="false" outlineLevel="0" collapsed="false">
      <c r="A96" s="6" t="s">
        <v>155</v>
      </c>
      <c r="B96" s="6" t="s">
        <v>148</v>
      </c>
      <c r="C96" s="6" t="s">
        <v>346</v>
      </c>
      <c r="D96" s="6" t="s">
        <v>139</v>
      </c>
      <c r="E96" s="12" t="n">
        <v>1</v>
      </c>
      <c r="F96" s="12" t="n">
        <v>0</v>
      </c>
      <c r="G96" s="6" t="s">
        <v>341</v>
      </c>
      <c r="H96" s="6" t="n">
        <v>0</v>
      </c>
    </row>
    <row r="97" customFormat="false" ht="15" hidden="false" customHeight="false" outlineLevel="0" collapsed="false">
      <c r="A97" s="6" t="s">
        <v>155</v>
      </c>
      <c r="B97" s="6" t="s">
        <v>148</v>
      </c>
      <c r="C97" s="6" t="s">
        <v>347</v>
      </c>
      <c r="D97" s="6" t="s">
        <v>139</v>
      </c>
      <c r="E97" s="12" t="n">
        <v>1</v>
      </c>
      <c r="F97" s="12" t="n">
        <v>0</v>
      </c>
      <c r="G97" s="6" t="s">
        <v>341</v>
      </c>
      <c r="H97" s="6" t="n">
        <v>0</v>
      </c>
    </row>
    <row r="98" customFormat="false" ht="15" hidden="false" customHeight="false" outlineLevel="0" collapsed="false">
      <c r="A98" s="6" t="s">
        <v>155</v>
      </c>
      <c r="B98" s="6" t="s">
        <v>148</v>
      </c>
      <c r="C98" s="6" t="s">
        <v>348</v>
      </c>
      <c r="D98" s="6" t="s">
        <v>139</v>
      </c>
      <c r="E98" s="12" t="n">
        <v>1</v>
      </c>
      <c r="F98" s="12" t="n">
        <v>0</v>
      </c>
      <c r="G98" s="6" t="s">
        <v>341</v>
      </c>
      <c r="H98" s="6" t="n">
        <v>0</v>
      </c>
    </row>
    <row r="99" customFormat="false" ht="15" hidden="false" customHeight="false" outlineLevel="0" collapsed="false">
      <c r="A99" s="6" t="s">
        <v>155</v>
      </c>
      <c r="B99" s="6" t="s">
        <v>148</v>
      </c>
      <c r="C99" s="6" t="s">
        <v>349</v>
      </c>
      <c r="D99" s="6" t="s">
        <v>139</v>
      </c>
      <c r="E99" s="12" t="n">
        <v>1</v>
      </c>
      <c r="F99" s="12" t="n">
        <v>0</v>
      </c>
      <c r="G99" s="6" t="s">
        <v>341</v>
      </c>
      <c r="H99" s="6" t="n">
        <v>0</v>
      </c>
    </row>
    <row r="100" customFormat="false" ht="15" hidden="false" customHeight="false" outlineLevel="0" collapsed="false">
      <c r="A100" s="6" t="s">
        <v>155</v>
      </c>
      <c r="B100" s="6" t="s">
        <v>148</v>
      </c>
      <c r="C100" s="6" t="s">
        <v>350</v>
      </c>
      <c r="D100" s="6" t="s">
        <v>139</v>
      </c>
      <c r="E100" s="12" t="n">
        <v>1</v>
      </c>
      <c r="F100" s="12" t="n">
        <v>0</v>
      </c>
      <c r="G100" s="6" t="s">
        <v>341</v>
      </c>
      <c r="H100" s="6" t="n">
        <v>0</v>
      </c>
    </row>
    <row r="101" customFormat="false" ht="15" hidden="false" customHeight="false" outlineLevel="0" collapsed="false">
      <c r="A101" s="6" t="s">
        <v>155</v>
      </c>
      <c r="B101" s="6" t="s">
        <v>148</v>
      </c>
      <c r="C101" s="6" t="s">
        <v>351</v>
      </c>
      <c r="D101" s="6" t="s">
        <v>139</v>
      </c>
      <c r="E101" s="12" t="n">
        <v>1</v>
      </c>
      <c r="F101" s="12" t="n">
        <v>0</v>
      </c>
      <c r="G101" s="6" t="s">
        <v>341</v>
      </c>
      <c r="H101" s="6" t="n">
        <v>0</v>
      </c>
    </row>
    <row r="102" customFormat="false" ht="15" hidden="false" customHeight="false" outlineLevel="0" collapsed="false">
      <c r="A102" s="6" t="s">
        <v>155</v>
      </c>
      <c r="B102" s="6" t="s">
        <v>148</v>
      </c>
      <c r="C102" s="6" t="s">
        <v>352</v>
      </c>
      <c r="D102" s="6" t="s">
        <v>139</v>
      </c>
      <c r="E102" s="12" t="n">
        <v>1</v>
      </c>
      <c r="F102" s="12" t="n">
        <v>0</v>
      </c>
      <c r="G102" s="6" t="s">
        <v>341</v>
      </c>
      <c r="H102" s="6" t="n">
        <v>0</v>
      </c>
    </row>
    <row r="103" customFormat="false" ht="15" hidden="false" customHeight="false" outlineLevel="0" collapsed="false">
      <c r="A103" s="6" t="s">
        <v>157</v>
      </c>
      <c r="B103" s="6" t="s">
        <v>158</v>
      </c>
      <c r="C103" s="6" t="s">
        <v>340</v>
      </c>
      <c r="D103" s="6" t="s">
        <v>139</v>
      </c>
      <c r="E103" s="12" t="n">
        <v>1</v>
      </c>
      <c r="F103" s="12" t="n">
        <v>0</v>
      </c>
      <c r="G103" s="6" t="s">
        <v>341</v>
      </c>
      <c r="H103" s="6" t="n">
        <v>0</v>
      </c>
    </row>
    <row r="104" customFormat="false" ht="15" hidden="false" customHeight="false" outlineLevel="0" collapsed="false">
      <c r="A104" s="6" t="s">
        <v>157</v>
      </c>
      <c r="B104" s="6" t="s">
        <v>158</v>
      </c>
      <c r="C104" s="6" t="s">
        <v>342</v>
      </c>
      <c r="D104" s="6" t="s">
        <v>139</v>
      </c>
      <c r="E104" s="12" t="n">
        <v>1</v>
      </c>
      <c r="F104" s="12" t="n">
        <v>0</v>
      </c>
      <c r="G104" s="6" t="s">
        <v>341</v>
      </c>
      <c r="H104" s="6" t="n">
        <v>0</v>
      </c>
    </row>
    <row r="105" customFormat="false" ht="15" hidden="false" customHeight="false" outlineLevel="0" collapsed="false">
      <c r="A105" s="6" t="s">
        <v>157</v>
      </c>
      <c r="B105" s="6" t="s">
        <v>158</v>
      </c>
      <c r="C105" s="6" t="s">
        <v>343</v>
      </c>
      <c r="D105" s="6" t="s">
        <v>139</v>
      </c>
      <c r="E105" s="12" t="n">
        <v>1</v>
      </c>
      <c r="F105" s="12" t="n">
        <v>0</v>
      </c>
      <c r="G105" s="6" t="s">
        <v>341</v>
      </c>
      <c r="H105" s="6" t="n">
        <v>0</v>
      </c>
    </row>
    <row r="106" customFormat="false" ht="15" hidden="false" customHeight="false" outlineLevel="0" collapsed="false">
      <c r="A106" s="6" t="s">
        <v>157</v>
      </c>
      <c r="B106" s="6" t="s">
        <v>158</v>
      </c>
      <c r="C106" s="6" t="s">
        <v>344</v>
      </c>
      <c r="D106" s="6" t="s">
        <v>139</v>
      </c>
      <c r="E106" s="12" t="n">
        <v>1</v>
      </c>
      <c r="F106" s="12" t="n">
        <v>0</v>
      </c>
      <c r="G106" s="6" t="s">
        <v>341</v>
      </c>
      <c r="H106" s="6" t="n">
        <v>0</v>
      </c>
    </row>
    <row r="107" customFormat="false" ht="15" hidden="false" customHeight="false" outlineLevel="0" collapsed="false">
      <c r="A107" s="6" t="s">
        <v>157</v>
      </c>
      <c r="B107" s="6" t="s">
        <v>158</v>
      </c>
      <c r="C107" s="6" t="s">
        <v>345</v>
      </c>
      <c r="D107" s="6" t="s">
        <v>139</v>
      </c>
      <c r="E107" s="12" t="n">
        <v>1</v>
      </c>
      <c r="F107" s="12" t="n">
        <v>0</v>
      </c>
      <c r="G107" s="6" t="s">
        <v>341</v>
      </c>
      <c r="H107" s="6" t="n">
        <v>0</v>
      </c>
    </row>
    <row r="108" customFormat="false" ht="15" hidden="false" customHeight="false" outlineLevel="0" collapsed="false">
      <c r="A108" s="6" t="s">
        <v>157</v>
      </c>
      <c r="B108" s="6" t="s">
        <v>158</v>
      </c>
      <c r="C108" s="6" t="s">
        <v>346</v>
      </c>
      <c r="D108" s="6" t="s">
        <v>139</v>
      </c>
      <c r="E108" s="12" t="n">
        <v>1</v>
      </c>
      <c r="F108" s="12" t="n">
        <v>0</v>
      </c>
      <c r="G108" s="6" t="s">
        <v>341</v>
      </c>
      <c r="H108" s="6" t="n">
        <v>0</v>
      </c>
    </row>
    <row r="109" customFormat="false" ht="15" hidden="false" customHeight="false" outlineLevel="0" collapsed="false">
      <c r="A109" s="6" t="s">
        <v>157</v>
      </c>
      <c r="B109" s="6" t="s">
        <v>158</v>
      </c>
      <c r="C109" s="6" t="s">
        <v>347</v>
      </c>
      <c r="D109" s="6" t="s">
        <v>139</v>
      </c>
      <c r="E109" s="12" t="n">
        <v>1</v>
      </c>
      <c r="F109" s="12" t="n">
        <v>0</v>
      </c>
      <c r="G109" s="6" t="s">
        <v>341</v>
      </c>
      <c r="H109" s="6" t="n">
        <v>0</v>
      </c>
    </row>
    <row r="110" customFormat="false" ht="15" hidden="false" customHeight="false" outlineLevel="0" collapsed="false">
      <c r="A110" s="6" t="s">
        <v>157</v>
      </c>
      <c r="B110" s="6" t="s">
        <v>158</v>
      </c>
      <c r="C110" s="6" t="s">
        <v>348</v>
      </c>
      <c r="D110" s="6" t="s">
        <v>139</v>
      </c>
      <c r="E110" s="12" t="n">
        <v>1</v>
      </c>
      <c r="F110" s="12" t="n">
        <v>0</v>
      </c>
      <c r="G110" s="6" t="s">
        <v>341</v>
      </c>
      <c r="H110" s="6" t="n">
        <v>0</v>
      </c>
    </row>
    <row r="111" customFormat="false" ht="15" hidden="false" customHeight="false" outlineLevel="0" collapsed="false">
      <c r="A111" s="6" t="s">
        <v>157</v>
      </c>
      <c r="B111" s="6" t="s">
        <v>158</v>
      </c>
      <c r="C111" s="6" t="s">
        <v>349</v>
      </c>
      <c r="D111" s="6" t="s">
        <v>139</v>
      </c>
      <c r="E111" s="12" t="n">
        <v>1</v>
      </c>
      <c r="F111" s="12" t="n">
        <v>0</v>
      </c>
      <c r="G111" s="6" t="s">
        <v>341</v>
      </c>
      <c r="H111" s="6" t="n">
        <v>0</v>
      </c>
    </row>
    <row r="112" customFormat="false" ht="15" hidden="false" customHeight="false" outlineLevel="0" collapsed="false">
      <c r="A112" s="6" t="s">
        <v>157</v>
      </c>
      <c r="B112" s="6" t="s">
        <v>158</v>
      </c>
      <c r="C112" s="6" t="s">
        <v>350</v>
      </c>
      <c r="D112" s="6" t="s">
        <v>139</v>
      </c>
      <c r="E112" s="12" t="n">
        <v>1</v>
      </c>
      <c r="F112" s="12" t="n">
        <v>0</v>
      </c>
      <c r="G112" s="6" t="s">
        <v>341</v>
      </c>
      <c r="H112" s="6" t="n">
        <v>0</v>
      </c>
    </row>
    <row r="113" customFormat="false" ht="15" hidden="false" customHeight="false" outlineLevel="0" collapsed="false">
      <c r="A113" s="6" t="s">
        <v>157</v>
      </c>
      <c r="B113" s="6" t="s">
        <v>158</v>
      </c>
      <c r="C113" s="6" t="s">
        <v>351</v>
      </c>
      <c r="D113" s="6" t="s">
        <v>139</v>
      </c>
      <c r="E113" s="12" t="n">
        <v>1</v>
      </c>
      <c r="F113" s="12" t="n">
        <v>0</v>
      </c>
      <c r="G113" s="6" t="s">
        <v>341</v>
      </c>
      <c r="H113" s="6" t="n">
        <v>0</v>
      </c>
    </row>
    <row r="114" customFormat="false" ht="15" hidden="false" customHeight="false" outlineLevel="0" collapsed="false">
      <c r="A114" s="6" t="s">
        <v>157</v>
      </c>
      <c r="B114" s="6" t="s">
        <v>158</v>
      </c>
      <c r="C114" s="6" t="s">
        <v>352</v>
      </c>
      <c r="D114" s="6" t="s">
        <v>139</v>
      </c>
      <c r="E114" s="12" t="n">
        <v>1</v>
      </c>
      <c r="F114" s="12" t="n">
        <v>0</v>
      </c>
      <c r="G114" s="6" t="s">
        <v>341</v>
      </c>
      <c r="H114" s="6" t="n">
        <v>0</v>
      </c>
    </row>
    <row r="115" customFormat="false" ht="15" hidden="false" customHeight="false" outlineLevel="0" collapsed="false">
      <c r="A115" s="6" t="s">
        <v>161</v>
      </c>
      <c r="B115" s="6" t="s">
        <v>158</v>
      </c>
      <c r="C115" s="6" t="s">
        <v>340</v>
      </c>
      <c r="D115" s="6" t="s">
        <v>139</v>
      </c>
      <c r="E115" s="12" t="n">
        <v>1</v>
      </c>
      <c r="F115" s="12" t="n">
        <v>0</v>
      </c>
      <c r="G115" s="6" t="s">
        <v>341</v>
      </c>
      <c r="H115" s="6" t="n">
        <v>0</v>
      </c>
    </row>
    <row r="116" customFormat="false" ht="15" hidden="false" customHeight="false" outlineLevel="0" collapsed="false">
      <c r="A116" s="6" t="s">
        <v>161</v>
      </c>
      <c r="B116" s="6" t="s">
        <v>158</v>
      </c>
      <c r="C116" s="6" t="s">
        <v>342</v>
      </c>
      <c r="D116" s="6" t="s">
        <v>139</v>
      </c>
      <c r="E116" s="12" t="n">
        <v>1</v>
      </c>
      <c r="F116" s="12" t="n">
        <v>0</v>
      </c>
      <c r="G116" s="6" t="s">
        <v>341</v>
      </c>
      <c r="H116" s="6" t="n">
        <v>0</v>
      </c>
    </row>
    <row r="117" customFormat="false" ht="15" hidden="false" customHeight="false" outlineLevel="0" collapsed="false">
      <c r="A117" s="6" t="s">
        <v>161</v>
      </c>
      <c r="B117" s="6" t="s">
        <v>158</v>
      </c>
      <c r="C117" s="6" t="s">
        <v>343</v>
      </c>
      <c r="D117" s="6" t="s">
        <v>139</v>
      </c>
      <c r="E117" s="12" t="n">
        <v>1</v>
      </c>
      <c r="F117" s="12" t="n">
        <v>0</v>
      </c>
      <c r="G117" s="6" t="s">
        <v>341</v>
      </c>
      <c r="H117" s="6" t="n">
        <v>0</v>
      </c>
    </row>
    <row r="118" customFormat="false" ht="15" hidden="false" customHeight="false" outlineLevel="0" collapsed="false">
      <c r="A118" s="6" t="s">
        <v>161</v>
      </c>
      <c r="B118" s="6" t="s">
        <v>158</v>
      </c>
      <c r="C118" s="6" t="s">
        <v>344</v>
      </c>
      <c r="D118" s="6" t="s">
        <v>139</v>
      </c>
      <c r="E118" s="12" t="n">
        <v>1</v>
      </c>
      <c r="F118" s="12" t="n">
        <v>0</v>
      </c>
      <c r="G118" s="6" t="s">
        <v>341</v>
      </c>
      <c r="H118" s="6" t="n">
        <v>0</v>
      </c>
    </row>
    <row r="119" customFormat="false" ht="15" hidden="false" customHeight="false" outlineLevel="0" collapsed="false">
      <c r="A119" s="6" t="s">
        <v>161</v>
      </c>
      <c r="B119" s="6" t="s">
        <v>158</v>
      </c>
      <c r="C119" s="6" t="s">
        <v>345</v>
      </c>
      <c r="D119" s="6" t="s">
        <v>139</v>
      </c>
      <c r="E119" s="12" t="n">
        <v>1</v>
      </c>
      <c r="F119" s="12" t="n">
        <v>0</v>
      </c>
      <c r="G119" s="6" t="s">
        <v>341</v>
      </c>
      <c r="H119" s="6" t="n">
        <v>0</v>
      </c>
    </row>
    <row r="120" customFormat="false" ht="15" hidden="false" customHeight="false" outlineLevel="0" collapsed="false">
      <c r="A120" s="6" t="s">
        <v>161</v>
      </c>
      <c r="B120" s="6" t="s">
        <v>158</v>
      </c>
      <c r="C120" s="6" t="s">
        <v>346</v>
      </c>
      <c r="D120" s="6" t="s">
        <v>139</v>
      </c>
      <c r="E120" s="12" t="n">
        <v>1</v>
      </c>
      <c r="F120" s="12" t="n">
        <v>0</v>
      </c>
      <c r="G120" s="6" t="s">
        <v>341</v>
      </c>
      <c r="H120" s="6" t="n">
        <v>0</v>
      </c>
    </row>
    <row r="121" customFormat="false" ht="15" hidden="false" customHeight="false" outlineLevel="0" collapsed="false">
      <c r="A121" s="6" t="s">
        <v>161</v>
      </c>
      <c r="B121" s="6" t="s">
        <v>158</v>
      </c>
      <c r="C121" s="6" t="s">
        <v>347</v>
      </c>
      <c r="D121" s="6" t="s">
        <v>139</v>
      </c>
      <c r="E121" s="12" t="n">
        <v>1</v>
      </c>
      <c r="F121" s="12" t="n">
        <v>0</v>
      </c>
      <c r="G121" s="6" t="s">
        <v>341</v>
      </c>
      <c r="H121" s="6" t="n">
        <v>0</v>
      </c>
    </row>
    <row r="122" customFormat="false" ht="15" hidden="false" customHeight="false" outlineLevel="0" collapsed="false">
      <c r="A122" s="6" t="s">
        <v>161</v>
      </c>
      <c r="B122" s="6" t="s">
        <v>158</v>
      </c>
      <c r="C122" s="6" t="s">
        <v>348</v>
      </c>
      <c r="D122" s="6" t="s">
        <v>139</v>
      </c>
      <c r="E122" s="12" t="n">
        <v>1</v>
      </c>
      <c r="F122" s="12" t="n">
        <v>0</v>
      </c>
      <c r="G122" s="6" t="s">
        <v>341</v>
      </c>
      <c r="H122" s="6" t="n">
        <v>0</v>
      </c>
    </row>
    <row r="123" customFormat="false" ht="15" hidden="false" customHeight="false" outlineLevel="0" collapsed="false">
      <c r="A123" s="6" t="s">
        <v>161</v>
      </c>
      <c r="B123" s="6" t="s">
        <v>158</v>
      </c>
      <c r="C123" s="6" t="s">
        <v>349</v>
      </c>
      <c r="D123" s="6" t="s">
        <v>139</v>
      </c>
      <c r="E123" s="12" t="n">
        <v>1</v>
      </c>
      <c r="F123" s="12" t="n">
        <v>0</v>
      </c>
      <c r="G123" s="6" t="s">
        <v>341</v>
      </c>
      <c r="H123" s="6" t="n">
        <v>0</v>
      </c>
    </row>
    <row r="124" customFormat="false" ht="15" hidden="false" customHeight="false" outlineLevel="0" collapsed="false">
      <c r="A124" s="6" t="s">
        <v>161</v>
      </c>
      <c r="B124" s="6" t="s">
        <v>158</v>
      </c>
      <c r="C124" s="6" t="s">
        <v>350</v>
      </c>
      <c r="D124" s="6" t="s">
        <v>139</v>
      </c>
      <c r="E124" s="12" t="n">
        <v>1</v>
      </c>
      <c r="F124" s="12" t="n">
        <v>0</v>
      </c>
      <c r="G124" s="6" t="s">
        <v>341</v>
      </c>
      <c r="H124" s="6" t="n">
        <v>0</v>
      </c>
    </row>
    <row r="125" customFormat="false" ht="15" hidden="false" customHeight="false" outlineLevel="0" collapsed="false">
      <c r="A125" s="6" t="s">
        <v>161</v>
      </c>
      <c r="B125" s="6" t="s">
        <v>158</v>
      </c>
      <c r="C125" s="6" t="s">
        <v>351</v>
      </c>
      <c r="D125" s="6" t="s">
        <v>139</v>
      </c>
      <c r="E125" s="12" t="n">
        <v>1</v>
      </c>
      <c r="F125" s="12" t="n">
        <v>0</v>
      </c>
      <c r="G125" s="6" t="s">
        <v>341</v>
      </c>
      <c r="H125" s="6" t="n">
        <v>0</v>
      </c>
    </row>
    <row r="126" customFormat="false" ht="15" hidden="false" customHeight="false" outlineLevel="0" collapsed="false">
      <c r="A126" s="6" t="s">
        <v>161</v>
      </c>
      <c r="B126" s="6" t="s">
        <v>158</v>
      </c>
      <c r="C126" s="6" t="s">
        <v>352</v>
      </c>
      <c r="D126" s="6" t="s">
        <v>139</v>
      </c>
      <c r="E126" s="12" t="n">
        <v>1</v>
      </c>
      <c r="F126" s="12" t="n">
        <v>0</v>
      </c>
      <c r="G126" s="6" t="s">
        <v>341</v>
      </c>
      <c r="H126" s="6" t="n">
        <v>0</v>
      </c>
    </row>
    <row r="127" customFormat="false" ht="15" hidden="false" customHeight="false" outlineLevel="0" collapsed="false">
      <c r="A127" s="6" t="s">
        <v>163</v>
      </c>
      <c r="B127" s="6" t="s">
        <v>158</v>
      </c>
      <c r="C127" s="6" t="s">
        <v>340</v>
      </c>
      <c r="D127" s="6" t="s">
        <v>139</v>
      </c>
      <c r="E127" s="12" t="n">
        <v>1</v>
      </c>
      <c r="F127" s="12" t="n">
        <v>0</v>
      </c>
      <c r="G127" s="6" t="s">
        <v>341</v>
      </c>
      <c r="H127" s="6" t="n">
        <v>0</v>
      </c>
    </row>
    <row r="128" customFormat="false" ht="15" hidden="false" customHeight="false" outlineLevel="0" collapsed="false">
      <c r="A128" s="6" t="s">
        <v>163</v>
      </c>
      <c r="B128" s="6" t="s">
        <v>158</v>
      </c>
      <c r="C128" s="6" t="s">
        <v>342</v>
      </c>
      <c r="D128" s="6" t="s">
        <v>139</v>
      </c>
      <c r="E128" s="12" t="n">
        <v>1</v>
      </c>
      <c r="F128" s="12" t="n">
        <v>0</v>
      </c>
      <c r="G128" s="6" t="s">
        <v>341</v>
      </c>
      <c r="H128" s="6" t="n">
        <v>0</v>
      </c>
    </row>
    <row r="129" customFormat="false" ht="15" hidden="false" customHeight="false" outlineLevel="0" collapsed="false">
      <c r="A129" s="6" t="s">
        <v>163</v>
      </c>
      <c r="B129" s="6" t="s">
        <v>158</v>
      </c>
      <c r="C129" s="6" t="s">
        <v>343</v>
      </c>
      <c r="D129" s="6" t="s">
        <v>139</v>
      </c>
      <c r="E129" s="12" t="n">
        <v>1</v>
      </c>
      <c r="F129" s="12" t="n">
        <v>0</v>
      </c>
      <c r="G129" s="6" t="s">
        <v>341</v>
      </c>
      <c r="H129" s="6" t="n">
        <v>0</v>
      </c>
    </row>
    <row r="130" customFormat="false" ht="15" hidden="false" customHeight="false" outlineLevel="0" collapsed="false">
      <c r="A130" s="6" t="s">
        <v>163</v>
      </c>
      <c r="B130" s="6" t="s">
        <v>158</v>
      </c>
      <c r="C130" s="6" t="s">
        <v>344</v>
      </c>
      <c r="D130" s="6" t="s">
        <v>139</v>
      </c>
      <c r="E130" s="12" t="n">
        <v>1</v>
      </c>
      <c r="F130" s="12" t="n">
        <v>0</v>
      </c>
      <c r="G130" s="6" t="s">
        <v>341</v>
      </c>
      <c r="H130" s="6" t="n">
        <v>0</v>
      </c>
    </row>
    <row r="131" customFormat="false" ht="15" hidden="false" customHeight="false" outlineLevel="0" collapsed="false">
      <c r="A131" s="6" t="s">
        <v>163</v>
      </c>
      <c r="B131" s="6" t="s">
        <v>158</v>
      </c>
      <c r="C131" s="6" t="s">
        <v>345</v>
      </c>
      <c r="D131" s="6" t="s">
        <v>139</v>
      </c>
      <c r="E131" s="12" t="n">
        <v>1</v>
      </c>
      <c r="F131" s="12" t="n">
        <v>0</v>
      </c>
      <c r="G131" s="6" t="s">
        <v>341</v>
      </c>
      <c r="H131" s="6" t="n">
        <v>0</v>
      </c>
    </row>
    <row r="132" customFormat="false" ht="15" hidden="false" customHeight="false" outlineLevel="0" collapsed="false">
      <c r="A132" s="6" t="s">
        <v>163</v>
      </c>
      <c r="B132" s="6" t="s">
        <v>158</v>
      </c>
      <c r="C132" s="6" t="s">
        <v>346</v>
      </c>
      <c r="D132" s="6" t="s">
        <v>139</v>
      </c>
      <c r="E132" s="12" t="n">
        <v>1</v>
      </c>
      <c r="F132" s="12" t="n">
        <v>0</v>
      </c>
      <c r="G132" s="6" t="s">
        <v>341</v>
      </c>
      <c r="H132" s="6" t="n">
        <v>0</v>
      </c>
    </row>
    <row r="133" customFormat="false" ht="15" hidden="false" customHeight="false" outlineLevel="0" collapsed="false">
      <c r="A133" s="6" t="s">
        <v>163</v>
      </c>
      <c r="B133" s="6" t="s">
        <v>158</v>
      </c>
      <c r="C133" s="6" t="s">
        <v>347</v>
      </c>
      <c r="D133" s="6" t="s">
        <v>139</v>
      </c>
      <c r="E133" s="12" t="n">
        <v>1</v>
      </c>
      <c r="F133" s="12" t="n">
        <v>0</v>
      </c>
      <c r="G133" s="6" t="s">
        <v>341</v>
      </c>
      <c r="H133" s="6" t="n">
        <v>0</v>
      </c>
    </row>
    <row r="134" customFormat="false" ht="15" hidden="false" customHeight="false" outlineLevel="0" collapsed="false">
      <c r="A134" s="6" t="s">
        <v>163</v>
      </c>
      <c r="B134" s="6" t="s">
        <v>158</v>
      </c>
      <c r="C134" s="6" t="s">
        <v>348</v>
      </c>
      <c r="D134" s="6" t="s">
        <v>139</v>
      </c>
      <c r="E134" s="12" t="n">
        <v>1</v>
      </c>
      <c r="F134" s="12" t="n">
        <v>0</v>
      </c>
      <c r="G134" s="6" t="s">
        <v>341</v>
      </c>
      <c r="H134" s="6" t="n">
        <v>0</v>
      </c>
    </row>
    <row r="135" customFormat="false" ht="15" hidden="false" customHeight="false" outlineLevel="0" collapsed="false">
      <c r="A135" s="6" t="s">
        <v>163</v>
      </c>
      <c r="B135" s="6" t="s">
        <v>158</v>
      </c>
      <c r="C135" s="6" t="s">
        <v>349</v>
      </c>
      <c r="D135" s="6" t="s">
        <v>139</v>
      </c>
      <c r="E135" s="12" t="n">
        <v>1</v>
      </c>
      <c r="F135" s="12" t="n">
        <v>0</v>
      </c>
      <c r="G135" s="6" t="s">
        <v>341</v>
      </c>
      <c r="H135" s="6" t="n">
        <v>0</v>
      </c>
    </row>
    <row r="136" customFormat="false" ht="15" hidden="false" customHeight="false" outlineLevel="0" collapsed="false">
      <c r="A136" s="6" t="s">
        <v>163</v>
      </c>
      <c r="B136" s="6" t="s">
        <v>158</v>
      </c>
      <c r="C136" s="6" t="s">
        <v>350</v>
      </c>
      <c r="D136" s="6" t="s">
        <v>139</v>
      </c>
      <c r="E136" s="12" t="n">
        <v>1</v>
      </c>
      <c r="F136" s="12" t="n">
        <v>0</v>
      </c>
      <c r="G136" s="6" t="s">
        <v>341</v>
      </c>
      <c r="H136" s="6" t="n">
        <v>0</v>
      </c>
    </row>
    <row r="137" customFormat="false" ht="15" hidden="false" customHeight="false" outlineLevel="0" collapsed="false">
      <c r="A137" s="6" t="s">
        <v>163</v>
      </c>
      <c r="B137" s="6" t="s">
        <v>158</v>
      </c>
      <c r="C137" s="6" t="s">
        <v>351</v>
      </c>
      <c r="D137" s="6" t="s">
        <v>139</v>
      </c>
      <c r="E137" s="12" t="n">
        <v>1</v>
      </c>
      <c r="F137" s="12" t="n">
        <v>0</v>
      </c>
      <c r="G137" s="6" t="s">
        <v>341</v>
      </c>
      <c r="H137" s="6" t="n">
        <v>0</v>
      </c>
    </row>
    <row r="138" customFormat="false" ht="15" hidden="false" customHeight="false" outlineLevel="0" collapsed="false">
      <c r="A138" s="6" t="s">
        <v>163</v>
      </c>
      <c r="B138" s="6" t="s">
        <v>158</v>
      </c>
      <c r="C138" s="6" t="s">
        <v>352</v>
      </c>
      <c r="D138" s="6" t="s">
        <v>139</v>
      </c>
      <c r="E138" s="12" t="n">
        <v>1</v>
      </c>
      <c r="F138" s="12" t="n">
        <v>0</v>
      </c>
      <c r="G138" s="6" t="s">
        <v>341</v>
      </c>
      <c r="H138" s="6" t="n">
        <v>0</v>
      </c>
    </row>
    <row r="139" customFormat="false" ht="15" hidden="false" customHeight="false" outlineLevel="0" collapsed="false">
      <c r="A139" s="6" t="s">
        <v>165</v>
      </c>
      <c r="B139" s="6" t="s">
        <v>158</v>
      </c>
      <c r="C139" s="6" t="s">
        <v>340</v>
      </c>
      <c r="D139" s="6" t="s">
        <v>139</v>
      </c>
      <c r="E139" s="12" t="n">
        <v>1</v>
      </c>
      <c r="F139" s="12" t="n">
        <v>0</v>
      </c>
      <c r="G139" s="6" t="s">
        <v>341</v>
      </c>
      <c r="H139" s="6" t="n">
        <v>0</v>
      </c>
    </row>
    <row r="140" customFormat="false" ht="15" hidden="false" customHeight="false" outlineLevel="0" collapsed="false">
      <c r="A140" s="6" t="s">
        <v>165</v>
      </c>
      <c r="B140" s="6" t="s">
        <v>158</v>
      </c>
      <c r="C140" s="6" t="s">
        <v>342</v>
      </c>
      <c r="D140" s="6" t="s">
        <v>139</v>
      </c>
      <c r="E140" s="12" t="n">
        <v>1</v>
      </c>
      <c r="F140" s="12" t="n">
        <v>0</v>
      </c>
      <c r="G140" s="6" t="s">
        <v>341</v>
      </c>
      <c r="H140" s="6" t="n">
        <v>0</v>
      </c>
    </row>
    <row r="141" customFormat="false" ht="15" hidden="false" customHeight="false" outlineLevel="0" collapsed="false">
      <c r="A141" s="6" t="s">
        <v>165</v>
      </c>
      <c r="B141" s="6" t="s">
        <v>158</v>
      </c>
      <c r="C141" s="6" t="s">
        <v>343</v>
      </c>
      <c r="D141" s="6" t="s">
        <v>139</v>
      </c>
      <c r="E141" s="12" t="n">
        <v>1</v>
      </c>
      <c r="F141" s="12" t="n">
        <v>0</v>
      </c>
      <c r="G141" s="6" t="s">
        <v>341</v>
      </c>
      <c r="H141" s="6" t="n">
        <v>0</v>
      </c>
    </row>
    <row r="142" customFormat="false" ht="15" hidden="false" customHeight="false" outlineLevel="0" collapsed="false">
      <c r="A142" s="6" t="s">
        <v>165</v>
      </c>
      <c r="B142" s="6" t="s">
        <v>158</v>
      </c>
      <c r="C142" s="6" t="s">
        <v>344</v>
      </c>
      <c r="D142" s="6" t="s">
        <v>139</v>
      </c>
      <c r="E142" s="12" t="n">
        <v>1</v>
      </c>
      <c r="F142" s="12" t="n">
        <v>0</v>
      </c>
      <c r="G142" s="6" t="s">
        <v>341</v>
      </c>
      <c r="H142" s="6" t="n">
        <v>0</v>
      </c>
    </row>
    <row r="143" customFormat="false" ht="15" hidden="false" customHeight="false" outlineLevel="0" collapsed="false">
      <c r="A143" s="6" t="s">
        <v>165</v>
      </c>
      <c r="B143" s="6" t="s">
        <v>158</v>
      </c>
      <c r="C143" s="6" t="s">
        <v>345</v>
      </c>
      <c r="D143" s="6" t="s">
        <v>139</v>
      </c>
      <c r="E143" s="12" t="n">
        <v>1</v>
      </c>
      <c r="F143" s="12" t="n">
        <v>0</v>
      </c>
      <c r="G143" s="6" t="s">
        <v>341</v>
      </c>
      <c r="H143" s="6" t="n">
        <v>0</v>
      </c>
    </row>
    <row r="144" customFormat="false" ht="15" hidden="false" customHeight="false" outlineLevel="0" collapsed="false">
      <c r="A144" s="6" t="s">
        <v>165</v>
      </c>
      <c r="B144" s="6" t="s">
        <v>158</v>
      </c>
      <c r="C144" s="6" t="s">
        <v>346</v>
      </c>
      <c r="D144" s="6" t="s">
        <v>139</v>
      </c>
      <c r="E144" s="12" t="n">
        <v>1</v>
      </c>
      <c r="F144" s="12" t="n">
        <v>0</v>
      </c>
      <c r="G144" s="6" t="s">
        <v>341</v>
      </c>
      <c r="H144" s="6" t="n">
        <v>0</v>
      </c>
    </row>
    <row r="145" customFormat="false" ht="15" hidden="false" customHeight="false" outlineLevel="0" collapsed="false">
      <c r="A145" s="6" t="s">
        <v>165</v>
      </c>
      <c r="B145" s="6" t="s">
        <v>158</v>
      </c>
      <c r="C145" s="6" t="s">
        <v>347</v>
      </c>
      <c r="D145" s="6" t="s">
        <v>139</v>
      </c>
      <c r="E145" s="12" t="n">
        <v>1</v>
      </c>
      <c r="F145" s="12" t="n">
        <v>0</v>
      </c>
      <c r="G145" s="6" t="s">
        <v>341</v>
      </c>
      <c r="H145" s="6" t="n">
        <v>0</v>
      </c>
    </row>
    <row r="146" customFormat="false" ht="15" hidden="false" customHeight="false" outlineLevel="0" collapsed="false">
      <c r="A146" s="6" t="s">
        <v>165</v>
      </c>
      <c r="B146" s="6" t="s">
        <v>158</v>
      </c>
      <c r="C146" s="6" t="s">
        <v>348</v>
      </c>
      <c r="D146" s="6" t="s">
        <v>139</v>
      </c>
      <c r="E146" s="12" t="n">
        <v>1</v>
      </c>
      <c r="F146" s="12" t="n">
        <v>0</v>
      </c>
      <c r="G146" s="6" t="s">
        <v>341</v>
      </c>
      <c r="H146" s="6" t="n">
        <v>0</v>
      </c>
    </row>
    <row r="147" customFormat="false" ht="15" hidden="false" customHeight="false" outlineLevel="0" collapsed="false">
      <c r="A147" s="6" t="s">
        <v>165</v>
      </c>
      <c r="B147" s="6" t="s">
        <v>158</v>
      </c>
      <c r="C147" s="6" t="s">
        <v>349</v>
      </c>
      <c r="D147" s="6" t="s">
        <v>139</v>
      </c>
      <c r="E147" s="12" t="n">
        <v>1</v>
      </c>
      <c r="F147" s="12" t="n">
        <v>0</v>
      </c>
      <c r="G147" s="6" t="s">
        <v>341</v>
      </c>
      <c r="H147" s="6" t="n">
        <v>0</v>
      </c>
    </row>
    <row r="148" customFormat="false" ht="15" hidden="false" customHeight="false" outlineLevel="0" collapsed="false">
      <c r="A148" s="6" t="s">
        <v>165</v>
      </c>
      <c r="B148" s="6" t="s">
        <v>158</v>
      </c>
      <c r="C148" s="6" t="s">
        <v>350</v>
      </c>
      <c r="D148" s="6" t="s">
        <v>139</v>
      </c>
      <c r="E148" s="12" t="n">
        <v>1</v>
      </c>
      <c r="F148" s="12" t="n">
        <v>0</v>
      </c>
      <c r="G148" s="6" t="s">
        <v>341</v>
      </c>
      <c r="H148" s="6" t="n">
        <v>0</v>
      </c>
    </row>
    <row r="149" customFormat="false" ht="15" hidden="false" customHeight="false" outlineLevel="0" collapsed="false">
      <c r="A149" s="6" t="s">
        <v>165</v>
      </c>
      <c r="B149" s="6" t="s">
        <v>158</v>
      </c>
      <c r="C149" s="6" t="s">
        <v>351</v>
      </c>
      <c r="D149" s="6" t="s">
        <v>139</v>
      </c>
      <c r="E149" s="12" t="n">
        <v>1</v>
      </c>
      <c r="F149" s="12" t="n">
        <v>0</v>
      </c>
      <c r="G149" s="6" t="s">
        <v>341</v>
      </c>
      <c r="H149" s="6" t="n">
        <v>0</v>
      </c>
    </row>
    <row r="150" customFormat="false" ht="15" hidden="false" customHeight="false" outlineLevel="0" collapsed="false">
      <c r="A150" s="6" t="s">
        <v>165</v>
      </c>
      <c r="B150" s="6" t="s">
        <v>158</v>
      </c>
      <c r="C150" s="6" t="s">
        <v>352</v>
      </c>
      <c r="D150" s="6" t="s">
        <v>139</v>
      </c>
      <c r="E150" s="12" t="n">
        <v>1</v>
      </c>
      <c r="F150" s="12" t="n">
        <v>0</v>
      </c>
      <c r="G150" s="6" t="s">
        <v>341</v>
      </c>
      <c r="H150" s="6" t="n">
        <v>0</v>
      </c>
    </row>
    <row r="151" customFormat="false" ht="15" hidden="false" customHeight="false" outlineLevel="0" collapsed="false">
      <c r="A151" s="6" t="s">
        <v>167</v>
      </c>
      <c r="B151" s="6" t="s">
        <v>168</v>
      </c>
      <c r="C151" s="6" t="s">
        <v>340</v>
      </c>
      <c r="D151" s="6" t="s">
        <v>139</v>
      </c>
      <c r="E151" s="12" t="n">
        <v>1</v>
      </c>
      <c r="F151" s="12" t="n">
        <v>0</v>
      </c>
      <c r="G151" s="6" t="s">
        <v>341</v>
      </c>
      <c r="H151" s="6" t="n">
        <v>0</v>
      </c>
    </row>
    <row r="152" customFormat="false" ht="15" hidden="false" customHeight="false" outlineLevel="0" collapsed="false">
      <c r="A152" s="6" t="s">
        <v>167</v>
      </c>
      <c r="B152" s="6" t="s">
        <v>168</v>
      </c>
      <c r="C152" s="6" t="s">
        <v>342</v>
      </c>
      <c r="D152" s="6" t="s">
        <v>139</v>
      </c>
      <c r="E152" s="12" t="n">
        <v>1</v>
      </c>
      <c r="F152" s="12" t="n">
        <v>0</v>
      </c>
      <c r="G152" s="6" t="s">
        <v>341</v>
      </c>
      <c r="H152" s="6" t="n">
        <v>0</v>
      </c>
    </row>
    <row r="153" customFormat="false" ht="15" hidden="false" customHeight="false" outlineLevel="0" collapsed="false">
      <c r="A153" s="6" t="s">
        <v>167</v>
      </c>
      <c r="B153" s="6" t="s">
        <v>168</v>
      </c>
      <c r="C153" s="6" t="s">
        <v>343</v>
      </c>
      <c r="D153" s="6" t="s">
        <v>139</v>
      </c>
      <c r="E153" s="12" t="n">
        <v>1</v>
      </c>
      <c r="F153" s="12" t="n">
        <v>0</v>
      </c>
      <c r="G153" s="6" t="s">
        <v>341</v>
      </c>
      <c r="H153" s="6" t="n">
        <v>0</v>
      </c>
    </row>
    <row r="154" customFormat="false" ht="15" hidden="false" customHeight="false" outlineLevel="0" collapsed="false">
      <c r="A154" s="6" t="s">
        <v>167</v>
      </c>
      <c r="B154" s="6" t="s">
        <v>168</v>
      </c>
      <c r="C154" s="6" t="s">
        <v>344</v>
      </c>
      <c r="D154" s="6" t="s">
        <v>139</v>
      </c>
      <c r="E154" s="12" t="n">
        <v>1</v>
      </c>
      <c r="F154" s="12" t="n">
        <v>0</v>
      </c>
      <c r="G154" s="6" t="s">
        <v>341</v>
      </c>
      <c r="H154" s="6" t="n">
        <v>0</v>
      </c>
    </row>
    <row r="155" customFormat="false" ht="15" hidden="false" customHeight="false" outlineLevel="0" collapsed="false">
      <c r="A155" s="6" t="s">
        <v>167</v>
      </c>
      <c r="B155" s="6" t="s">
        <v>168</v>
      </c>
      <c r="C155" s="6" t="s">
        <v>345</v>
      </c>
      <c r="D155" s="6" t="s">
        <v>139</v>
      </c>
      <c r="E155" s="12" t="n">
        <v>1</v>
      </c>
      <c r="F155" s="12" t="n">
        <v>0</v>
      </c>
      <c r="G155" s="6" t="s">
        <v>341</v>
      </c>
      <c r="H155" s="6" t="n">
        <v>0</v>
      </c>
    </row>
    <row r="156" customFormat="false" ht="15" hidden="false" customHeight="false" outlineLevel="0" collapsed="false">
      <c r="A156" s="6" t="s">
        <v>167</v>
      </c>
      <c r="B156" s="6" t="s">
        <v>168</v>
      </c>
      <c r="C156" s="6" t="s">
        <v>346</v>
      </c>
      <c r="D156" s="6" t="s">
        <v>139</v>
      </c>
      <c r="E156" s="12" t="n">
        <v>1</v>
      </c>
      <c r="F156" s="12" t="n">
        <v>0</v>
      </c>
      <c r="G156" s="6" t="s">
        <v>341</v>
      </c>
      <c r="H156" s="6" t="n">
        <v>0</v>
      </c>
    </row>
    <row r="157" customFormat="false" ht="15" hidden="false" customHeight="false" outlineLevel="0" collapsed="false">
      <c r="A157" s="6" t="s">
        <v>167</v>
      </c>
      <c r="B157" s="6" t="s">
        <v>168</v>
      </c>
      <c r="C157" s="6" t="s">
        <v>347</v>
      </c>
      <c r="D157" s="6" t="s">
        <v>139</v>
      </c>
      <c r="E157" s="12" t="n">
        <v>1</v>
      </c>
      <c r="F157" s="12" t="n">
        <v>0</v>
      </c>
      <c r="G157" s="6" t="s">
        <v>341</v>
      </c>
      <c r="H157" s="6" t="n">
        <v>0</v>
      </c>
    </row>
    <row r="158" customFormat="false" ht="15" hidden="false" customHeight="false" outlineLevel="0" collapsed="false">
      <c r="A158" s="6" t="s">
        <v>167</v>
      </c>
      <c r="B158" s="6" t="s">
        <v>168</v>
      </c>
      <c r="C158" s="6" t="s">
        <v>348</v>
      </c>
      <c r="D158" s="6" t="s">
        <v>139</v>
      </c>
      <c r="E158" s="12" t="n">
        <v>1</v>
      </c>
      <c r="F158" s="12" t="n">
        <v>0</v>
      </c>
      <c r="G158" s="6" t="s">
        <v>341</v>
      </c>
      <c r="H158" s="6" t="n">
        <v>0</v>
      </c>
    </row>
    <row r="159" customFormat="false" ht="15" hidden="false" customHeight="false" outlineLevel="0" collapsed="false">
      <c r="A159" s="6" t="s">
        <v>167</v>
      </c>
      <c r="B159" s="6" t="s">
        <v>168</v>
      </c>
      <c r="C159" s="6" t="s">
        <v>349</v>
      </c>
      <c r="D159" s="6" t="s">
        <v>139</v>
      </c>
      <c r="E159" s="12" t="n">
        <v>1</v>
      </c>
      <c r="F159" s="12" t="n">
        <v>0</v>
      </c>
      <c r="G159" s="6" t="s">
        <v>341</v>
      </c>
      <c r="H159" s="6" t="n">
        <v>0</v>
      </c>
    </row>
    <row r="160" customFormat="false" ht="15" hidden="false" customHeight="false" outlineLevel="0" collapsed="false">
      <c r="A160" s="6" t="s">
        <v>167</v>
      </c>
      <c r="B160" s="6" t="s">
        <v>168</v>
      </c>
      <c r="C160" s="6" t="s">
        <v>350</v>
      </c>
      <c r="D160" s="6" t="s">
        <v>139</v>
      </c>
      <c r="E160" s="12" t="n">
        <v>1</v>
      </c>
      <c r="F160" s="12" t="n">
        <v>0</v>
      </c>
      <c r="G160" s="6" t="s">
        <v>341</v>
      </c>
      <c r="H160" s="6" t="n">
        <v>0</v>
      </c>
    </row>
    <row r="161" customFormat="false" ht="15" hidden="false" customHeight="false" outlineLevel="0" collapsed="false">
      <c r="A161" s="6" t="s">
        <v>167</v>
      </c>
      <c r="B161" s="6" t="s">
        <v>168</v>
      </c>
      <c r="C161" s="6" t="s">
        <v>351</v>
      </c>
      <c r="D161" s="6" t="s">
        <v>139</v>
      </c>
      <c r="E161" s="12" t="n">
        <v>1</v>
      </c>
      <c r="F161" s="12" t="n">
        <v>0</v>
      </c>
      <c r="G161" s="6" t="s">
        <v>341</v>
      </c>
      <c r="H161" s="6" t="n">
        <v>0</v>
      </c>
    </row>
    <row r="162" customFormat="false" ht="15" hidden="false" customHeight="false" outlineLevel="0" collapsed="false">
      <c r="A162" s="6" t="s">
        <v>167</v>
      </c>
      <c r="B162" s="6" t="s">
        <v>168</v>
      </c>
      <c r="C162" s="6" t="s">
        <v>352</v>
      </c>
      <c r="D162" s="6" t="s">
        <v>139</v>
      </c>
      <c r="E162" s="12" t="n">
        <v>1</v>
      </c>
      <c r="F162" s="12" t="n">
        <v>0</v>
      </c>
      <c r="G162" s="6" t="s">
        <v>341</v>
      </c>
      <c r="H162" s="6" t="n">
        <v>0</v>
      </c>
    </row>
    <row r="163" customFormat="false" ht="15" hidden="false" customHeight="false" outlineLevel="0" collapsed="false">
      <c r="A163" s="6" t="s">
        <v>171</v>
      </c>
      <c r="B163" s="6" t="s">
        <v>168</v>
      </c>
      <c r="C163" s="6" t="s">
        <v>340</v>
      </c>
      <c r="D163" s="6" t="s">
        <v>139</v>
      </c>
      <c r="E163" s="12" t="n">
        <v>1</v>
      </c>
      <c r="F163" s="12" t="n">
        <v>0</v>
      </c>
      <c r="G163" s="6" t="s">
        <v>341</v>
      </c>
      <c r="H163" s="6" t="n">
        <v>0</v>
      </c>
    </row>
    <row r="164" customFormat="false" ht="15" hidden="false" customHeight="false" outlineLevel="0" collapsed="false">
      <c r="A164" s="6" t="s">
        <v>171</v>
      </c>
      <c r="B164" s="6" t="s">
        <v>168</v>
      </c>
      <c r="C164" s="6" t="s">
        <v>342</v>
      </c>
      <c r="D164" s="6" t="s">
        <v>139</v>
      </c>
      <c r="E164" s="12" t="n">
        <v>1</v>
      </c>
      <c r="F164" s="12" t="n">
        <v>0</v>
      </c>
      <c r="G164" s="6" t="s">
        <v>341</v>
      </c>
      <c r="H164" s="6" t="n">
        <v>0</v>
      </c>
    </row>
    <row r="165" customFormat="false" ht="15" hidden="false" customHeight="false" outlineLevel="0" collapsed="false">
      <c r="A165" s="6" t="s">
        <v>171</v>
      </c>
      <c r="B165" s="6" t="s">
        <v>168</v>
      </c>
      <c r="C165" s="6" t="s">
        <v>343</v>
      </c>
      <c r="D165" s="6" t="s">
        <v>139</v>
      </c>
      <c r="E165" s="12" t="n">
        <v>1</v>
      </c>
      <c r="F165" s="12" t="n">
        <v>0</v>
      </c>
      <c r="G165" s="6" t="s">
        <v>341</v>
      </c>
      <c r="H165" s="6" t="n">
        <v>0</v>
      </c>
    </row>
    <row r="166" customFormat="false" ht="15" hidden="false" customHeight="false" outlineLevel="0" collapsed="false">
      <c r="A166" s="6" t="s">
        <v>171</v>
      </c>
      <c r="B166" s="6" t="s">
        <v>168</v>
      </c>
      <c r="C166" s="6" t="s">
        <v>344</v>
      </c>
      <c r="D166" s="6" t="s">
        <v>139</v>
      </c>
      <c r="E166" s="12" t="n">
        <v>1</v>
      </c>
      <c r="F166" s="12" t="n">
        <v>0</v>
      </c>
      <c r="G166" s="6" t="s">
        <v>341</v>
      </c>
      <c r="H166" s="6" t="n">
        <v>0</v>
      </c>
    </row>
    <row r="167" customFormat="false" ht="15" hidden="false" customHeight="false" outlineLevel="0" collapsed="false">
      <c r="A167" s="6" t="s">
        <v>171</v>
      </c>
      <c r="B167" s="6" t="s">
        <v>168</v>
      </c>
      <c r="C167" s="6" t="s">
        <v>345</v>
      </c>
      <c r="D167" s="6" t="s">
        <v>139</v>
      </c>
      <c r="E167" s="12" t="n">
        <v>1</v>
      </c>
      <c r="F167" s="12" t="n">
        <v>0</v>
      </c>
      <c r="G167" s="6" t="s">
        <v>341</v>
      </c>
      <c r="H167" s="6" t="n">
        <v>0</v>
      </c>
    </row>
    <row r="168" customFormat="false" ht="15" hidden="false" customHeight="false" outlineLevel="0" collapsed="false">
      <c r="A168" s="6" t="s">
        <v>171</v>
      </c>
      <c r="B168" s="6" t="s">
        <v>168</v>
      </c>
      <c r="C168" s="6" t="s">
        <v>346</v>
      </c>
      <c r="D168" s="6" t="s">
        <v>139</v>
      </c>
      <c r="E168" s="12" t="n">
        <v>1</v>
      </c>
      <c r="F168" s="12" t="n">
        <v>0</v>
      </c>
      <c r="G168" s="6" t="s">
        <v>341</v>
      </c>
      <c r="H168" s="6" t="n">
        <v>0</v>
      </c>
    </row>
    <row r="169" customFormat="false" ht="15" hidden="false" customHeight="false" outlineLevel="0" collapsed="false">
      <c r="A169" s="6" t="s">
        <v>171</v>
      </c>
      <c r="B169" s="6" t="s">
        <v>168</v>
      </c>
      <c r="C169" s="6" t="s">
        <v>347</v>
      </c>
      <c r="D169" s="6" t="s">
        <v>139</v>
      </c>
      <c r="E169" s="12" t="n">
        <v>1</v>
      </c>
      <c r="F169" s="12" t="n">
        <v>0</v>
      </c>
      <c r="G169" s="6" t="s">
        <v>341</v>
      </c>
      <c r="H169" s="6" t="n">
        <v>0</v>
      </c>
    </row>
    <row r="170" customFormat="false" ht="15" hidden="false" customHeight="false" outlineLevel="0" collapsed="false">
      <c r="A170" s="6" t="s">
        <v>171</v>
      </c>
      <c r="B170" s="6" t="s">
        <v>168</v>
      </c>
      <c r="C170" s="6" t="s">
        <v>348</v>
      </c>
      <c r="D170" s="6" t="s">
        <v>139</v>
      </c>
      <c r="E170" s="12" t="n">
        <v>1</v>
      </c>
      <c r="F170" s="12" t="n">
        <v>0</v>
      </c>
      <c r="G170" s="6" t="s">
        <v>341</v>
      </c>
      <c r="H170" s="6" t="n">
        <v>0</v>
      </c>
    </row>
    <row r="171" customFormat="false" ht="15" hidden="false" customHeight="false" outlineLevel="0" collapsed="false">
      <c r="A171" s="6" t="s">
        <v>171</v>
      </c>
      <c r="B171" s="6" t="s">
        <v>168</v>
      </c>
      <c r="C171" s="6" t="s">
        <v>349</v>
      </c>
      <c r="D171" s="6" t="s">
        <v>139</v>
      </c>
      <c r="E171" s="12" t="n">
        <v>1</v>
      </c>
      <c r="F171" s="12" t="n">
        <v>0</v>
      </c>
      <c r="G171" s="6" t="s">
        <v>341</v>
      </c>
      <c r="H171" s="6" t="n">
        <v>0</v>
      </c>
    </row>
    <row r="172" customFormat="false" ht="15" hidden="false" customHeight="false" outlineLevel="0" collapsed="false">
      <c r="A172" s="6" t="s">
        <v>171</v>
      </c>
      <c r="B172" s="6" t="s">
        <v>168</v>
      </c>
      <c r="C172" s="6" t="s">
        <v>350</v>
      </c>
      <c r="D172" s="6" t="s">
        <v>139</v>
      </c>
      <c r="E172" s="12" t="n">
        <v>1</v>
      </c>
      <c r="F172" s="12" t="n">
        <v>0</v>
      </c>
      <c r="G172" s="6" t="s">
        <v>341</v>
      </c>
      <c r="H172" s="6" t="n">
        <v>0</v>
      </c>
    </row>
    <row r="173" customFormat="false" ht="15" hidden="false" customHeight="false" outlineLevel="0" collapsed="false">
      <c r="A173" s="6" t="s">
        <v>171</v>
      </c>
      <c r="B173" s="6" t="s">
        <v>168</v>
      </c>
      <c r="C173" s="6" t="s">
        <v>351</v>
      </c>
      <c r="D173" s="6" t="s">
        <v>139</v>
      </c>
      <c r="E173" s="12" t="n">
        <v>1</v>
      </c>
      <c r="F173" s="12" t="n">
        <v>0</v>
      </c>
      <c r="G173" s="6" t="s">
        <v>341</v>
      </c>
      <c r="H173" s="6" t="n">
        <v>0</v>
      </c>
    </row>
    <row r="174" customFormat="false" ht="15" hidden="false" customHeight="false" outlineLevel="0" collapsed="false">
      <c r="A174" s="6" t="s">
        <v>171</v>
      </c>
      <c r="B174" s="6" t="s">
        <v>168</v>
      </c>
      <c r="C174" s="6" t="s">
        <v>352</v>
      </c>
      <c r="D174" s="6" t="s">
        <v>139</v>
      </c>
      <c r="E174" s="12" t="n">
        <v>1</v>
      </c>
      <c r="F174" s="12" t="n">
        <v>0</v>
      </c>
      <c r="G174" s="6" t="s">
        <v>341</v>
      </c>
      <c r="H174" s="6" t="n">
        <v>0</v>
      </c>
    </row>
    <row r="175" customFormat="false" ht="15" hidden="false" customHeight="false" outlineLevel="0" collapsed="false">
      <c r="A175" s="6" t="s">
        <v>173</v>
      </c>
      <c r="B175" s="6" t="s">
        <v>168</v>
      </c>
      <c r="C175" s="6" t="s">
        <v>340</v>
      </c>
      <c r="D175" s="6" t="s">
        <v>139</v>
      </c>
      <c r="E175" s="12" t="n">
        <v>1</v>
      </c>
      <c r="F175" s="12" t="n">
        <v>0</v>
      </c>
      <c r="G175" s="6" t="s">
        <v>341</v>
      </c>
      <c r="H175" s="6" t="n">
        <v>0</v>
      </c>
    </row>
    <row r="176" customFormat="false" ht="15" hidden="false" customHeight="false" outlineLevel="0" collapsed="false">
      <c r="A176" s="6" t="s">
        <v>173</v>
      </c>
      <c r="B176" s="6" t="s">
        <v>168</v>
      </c>
      <c r="C176" s="6" t="s">
        <v>342</v>
      </c>
      <c r="D176" s="6" t="s">
        <v>139</v>
      </c>
      <c r="E176" s="12" t="n">
        <v>1</v>
      </c>
      <c r="F176" s="12" t="n">
        <v>0</v>
      </c>
      <c r="G176" s="6" t="s">
        <v>341</v>
      </c>
      <c r="H176" s="6" t="n">
        <v>0</v>
      </c>
    </row>
    <row r="177" customFormat="false" ht="15" hidden="false" customHeight="false" outlineLevel="0" collapsed="false">
      <c r="A177" s="6" t="s">
        <v>173</v>
      </c>
      <c r="B177" s="6" t="s">
        <v>168</v>
      </c>
      <c r="C177" s="6" t="s">
        <v>343</v>
      </c>
      <c r="D177" s="6" t="s">
        <v>139</v>
      </c>
      <c r="E177" s="12" t="n">
        <v>1</v>
      </c>
      <c r="F177" s="12" t="n">
        <v>0</v>
      </c>
      <c r="G177" s="6" t="s">
        <v>341</v>
      </c>
      <c r="H177" s="6" t="n">
        <v>0</v>
      </c>
    </row>
    <row r="178" customFormat="false" ht="15" hidden="false" customHeight="false" outlineLevel="0" collapsed="false">
      <c r="A178" s="6" t="s">
        <v>173</v>
      </c>
      <c r="B178" s="6" t="s">
        <v>168</v>
      </c>
      <c r="C178" s="6" t="s">
        <v>344</v>
      </c>
      <c r="D178" s="6" t="s">
        <v>139</v>
      </c>
      <c r="E178" s="12" t="n">
        <v>1</v>
      </c>
      <c r="F178" s="12" t="n">
        <v>0</v>
      </c>
      <c r="G178" s="6" t="s">
        <v>341</v>
      </c>
      <c r="H178" s="6" t="n">
        <v>0</v>
      </c>
    </row>
    <row r="179" customFormat="false" ht="15" hidden="false" customHeight="false" outlineLevel="0" collapsed="false">
      <c r="A179" s="6" t="s">
        <v>173</v>
      </c>
      <c r="B179" s="6" t="s">
        <v>168</v>
      </c>
      <c r="C179" s="6" t="s">
        <v>345</v>
      </c>
      <c r="D179" s="6" t="s">
        <v>139</v>
      </c>
      <c r="E179" s="12" t="n">
        <v>1</v>
      </c>
      <c r="F179" s="12" t="n">
        <v>0</v>
      </c>
      <c r="G179" s="6" t="s">
        <v>341</v>
      </c>
      <c r="H179" s="6" t="n">
        <v>0</v>
      </c>
    </row>
    <row r="180" customFormat="false" ht="15" hidden="false" customHeight="false" outlineLevel="0" collapsed="false">
      <c r="A180" s="6" t="s">
        <v>173</v>
      </c>
      <c r="B180" s="6" t="s">
        <v>168</v>
      </c>
      <c r="C180" s="6" t="s">
        <v>346</v>
      </c>
      <c r="D180" s="6" t="s">
        <v>139</v>
      </c>
      <c r="E180" s="12" t="n">
        <v>1</v>
      </c>
      <c r="F180" s="12" t="n">
        <v>0</v>
      </c>
      <c r="G180" s="6" t="s">
        <v>341</v>
      </c>
      <c r="H180" s="6" t="n">
        <v>0</v>
      </c>
    </row>
    <row r="181" customFormat="false" ht="15" hidden="false" customHeight="false" outlineLevel="0" collapsed="false">
      <c r="A181" s="6" t="s">
        <v>173</v>
      </c>
      <c r="B181" s="6" t="s">
        <v>168</v>
      </c>
      <c r="C181" s="6" t="s">
        <v>347</v>
      </c>
      <c r="D181" s="6" t="s">
        <v>139</v>
      </c>
      <c r="E181" s="12" t="n">
        <v>1</v>
      </c>
      <c r="F181" s="12" t="n">
        <v>0</v>
      </c>
      <c r="G181" s="6" t="s">
        <v>341</v>
      </c>
      <c r="H181" s="6" t="n">
        <v>0</v>
      </c>
    </row>
    <row r="182" customFormat="false" ht="15" hidden="false" customHeight="false" outlineLevel="0" collapsed="false">
      <c r="A182" s="6" t="s">
        <v>173</v>
      </c>
      <c r="B182" s="6" t="s">
        <v>168</v>
      </c>
      <c r="C182" s="6" t="s">
        <v>348</v>
      </c>
      <c r="D182" s="6" t="s">
        <v>139</v>
      </c>
      <c r="E182" s="12" t="n">
        <v>1</v>
      </c>
      <c r="F182" s="12" t="n">
        <v>0</v>
      </c>
      <c r="G182" s="6" t="s">
        <v>341</v>
      </c>
      <c r="H182" s="6" t="n">
        <v>0</v>
      </c>
    </row>
    <row r="183" customFormat="false" ht="15" hidden="false" customHeight="false" outlineLevel="0" collapsed="false">
      <c r="A183" s="6" t="s">
        <v>173</v>
      </c>
      <c r="B183" s="6" t="s">
        <v>168</v>
      </c>
      <c r="C183" s="6" t="s">
        <v>349</v>
      </c>
      <c r="D183" s="6" t="s">
        <v>139</v>
      </c>
      <c r="E183" s="12" t="n">
        <v>1</v>
      </c>
      <c r="F183" s="12" t="n">
        <v>0</v>
      </c>
      <c r="G183" s="6" t="s">
        <v>341</v>
      </c>
      <c r="H183" s="6" t="n">
        <v>0</v>
      </c>
    </row>
    <row r="184" customFormat="false" ht="15" hidden="false" customHeight="false" outlineLevel="0" collapsed="false">
      <c r="A184" s="6" t="s">
        <v>173</v>
      </c>
      <c r="B184" s="6" t="s">
        <v>168</v>
      </c>
      <c r="C184" s="6" t="s">
        <v>350</v>
      </c>
      <c r="D184" s="6" t="s">
        <v>139</v>
      </c>
      <c r="E184" s="12" t="n">
        <v>1</v>
      </c>
      <c r="F184" s="12" t="n">
        <v>0</v>
      </c>
      <c r="G184" s="6" t="s">
        <v>341</v>
      </c>
      <c r="H184" s="6" t="n">
        <v>0</v>
      </c>
    </row>
    <row r="185" customFormat="false" ht="15" hidden="false" customHeight="false" outlineLevel="0" collapsed="false">
      <c r="A185" s="6" t="s">
        <v>173</v>
      </c>
      <c r="B185" s="6" t="s">
        <v>168</v>
      </c>
      <c r="C185" s="6" t="s">
        <v>351</v>
      </c>
      <c r="D185" s="6" t="s">
        <v>139</v>
      </c>
      <c r="E185" s="12" t="n">
        <v>1</v>
      </c>
      <c r="F185" s="12" t="n">
        <v>0</v>
      </c>
      <c r="G185" s="6" t="s">
        <v>341</v>
      </c>
      <c r="H185" s="6" t="n">
        <v>0</v>
      </c>
    </row>
    <row r="186" customFormat="false" ht="15" hidden="false" customHeight="false" outlineLevel="0" collapsed="false">
      <c r="A186" s="6" t="s">
        <v>173</v>
      </c>
      <c r="B186" s="6" t="s">
        <v>168</v>
      </c>
      <c r="C186" s="6" t="s">
        <v>352</v>
      </c>
      <c r="D186" s="6" t="s">
        <v>139</v>
      </c>
      <c r="E186" s="12" t="n">
        <v>1</v>
      </c>
      <c r="F186" s="12" t="n">
        <v>0</v>
      </c>
      <c r="G186" s="6" t="s">
        <v>341</v>
      </c>
      <c r="H186" s="6" t="n">
        <v>0</v>
      </c>
    </row>
    <row r="187" customFormat="false" ht="15" hidden="false" customHeight="false" outlineLevel="0" collapsed="false">
      <c r="A187" s="6" t="s">
        <v>175</v>
      </c>
      <c r="B187" s="6" t="s">
        <v>168</v>
      </c>
      <c r="C187" s="6" t="s">
        <v>340</v>
      </c>
      <c r="D187" s="6" t="s">
        <v>139</v>
      </c>
      <c r="E187" s="12" t="n">
        <v>1</v>
      </c>
      <c r="F187" s="12" t="n">
        <v>0</v>
      </c>
      <c r="G187" s="6" t="s">
        <v>341</v>
      </c>
      <c r="H187" s="6" t="n">
        <v>0</v>
      </c>
    </row>
    <row r="188" customFormat="false" ht="15" hidden="false" customHeight="false" outlineLevel="0" collapsed="false">
      <c r="A188" s="6" t="s">
        <v>175</v>
      </c>
      <c r="B188" s="6" t="s">
        <v>168</v>
      </c>
      <c r="C188" s="6" t="s">
        <v>342</v>
      </c>
      <c r="D188" s="6" t="s">
        <v>139</v>
      </c>
      <c r="E188" s="12" t="n">
        <v>1</v>
      </c>
      <c r="F188" s="12" t="n">
        <v>0</v>
      </c>
      <c r="G188" s="6" t="s">
        <v>341</v>
      </c>
      <c r="H188" s="6" t="n">
        <v>0</v>
      </c>
    </row>
    <row r="189" customFormat="false" ht="15" hidden="false" customHeight="false" outlineLevel="0" collapsed="false">
      <c r="A189" s="6" t="s">
        <v>175</v>
      </c>
      <c r="B189" s="6" t="s">
        <v>168</v>
      </c>
      <c r="C189" s="6" t="s">
        <v>343</v>
      </c>
      <c r="D189" s="6" t="s">
        <v>139</v>
      </c>
      <c r="E189" s="12" t="n">
        <v>1</v>
      </c>
      <c r="F189" s="12" t="n">
        <v>0</v>
      </c>
      <c r="G189" s="6" t="s">
        <v>341</v>
      </c>
      <c r="H189" s="6" t="n">
        <v>0</v>
      </c>
    </row>
    <row r="190" customFormat="false" ht="15" hidden="false" customHeight="false" outlineLevel="0" collapsed="false">
      <c r="A190" s="6" t="s">
        <v>175</v>
      </c>
      <c r="B190" s="6" t="s">
        <v>168</v>
      </c>
      <c r="C190" s="6" t="s">
        <v>344</v>
      </c>
      <c r="D190" s="6" t="s">
        <v>139</v>
      </c>
      <c r="E190" s="12" t="n">
        <v>1</v>
      </c>
      <c r="F190" s="12" t="n">
        <v>0</v>
      </c>
      <c r="G190" s="6" t="s">
        <v>341</v>
      </c>
      <c r="H190" s="6" t="n">
        <v>0</v>
      </c>
    </row>
    <row r="191" customFormat="false" ht="15" hidden="false" customHeight="false" outlineLevel="0" collapsed="false">
      <c r="A191" s="6" t="s">
        <v>175</v>
      </c>
      <c r="B191" s="6" t="s">
        <v>168</v>
      </c>
      <c r="C191" s="6" t="s">
        <v>345</v>
      </c>
      <c r="D191" s="6" t="s">
        <v>139</v>
      </c>
      <c r="E191" s="12" t="n">
        <v>1</v>
      </c>
      <c r="F191" s="12" t="n">
        <v>0</v>
      </c>
      <c r="G191" s="6" t="s">
        <v>341</v>
      </c>
      <c r="H191" s="6" t="n">
        <v>0</v>
      </c>
    </row>
    <row r="192" customFormat="false" ht="15" hidden="false" customHeight="false" outlineLevel="0" collapsed="false">
      <c r="A192" s="6" t="s">
        <v>175</v>
      </c>
      <c r="B192" s="6" t="s">
        <v>168</v>
      </c>
      <c r="C192" s="6" t="s">
        <v>346</v>
      </c>
      <c r="D192" s="6" t="s">
        <v>139</v>
      </c>
      <c r="E192" s="12" t="n">
        <v>1</v>
      </c>
      <c r="F192" s="12" t="n">
        <v>0</v>
      </c>
      <c r="G192" s="6" t="s">
        <v>341</v>
      </c>
      <c r="H192" s="6" t="n">
        <v>0</v>
      </c>
    </row>
    <row r="193" customFormat="false" ht="15" hidden="false" customHeight="false" outlineLevel="0" collapsed="false">
      <c r="A193" s="6" t="s">
        <v>175</v>
      </c>
      <c r="B193" s="6" t="s">
        <v>168</v>
      </c>
      <c r="C193" s="6" t="s">
        <v>347</v>
      </c>
      <c r="D193" s="6" t="s">
        <v>139</v>
      </c>
      <c r="E193" s="12" t="n">
        <v>1</v>
      </c>
      <c r="F193" s="12" t="n">
        <v>0</v>
      </c>
      <c r="G193" s="6" t="s">
        <v>341</v>
      </c>
      <c r="H193" s="6" t="n">
        <v>0</v>
      </c>
    </row>
    <row r="194" customFormat="false" ht="15" hidden="false" customHeight="false" outlineLevel="0" collapsed="false">
      <c r="A194" s="6" t="s">
        <v>175</v>
      </c>
      <c r="B194" s="6" t="s">
        <v>168</v>
      </c>
      <c r="C194" s="6" t="s">
        <v>348</v>
      </c>
      <c r="D194" s="6" t="s">
        <v>139</v>
      </c>
      <c r="E194" s="12" t="n">
        <v>1</v>
      </c>
      <c r="F194" s="12" t="n">
        <v>0</v>
      </c>
      <c r="G194" s="6" t="s">
        <v>341</v>
      </c>
      <c r="H194" s="6" t="n">
        <v>0</v>
      </c>
    </row>
    <row r="195" customFormat="false" ht="15" hidden="false" customHeight="false" outlineLevel="0" collapsed="false">
      <c r="A195" s="6" t="s">
        <v>175</v>
      </c>
      <c r="B195" s="6" t="s">
        <v>168</v>
      </c>
      <c r="C195" s="6" t="s">
        <v>349</v>
      </c>
      <c r="D195" s="6" t="s">
        <v>139</v>
      </c>
      <c r="E195" s="12" t="n">
        <v>1</v>
      </c>
      <c r="F195" s="12" t="n">
        <v>0</v>
      </c>
      <c r="G195" s="6" t="s">
        <v>341</v>
      </c>
      <c r="H195" s="6" t="n">
        <v>0</v>
      </c>
    </row>
    <row r="196" customFormat="false" ht="15" hidden="false" customHeight="false" outlineLevel="0" collapsed="false">
      <c r="A196" s="6" t="s">
        <v>175</v>
      </c>
      <c r="B196" s="6" t="s">
        <v>168</v>
      </c>
      <c r="C196" s="6" t="s">
        <v>350</v>
      </c>
      <c r="D196" s="6" t="s">
        <v>139</v>
      </c>
      <c r="E196" s="12" t="n">
        <v>1</v>
      </c>
      <c r="F196" s="12" t="n">
        <v>0</v>
      </c>
      <c r="G196" s="6" t="s">
        <v>341</v>
      </c>
      <c r="H196" s="6" t="n">
        <v>0</v>
      </c>
    </row>
    <row r="197" customFormat="false" ht="15" hidden="false" customHeight="false" outlineLevel="0" collapsed="false">
      <c r="A197" s="6" t="s">
        <v>175</v>
      </c>
      <c r="B197" s="6" t="s">
        <v>168</v>
      </c>
      <c r="C197" s="6" t="s">
        <v>351</v>
      </c>
      <c r="D197" s="6" t="s">
        <v>139</v>
      </c>
      <c r="E197" s="12" t="n">
        <v>1</v>
      </c>
      <c r="F197" s="12" t="n">
        <v>0</v>
      </c>
      <c r="G197" s="6" t="s">
        <v>341</v>
      </c>
      <c r="H197" s="6" t="n">
        <v>0</v>
      </c>
    </row>
    <row r="198" customFormat="false" ht="15" hidden="false" customHeight="false" outlineLevel="0" collapsed="false">
      <c r="A198" s="6" t="s">
        <v>175</v>
      </c>
      <c r="B198" s="6" t="s">
        <v>168</v>
      </c>
      <c r="C198" s="6" t="s">
        <v>352</v>
      </c>
      <c r="D198" s="6" t="s">
        <v>139</v>
      </c>
      <c r="E198" s="12" t="n">
        <v>1</v>
      </c>
      <c r="F198" s="12" t="n">
        <v>0</v>
      </c>
      <c r="G198" s="6" t="s">
        <v>341</v>
      </c>
      <c r="H198" s="6" t="n">
        <v>0</v>
      </c>
    </row>
    <row r="199" customFormat="false" ht="15" hidden="false" customHeight="false" outlineLevel="0" collapsed="false">
      <c r="A199" s="6" t="s">
        <v>177</v>
      </c>
      <c r="B199" s="6" t="s">
        <v>178</v>
      </c>
      <c r="C199" s="6" t="s">
        <v>340</v>
      </c>
      <c r="D199" s="6" t="s">
        <v>139</v>
      </c>
      <c r="E199" s="12" t="n">
        <v>1</v>
      </c>
      <c r="F199" s="12" t="n">
        <v>0</v>
      </c>
      <c r="G199" s="6" t="s">
        <v>341</v>
      </c>
      <c r="H199" s="6" t="n">
        <v>0</v>
      </c>
    </row>
    <row r="200" customFormat="false" ht="15" hidden="false" customHeight="false" outlineLevel="0" collapsed="false">
      <c r="A200" s="6" t="s">
        <v>177</v>
      </c>
      <c r="B200" s="6" t="s">
        <v>178</v>
      </c>
      <c r="C200" s="6" t="s">
        <v>342</v>
      </c>
      <c r="D200" s="6" t="s">
        <v>139</v>
      </c>
      <c r="E200" s="12" t="n">
        <v>1</v>
      </c>
      <c r="F200" s="12" t="n">
        <v>0</v>
      </c>
      <c r="G200" s="6" t="s">
        <v>341</v>
      </c>
      <c r="H200" s="6" t="n">
        <v>0</v>
      </c>
    </row>
    <row r="201" customFormat="false" ht="15" hidden="false" customHeight="false" outlineLevel="0" collapsed="false">
      <c r="A201" s="6" t="s">
        <v>177</v>
      </c>
      <c r="B201" s="6" t="s">
        <v>178</v>
      </c>
      <c r="C201" s="6" t="s">
        <v>343</v>
      </c>
      <c r="D201" s="6" t="s">
        <v>139</v>
      </c>
      <c r="E201" s="12" t="n">
        <v>1</v>
      </c>
      <c r="F201" s="12" t="n">
        <v>0</v>
      </c>
      <c r="G201" s="6" t="s">
        <v>341</v>
      </c>
      <c r="H201" s="6" t="n">
        <v>0</v>
      </c>
    </row>
    <row r="202" customFormat="false" ht="15" hidden="false" customHeight="false" outlineLevel="0" collapsed="false">
      <c r="A202" s="6" t="s">
        <v>177</v>
      </c>
      <c r="B202" s="6" t="s">
        <v>178</v>
      </c>
      <c r="C202" s="6" t="s">
        <v>344</v>
      </c>
      <c r="D202" s="6" t="s">
        <v>139</v>
      </c>
      <c r="E202" s="12" t="n">
        <v>1</v>
      </c>
      <c r="F202" s="12" t="n">
        <v>0</v>
      </c>
      <c r="G202" s="6" t="s">
        <v>341</v>
      </c>
      <c r="H202" s="6" t="n">
        <v>0</v>
      </c>
    </row>
    <row r="203" customFormat="false" ht="15" hidden="false" customHeight="false" outlineLevel="0" collapsed="false">
      <c r="A203" s="6" t="s">
        <v>177</v>
      </c>
      <c r="B203" s="6" t="s">
        <v>178</v>
      </c>
      <c r="C203" s="6" t="s">
        <v>345</v>
      </c>
      <c r="D203" s="6" t="s">
        <v>139</v>
      </c>
      <c r="E203" s="12" t="n">
        <v>1</v>
      </c>
      <c r="F203" s="12" t="n">
        <v>0</v>
      </c>
      <c r="G203" s="6" t="s">
        <v>341</v>
      </c>
      <c r="H203" s="6" t="n">
        <v>0</v>
      </c>
    </row>
    <row r="204" customFormat="false" ht="15" hidden="false" customHeight="false" outlineLevel="0" collapsed="false">
      <c r="A204" s="6" t="s">
        <v>177</v>
      </c>
      <c r="B204" s="6" t="s">
        <v>178</v>
      </c>
      <c r="C204" s="6" t="s">
        <v>346</v>
      </c>
      <c r="D204" s="6" t="s">
        <v>139</v>
      </c>
      <c r="E204" s="12" t="n">
        <v>1</v>
      </c>
      <c r="F204" s="12" t="n">
        <v>0</v>
      </c>
      <c r="G204" s="6" t="s">
        <v>341</v>
      </c>
      <c r="H204" s="6" t="n">
        <v>0</v>
      </c>
    </row>
    <row r="205" customFormat="false" ht="15" hidden="false" customHeight="false" outlineLevel="0" collapsed="false">
      <c r="A205" s="6" t="s">
        <v>177</v>
      </c>
      <c r="B205" s="6" t="s">
        <v>178</v>
      </c>
      <c r="C205" s="6" t="s">
        <v>347</v>
      </c>
      <c r="D205" s="6" t="s">
        <v>139</v>
      </c>
      <c r="E205" s="12" t="n">
        <v>1</v>
      </c>
      <c r="F205" s="12" t="n">
        <v>0</v>
      </c>
      <c r="G205" s="6" t="s">
        <v>341</v>
      </c>
      <c r="H205" s="6" t="n">
        <v>0</v>
      </c>
    </row>
    <row r="206" customFormat="false" ht="15" hidden="false" customHeight="false" outlineLevel="0" collapsed="false">
      <c r="A206" s="6" t="s">
        <v>177</v>
      </c>
      <c r="B206" s="6" t="s">
        <v>178</v>
      </c>
      <c r="C206" s="6" t="s">
        <v>348</v>
      </c>
      <c r="D206" s="6" t="s">
        <v>139</v>
      </c>
      <c r="E206" s="12" t="n">
        <v>1</v>
      </c>
      <c r="F206" s="12" t="n">
        <v>0</v>
      </c>
      <c r="G206" s="6" t="s">
        <v>341</v>
      </c>
      <c r="H206" s="6" t="n">
        <v>0</v>
      </c>
    </row>
    <row r="207" customFormat="false" ht="15" hidden="false" customHeight="false" outlineLevel="0" collapsed="false">
      <c r="A207" s="6" t="s">
        <v>177</v>
      </c>
      <c r="B207" s="6" t="s">
        <v>178</v>
      </c>
      <c r="C207" s="6" t="s">
        <v>349</v>
      </c>
      <c r="D207" s="6" t="s">
        <v>139</v>
      </c>
      <c r="E207" s="12" t="n">
        <v>1</v>
      </c>
      <c r="F207" s="12" t="n">
        <v>0</v>
      </c>
      <c r="G207" s="6" t="s">
        <v>341</v>
      </c>
      <c r="H207" s="6" t="n">
        <v>0</v>
      </c>
    </row>
    <row r="208" customFormat="false" ht="15" hidden="false" customHeight="false" outlineLevel="0" collapsed="false">
      <c r="A208" s="6" t="s">
        <v>177</v>
      </c>
      <c r="B208" s="6" t="s">
        <v>178</v>
      </c>
      <c r="C208" s="6" t="s">
        <v>350</v>
      </c>
      <c r="D208" s="6" t="s">
        <v>139</v>
      </c>
      <c r="E208" s="12" t="n">
        <v>1</v>
      </c>
      <c r="F208" s="12" t="n">
        <v>0</v>
      </c>
      <c r="G208" s="6" t="s">
        <v>341</v>
      </c>
      <c r="H208" s="6" t="n">
        <v>0</v>
      </c>
    </row>
    <row r="209" customFormat="false" ht="15" hidden="false" customHeight="false" outlineLevel="0" collapsed="false">
      <c r="A209" s="6" t="s">
        <v>177</v>
      </c>
      <c r="B209" s="6" t="s">
        <v>178</v>
      </c>
      <c r="C209" s="6" t="s">
        <v>351</v>
      </c>
      <c r="D209" s="6" t="s">
        <v>139</v>
      </c>
      <c r="E209" s="12" t="n">
        <v>1</v>
      </c>
      <c r="F209" s="12" t="n">
        <v>0</v>
      </c>
      <c r="G209" s="6" t="s">
        <v>341</v>
      </c>
      <c r="H209" s="6" t="n">
        <v>0</v>
      </c>
    </row>
    <row r="210" customFormat="false" ht="15" hidden="false" customHeight="false" outlineLevel="0" collapsed="false">
      <c r="A210" s="6" t="s">
        <v>177</v>
      </c>
      <c r="B210" s="6" t="s">
        <v>178</v>
      </c>
      <c r="C210" s="6" t="s">
        <v>352</v>
      </c>
      <c r="D210" s="6" t="s">
        <v>139</v>
      </c>
      <c r="E210" s="12" t="n">
        <v>1</v>
      </c>
      <c r="F210" s="12" t="n">
        <v>0</v>
      </c>
      <c r="G210" s="6" t="s">
        <v>341</v>
      </c>
      <c r="H210" s="6" t="n">
        <v>0</v>
      </c>
    </row>
    <row r="211" customFormat="false" ht="15" hidden="false" customHeight="false" outlineLevel="0" collapsed="false">
      <c r="A211" s="6" t="s">
        <v>181</v>
      </c>
      <c r="B211" s="6" t="s">
        <v>178</v>
      </c>
      <c r="C211" s="6" t="s">
        <v>340</v>
      </c>
      <c r="D211" s="6" t="s">
        <v>139</v>
      </c>
      <c r="E211" s="12" t="n">
        <v>1</v>
      </c>
      <c r="F211" s="12" t="n">
        <v>0</v>
      </c>
      <c r="G211" s="6" t="s">
        <v>341</v>
      </c>
      <c r="H211" s="6" t="n">
        <v>0</v>
      </c>
    </row>
    <row r="212" customFormat="false" ht="15" hidden="false" customHeight="false" outlineLevel="0" collapsed="false">
      <c r="A212" s="6" t="s">
        <v>181</v>
      </c>
      <c r="B212" s="6" t="s">
        <v>178</v>
      </c>
      <c r="C212" s="6" t="s">
        <v>342</v>
      </c>
      <c r="D212" s="6" t="s">
        <v>139</v>
      </c>
      <c r="E212" s="12" t="n">
        <v>1</v>
      </c>
      <c r="F212" s="12" t="n">
        <v>0</v>
      </c>
      <c r="G212" s="6" t="s">
        <v>341</v>
      </c>
      <c r="H212" s="6" t="n">
        <v>0</v>
      </c>
    </row>
    <row r="213" customFormat="false" ht="15" hidden="false" customHeight="false" outlineLevel="0" collapsed="false">
      <c r="A213" s="6" t="s">
        <v>181</v>
      </c>
      <c r="B213" s="6" t="s">
        <v>178</v>
      </c>
      <c r="C213" s="6" t="s">
        <v>343</v>
      </c>
      <c r="D213" s="6" t="s">
        <v>139</v>
      </c>
      <c r="E213" s="12" t="n">
        <v>1</v>
      </c>
      <c r="F213" s="12" t="n">
        <v>0</v>
      </c>
      <c r="G213" s="6" t="s">
        <v>341</v>
      </c>
      <c r="H213" s="6" t="n">
        <v>0</v>
      </c>
    </row>
    <row r="214" customFormat="false" ht="15" hidden="false" customHeight="false" outlineLevel="0" collapsed="false">
      <c r="A214" s="6" t="s">
        <v>181</v>
      </c>
      <c r="B214" s="6" t="s">
        <v>178</v>
      </c>
      <c r="C214" s="6" t="s">
        <v>344</v>
      </c>
      <c r="D214" s="6" t="s">
        <v>139</v>
      </c>
      <c r="E214" s="12" t="n">
        <v>1</v>
      </c>
      <c r="F214" s="12" t="n">
        <v>0</v>
      </c>
      <c r="G214" s="6" t="s">
        <v>341</v>
      </c>
      <c r="H214" s="6" t="n">
        <v>0</v>
      </c>
    </row>
    <row r="215" customFormat="false" ht="15" hidden="false" customHeight="false" outlineLevel="0" collapsed="false">
      <c r="A215" s="6" t="s">
        <v>181</v>
      </c>
      <c r="B215" s="6" t="s">
        <v>178</v>
      </c>
      <c r="C215" s="6" t="s">
        <v>345</v>
      </c>
      <c r="D215" s="6" t="s">
        <v>139</v>
      </c>
      <c r="E215" s="12" t="n">
        <v>1</v>
      </c>
      <c r="F215" s="12" t="n">
        <v>0</v>
      </c>
      <c r="G215" s="6" t="s">
        <v>341</v>
      </c>
      <c r="H215" s="6" t="n">
        <v>0</v>
      </c>
    </row>
    <row r="216" customFormat="false" ht="15" hidden="false" customHeight="false" outlineLevel="0" collapsed="false">
      <c r="A216" s="6" t="s">
        <v>181</v>
      </c>
      <c r="B216" s="6" t="s">
        <v>178</v>
      </c>
      <c r="C216" s="6" t="s">
        <v>346</v>
      </c>
      <c r="D216" s="6" t="s">
        <v>139</v>
      </c>
      <c r="E216" s="12" t="n">
        <v>1</v>
      </c>
      <c r="F216" s="12" t="n">
        <v>0</v>
      </c>
      <c r="G216" s="6" t="s">
        <v>341</v>
      </c>
      <c r="H216" s="6" t="n">
        <v>0</v>
      </c>
    </row>
    <row r="217" customFormat="false" ht="15" hidden="false" customHeight="false" outlineLevel="0" collapsed="false">
      <c r="A217" s="6" t="s">
        <v>181</v>
      </c>
      <c r="B217" s="6" t="s">
        <v>178</v>
      </c>
      <c r="C217" s="6" t="s">
        <v>347</v>
      </c>
      <c r="D217" s="6" t="s">
        <v>139</v>
      </c>
      <c r="E217" s="12" t="n">
        <v>1</v>
      </c>
      <c r="F217" s="12" t="n">
        <v>0</v>
      </c>
      <c r="G217" s="6" t="s">
        <v>341</v>
      </c>
      <c r="H217" s="6" t="n">
        <v>0</v>
      </c>
    </row>
    <row r="218" customFormat="false" ht="15" hidden="false" customHeight="false" outlineLevel="0" collapsed="false">
      <c r="A218" s="6" t="s">
        <v>181</v>
      </c>
      <c r="B218" s="6" t="s">
        <v>178</v>
      </c>
      <c r="C218" s="6" t="s">
        <v>348</v>
      </c>
      <c r="D218" s="6" t="s">
        <v>139</v>
      </c>
      <c r="E218" s="12" t="n">
        <v>1</v>
      </c>
      <c r="F218" s="12" t="n">
        <v>0</v>
      </c>
      <c r="G218" s="6" t="s">
        <v>341</v>
      </c>
      <c r="H218" s="6" t="n">
        <v>0</v>
      </c>
    </row>
    <row r="219" customFormat="false" ht="15" hidden="false" customHeight="false" outlineLevel="0" collapsed="false">
      <c r="A219" s="6" t="s">
        <v>181</v>
      </c>
      <c r="B219" s="6" t="s">
        <v>178</v>
      </c>
      <c r="C219" s="6" t="s">
        <v>349</v>
      </c>
      <c r="D219" s="6" t="s">
        <v>139</v>
      </c>
      <c r="E219" s="12" t="n">
        <v>1</v>
      </c>
      <c r="F219" s="12" t="n">
        <v>0</v>
      </c>
      <c r="G219" s="6" t="s">
        <v>341</v>
      </c>
      <c r="H219" s="6" t="n">
        <v>0</v>
      </c>
    </row>
    <row r="220" customFormat="false" ht="15" hidden="false" customHeight="false" outlineLevel="0" collapsed="false">
      <c r="A220" s="6" t="s">
        <v>181</v>
      </c>
      <c r="B220" s="6" t="s">
        <v>178</v>
      </c>
      <c r="C220" s="6" t="s">
        <v>350</v>
      </c>
      <c r="D220" s="6" t="s">
        <v>139</v>
      </c>
      <c r="E220" s="12" t="n">
        <v>1</v>
      </c>
      <c r="F220" s="12" t="n">
        <v>0</v>
      </c>
      <c r="G220" s="6" t="s">
        <v>341</v>
      </c>
      <c r="H220" s="6" t="n">
        <v>0</v>
      </c>
    </row>
    <row r="221" customFormat="false" ht="15" hidden="false" customHeight="false" outlineLevel="0" collapsed="false">
      <c r="A221" s="6" t="s">
        <v>181</v>
      </c>
      <c r="B221" s="6" t="s">
        <v>178</v>
      </c>
      <c r="C221" s="6" t="s">
        <v>351</v>
      </c>
      <c r="D221" s="6" t="s">
        <v>139</v>
      </c>
      <c r="E221" s="12" t="n">
        <v>1</v>
      </c>
      <c r="F221" s="12" t="n">
        <v>0</v>
      </c>
      <c r="G221" s="6" t="s">
        <v>341</v>
      </c>
      <c r="H221" s="6" t="n">
        <v>0</v>
      </c>
    </row>
    <row r="222" customFormat="false" ht="15" hidden="false" customHeight="false" outlineLevel="0" collapsed="false">
      <c r="A222" s="6" t="s">
        <v>181</v>
      </c>
      <c r="B222" s="6" t="s">
        <v>178</v>
      </c>
      <c r="C222" s="6" t="s">
        <v>352</v>
      </c>
      <c r="D222" s="6" t="s">
        <v>139</v>
      </c>
      <c r="E222" s="12" t="n">
        <v>1</v>
      </c>
      <c r="F222" s="12" t="n">
        <v>0</v>
      </c>
      <c r="G222" s="6" t="s">
        <v>341</v>
      </c>
      <c r="H222" s="6" t="n">
        <v>0</v>
      </c>
    </row>
    <row r="223" customFormat="false" ht="15" hidden="false" customHeight="false" outlineLevel="0" collapsed="false">
      <c r="A223" s="6" t="s">
        <v>183</v>
      </c>
      <c r="B223" s="6" t="s">
        <v>178</v>
      </c>
      <c r="C223" s="6" t="s">
        <v>340</v>
      </c>
      <c r="D223" s="6" t="s">
        <v>139</v>
      </c>
      <c r="E223" s="12" t="n">
        <v>1</v>
      </c>
      <c r="F223" s="12" t="n">
        <v>0</v>
      </c>
      <c r="G223" s="6" t="s">
        <v>341</v>
      </c>
      <c r="H223" s="6" t="n">
        <v>0</v>
      </c>
    </row>
    <row r="224" customFormat="false" ht="15" hidden="false" customHeight="false" outlineLevel="0" collapsed="false">
      <c r="A224" s="6" t="s">
        <v>183</v>
      </c>
      <c r="B224" s="6" t="s">
        <v>178</v>
      </c>
      <c r="C224" s="6" t="s">
        <v>342</v>
      </c>
      <c r="D224" s="6" t="s">
        <v>139</v>
      </c>
      <c r="E224" s="12" t="n">
        <v>1</v>
      </c>
      <c r="F224" s="12" t="n">
        <v>0</v>
      </c>
      <c r="G224" s="6" t="s">
        <v>341</v>
      </c>
      <c r="H224" s="6" t="n">
        <v>0</v>
      </c>
    </row>
    <row r="225" customFormat="false" ht="15" hidden="false" customHeight="false" outlineLevel="0" collapsed="false">
      <c r="A225" s="6" t="s">
        <v>183</v>
      </c>
      <c r="B225" s="6" t="s">
        <v>178</v>
      </c>
      <c r="C225" s="6" t="s">
        <v>343</v>
      </c>
      <c r="D225" s="6" t="s">
        <v>139</v>
      </c>
      <c r="E225" s="12" t="n">
        <v>1</v>
      </c>
      <c r="F225" s="12" t="n">
        <v>0</v>
      </c>
      <c r="G225" s="6" t="s">
        <v>341</v>
      </c>
      <c r="H225" s="6" t="n">
        <v>0</v>
      </c>
    </row>
    <row r="226" customFormat="false" ht="15" hidden="false" customHeight="false" outlineLevel="0" collapsed="false">
      <c r="A226" s="6" t="s">
        <v>183</v>
      </c>
      <c r="B226" s="6" t="s">
        <v>178</v>
      </c>
      <c r="C226" s="6" t="s">
        <v>344</v>
      </c>
      <c r="D226" s="6" t="s">
        <v>139</v>
      </c>
      <c r="E226" s="12" t="n">
        <v>1</v>
      </c>
      <c r="F226" s="12" t="n">
        <v>0</v>
      </c>
      <c r="G226" s="6" t="s">
        <v>341</v>
      </c>
      <c r="H226" s="6" t="n">
        <v>0</v>
      </c>
    </row>
    <row r="227" customFormat="false" ht="15" hidden="false" customHeight="false" outlineLevel="0" collapsed="false">
      <c r="A227" s="6" t="s">
        <v>183</v>
      </c>
      <c r="B227" s="6" t="s">
        <v>178</v>
      </c>
      <c r="C227" s="6" t="s">
        <v>345</v>
      </c>
      <c r="D227" s="6" t="s">
        <v>139</v>
      </c>
      <c r="E227" s="12" t="n">
        <v>1</v>
      </c>
      <c r="F227" s="12" t="n">
        <v>0</v>
      </c>
      <c r="G227" s="6" t="s">
        <v>341</v>
      </c>
      <c r="H227" s="6" t="n">
        <v>0</v>
      </c>
    </row>
    <row r="228" customFormat="false" ht="15" hidden="false" customHeight="false" outlineLevel="0" collapsed="false">
      <c r="A228" s="6" t="s">
        <v>183</v>
      </c>
      <c r="B228" s="6" t="s">
        <v>178</v>
      </c>
      <c r="C228" s="6" t="s">
        <v>346</v>
      </c>
      <c r="D228" s="6" t="s">
        <v>139</v>
      </c>
      <c r="E228" s="12" t="n">
        <v>1</v>
      </c>
      <c r="F228" s="12" t="n">
        <v>0</v>
      </c>
      <c r="G228" s="6" t="s">
        <v>341</v>
      </c>
      <c r="H228" s="6" t="n">
        <v>0</v>
      </c>
    </row>
    <row r="229" customFormat="false" ht="15" hidden="false" customHeight="false" outlineLevel="0" collapsed="false">
      <c r="A229" s="6" t="s">
        <v>183</v>
      </c>
      <c r="B229" s="6" t="s">
        <v>178</v>
      </c>
      <c r="C229" s="6" t="s">
        <v>347</v>
      </c>
      <c r="D229" s="6" t="s">
        <v>139</v>
      </c>
      <c r="E229" s="12" t="n">
        <v>1</v>
      </c>
      <c r="F229" s="12" t="n">
        <v>0</v>
      </c>
      <c r="G229" s="6" t="s">
        <v>341</v>
      </c>
      <c r="H229" s="6" t="n">
        <v>0</v>
      </c>
    </row>
    <row r="230" customFormat="false" ht="15" hidden="false" customHeight="false" outlineLevel="0" collapsed="false">
      <c r="A230" s="6" t="s">
        <v>183</v>
      </c>
      <c r="B230" s="6" t="s">
        <v>178</v>
      </c>
      <c r="C230" s="6" t="s">
        <v>348</v>
      </c>
      <c r="D230" s="6" t="s">
        <v>139</v>
      </c>
      <c r="E230" s="12" t="n">
        <v>1</v>
      </c>
      <c r="F230" s="12" t="n">
        <v>0</v>
      </c>
      <c r="G230" s="6" t="s">
        <v>341</v>
      </c>
      <c r="H230" s="6" t="n">
        <v>0</v>
      </c>
    </row>
    <row r="231" customFormat="false" ht="15" hidden="false" customHeight="false" outlineLevel="0" collapsed="false">
      <c r="A231" s="6" t="s">
        <v>183</v>
      </c>
      <c r="B231" s="6" t="s">
        <v>178</v>
      </c>
      <c r="C231" s="6" t="s">
        <v>349</v>
      </c>
      <c r="D231" s="6" t="s">
        <v>139</v>
      </c>
      <c r="E231" s="12" t="n">
        <v>1</v>
      </c>
      <c r="F231" s="12" t="n">
        <v>0</v>
      </c>
      <c r="G231" s="6" t="s">
        <v>341</v>
      </c>
      <c r="H231" s="6" t="n">
        <v>0</v>
      </c>
    </row>
    <row r="232" customFormat="false" ht="15" hidden="false" customHeight="false" outlineLevel="0" collapsed="false">
      <c r="A232" s="6" t="s">
        <v>183</v>
      </c>
      <c r="B232" s="6" t="s">
        <v>178</v>
      </c>
      <c r="C232" s="6" t="s">
        <v>350</v>
      </c>
      <c r="D232" s="6" t="s">
        <v>139</v>
      </c>
      <c r="E232" s="12" t="n">
        <v>1</v>
      </c>
      <c r="F232" s="12" t="n">
        <v>0</v>
      </c>
      <c r="G232" s="6" t="s">
        <v>341</v>
      </c>
      <c r="H232" s="6" t="n">
        <v>0</v>
      </c>
    </row>
    <row r="233" customFormat="false" ht="15" hidden="false" customHeight="false" outlineLevel="0" collapsed="false">
      <c r="A233" s="6" t="s">
        <v>183</v>
      </c>
      <c r="B233" s="6" t="s">
        <v>178</v>
      </c>
      <c r="C233" s="6" t="s">
        <v>351</v>
      </c>
      <c r="D233" s="6" t="s">
        <v>139</v>
      </c>
      <c r="E233" s="12" t="n">
        <v>1</v>
      </c>
      <c r="F233" s="12" t="n">
        <v>0</v>
      </c>
      <c r="G233" s="6" t="s">
        <v>341</v>
      </c>
      <c r="H233" s="6" t="n">
        <v>0</v>
      </c>
    </row>
    <row r="234" customFormat="false" ht="15" hidden="false" customHeight="false" outlineLevel="0" collapsed="false">
      <c r="A234" s="6" t="s">
        <v>183</v>
      </c>
      <c r="B234" s="6" t="s">
        <v>178</v>
      </c>
      <c r="C234" s="6" t="s">
        <v>352</v>
      </c>
      <c r="D234" s="6" t="s">
        <v>139</v>
      </c>
      <c r="E234" s="12" t="n">
        <v>1</v>
      </c>
      <c r="F234" s="12" t="n">
        <v>0</v>
      </c>
      <c r="G234" s="6" t="s">
        <v>341</v>
      </c>
      <c r="H234" s="6" t="n">
        <v>0</v>
      </c>
    </row>
    <row r="235" customFormat="false" ht="15" hidden="false" customHeight="false" outlineLevel="0" collapsed="false">
      <c r="A235" s="6" t="s">
        <v>185</v>
      </c>
      <c r="B235" s="6" t="s">
        <v>178</v>
      </c>
      <c r="C235" s="6" t="s">
        <v>340</v>
      </c>
      <c r="D235" s="6" t="s">
        <v>139</v>
      </c>
      <c r="E235" s="12" t="n">
        <v>1</v>
      </c>
      <c r="F235" s="12" t="n">
        <v>0</v>
      </c>
      <c r="G235" s="6" t="s">
        <v>341</v>
      </c>
      <c r="H235" s="6" t="n">
        <v>0</v>
      </c>
    </row>
    <row r="236" customFormat="false" ht="15" hidden="false" customHeight="false" outlineLevel="0" collapsed="false">
      <c r="A236" s="6" t="s">
        <v>185</v>
      </c>
      <c r="B236" s="6" t="s">
        <v>178</v>
      </c>
      <c r="C236" s="6" t="s">
        <v>342</v>
      </c>
      <c r="D236" s="6" t="s">
        <v>139</v>
      </c>
      <c r="E236" s="12" t="n">
        <v>1</v>
      </c>
      <c r="F236" s="12" t="n">
        <v>0</v>
      </c>
      <c r="G236" s="6" t="s">
        <v>341</v>
      </c>
      <c r="H236" s="6" t="n">
        <v>0</v>
      </c>
    </row>
    <row r="237" customFormat="false" ht="15" hidden="false" customHeight="false" outlineLevel="0" collapsed="false">
      <c r="A237" s="6" t="s">
        <v>185</v>
      </c>
      <c r="B237" s="6" t="s">
        <v>178</v>
      </c>
      <c r="C237" s="6" t="s">
        <v>343</v>
      </c>
      <c r="D237" s="6" t="s">
        <v>139</v>
      </c>
      <c r="E237" s="12" t="n">
        <v>1</v>
      </c>
      <c r="F237" s="12" t="n">
        <v>0</v>
      </c>
      <c r="G237" s="6" t="s">
        <v>341</v>
      </c>
      <c r="H237" s="6" t="n">
        <v>0</v>
      </c>
    </row>
    <row r="238" customFormat="false" ht="15" hidden="false" customHeight="false" outlineLevel="0" collapsed="false">
      <c r="A238" s="6" t="s">
        <v>185</v>
      </c>
      <c r="B238" s="6" t="s">
        <v>178</v>
      </c>
      <c r="C238" s="6" t="s">
        <v>344</v>
      </c>
      <c r="D238" s="6" t="s">
        <v>139</v>
      </c>
      <c r="E238" s="12" t="n">
        <v>1</v>
      </c>
      <c r="F238" s="12" t="n">
        <v>0</v>
      </c>
      <c r="G238" s="6" t="s">
        <v>341</v>
      </c>
      <c r="H238" s="6" t="n">
        <v>0</v>
      </c>
    </row>
    <row r="239" customFormat="false" ht="15" hidden="false" customHeight="false" outlineLevel="0" collapsed="false">
      <c r="A239" s="6" t="s">
        <v>185</v>
      </c>
      <c r="B239" s="6" t="s">
        <v>178</v>
      </c>
      <c r="C239" s="6" t="s">
        <v>345</v>
      </c>
      <c r="D239" s="6" t="s">
        <v>139</v>
      </c>
      <c r="E239" s="12" t="n">
        <v>1</v>
      </c>
      <c r="F239" s="12" t="n">
        <v>0</v>
      </c>
      <c r="G239" s="6" t="s">
        <v>341</v>
      </c>
      <c r="H239" s="6" t="n">
        <v>0</v>
      </c>
    </row>
    <row r="240" customFormat="false" ht="15" hidden="false" customHeight="false" outlineLevel="0" collapsed="false">
      <c r="A240" s="6" t="s">
        <v>185</v>
      </c>
      <c r="B240" s="6" t="s">
        <v>178</v>
      </c>
      <c r="C240" s="6" t="s">
        <v>346</v>
      </c>
      <c r="D240" s="6" t="s">
        <v>139</v>
      </c>
      <c r="E240" s="12" t="n">
        <v>1</v>
      </c>
      <c r="F240" s="12" t="n">
        <v>0</v>
      </c>
      <c r="G240" s="6" t="s">
        <v>341</v>
      </c>
      <c r="H240" s="6" t="n">
        <v>0</v>
      </c>
    </row>
    <row r="241" customFormat="false" ht="15" hidden="false" customHeight="false" outlineLevel="0" collapsed="false">
      <c r="A241" s="6" t="s">
        <v>185</v>
      </c>
      <c r="B241" s="6" t="s">
        <v>178</v>
      </c>
      <c r="C241" s="6" t="s">
        <v>347</v>
      </c>
      <c r="D241" s="6" t="s">
        <v>139</v>
      </c>
      <c r="E241" s="12" t="n">
        <v>1</v>
      </c>
      <c r="F241" s="12" t="n">
        <v>0</v>
      </c>
      <c r="G241" s="6" t="s">
        <v>341</v>
      </c>
      <c r="H241" s="6" t="n">
        <v>0</v>
      </c>
    </row>
    <row r="242" customFormat="false" ht="15" hidden="false" customHeight="false" outlineLevel="0" collapsed="false">
      <c r="A242" s="6" t="s">
        <v>185</v>
      </c>
      <c r="B242" s="6" t="s">
        <v>178</v>
      </c>
      <c r="C242" s="6" t="s">
        <v>348</v>
      </c>
      <c r="D242" s="6" t="s">
        <v>139</v>
      </c>
      <c r="E242" s="12" t="n">
        <v>1</v>
      </c>
      <c r="F242" s="12" t="n">
        <v>0</v>
      </c>
      <c r="G242" s="6" t="s">
        <v>341</v>
      </c>
      <c r="H242" s="6" t="n">
        <v>0</v>
      </c>
    </row>
    <row r="243" customFormat="false" ht="15" hidden="false" customHeight="false" outlineLevel="0" collapsed="false">
      <c r="A243" s="6" t="s">
        <v>185</v>
      </c>
      <c r="B243" s="6" t="s">
        <v>178</v>
      </c>
      <c r="C243" s="6" t="s">
        <v>349</v>
      </c>
      <c r="D243" s="6" t="s">
        <v>139</v>
      </c>
      <c r="E243" s="12" t="n">
        <v>1</v>
      </c>
      <c r="F243" s="12" t="n">
        <v>0</v>
      </c>
      <c r="G243" s="6" t="s">
        <v>341</v>
      </c>
      <c r="H243" s="6" t="n">
        <v>0</v>
      </c>
    </row>
    <row r="244" customFormat="false" ht="15" hidden="false" customHeight="false" outlineLevel="0" collapsed="false">
      <c r="A244" s="6" t="s">
        <v>185</v>
      </c>
      <c r="B244" s="6" t="s">
        <v>178</v>
      </c>
      <c r="C244" s="6" t="s">
        <v>350</v>
      </c>
      <c r="D244" s="6" t="s">
        <v>139</v>
      </c>
      <c r="E244" s="12" t="n">
        <v>1</v>
      </c>
      <c r="F244" s="12" t="n">
        <v>0</v>
      </c>
      <c r="G244" s="6" t="s">
        <v>341</v>
      </c>
      <c r="H244" s="6" t="n">
        <v>0</v>
      </c>
    </row>
    <row r="245" customFormat="false" ht="15" hidden="false" customHeight="false" outlineLevel="0" collapsed="false">
      <c r="A245" s="6" t="s">
        <v>185</v>
      </c>
      <c r="B245" s="6" t="s">
        <v>178</v>
      </c>
      <c r="C245" s="6" t="s">
        <v>351</v>
      </c>
      <c r="D245" s="6" t="s">
        <v>139</v>
      </c>
      <c r="E245" s="12" t="n">
        <v>1</v>
      </c>
      <c r="F245" s="12" t="n">
        <v>0</v>
      </c>
      <c r="G245" s="6" t="s">
        <v>341</v>
      </c>
      <c r="H245" s="6" t="n">
        <v>0</v>
      </c>
    </row>
    <row r="246" customFormat="false" ht="15" hidden="false" customHeight="false" outlineLevel="0" collapsed="false">
      <c r="A246" s="6" t="s">
        <v>185</v>
      </c>
      <c r="B246" s="6" t="s">
        <v>178</v>
      </c>
      <c r="C246" s="6" t="s">
        <v>352</v>
      </c>
      <c r="D246" s="6" t="s">
        <v>139</v>
      </c>
      <c r="E246" s="12" t="n">
        <v>1</v>
      </c>
      <c r="F246" s="12" t="n">
        <v>0</v>
      </c>
      <c r="G246" s="6" t="s">
        <v>341</v>
      </c>
      <c r="H246" s="6" t="n">
        <v>0</v>
      </c>
    </row>
    <row r="247" customFormat="false" ht="15" hidden="false" customHeight="false" outlineLevel="0" collapsed="false">
      <c r="A247" s="6" t="s">
        <v>187</v>
      </c>
      <c r="B247" s="6" t="s">
        <v>188</v>
      </c>
      <c r="C247" s="6" t="s">
        <v>340</v>
      </c>
      <c r="D247" s="6" t="s">
        <v>139</v>
      </c>
      <c r="E247" s="12" t="n">
        <v>1</v>
      </c>
      <c r="F247" s="12" t="n">
        <v>0</v>
      </c>
      <c r="G247" s="6" t="s">
        <v>341</v>
      </c>
      <c r="H247" s="6" t="n">
        <v>0</v>
      </c>
    </row>
    <row r="248" customFormat="false" ht="15" hidden="false" customHeight="false" outlineLevel="0" collapsed="false">
      <c r="A248" s="6" t="s">
        <v>187</v>
      </c>
      <c r="B248" s="6" t="s">
        <v>188</v>
      </c>
      <c r="C248" s="6" t="s">
        <v>342</v>
      </c>
      <c r="D248" s="6" t="s">
        <v>139</v>
      </c>
      <c r="E248" s="12" t="n">
        <v>1</v>
      </c>
      <c r="F248" s="12" t="n">
        <v>0</v>
      </c>
      <c r="G248" s="6" t="s">
        <v>341</v>
      </c>
      <c r="H248" s="6" t="n">
        <v>0</v>
      </c>
    </row>
    <row r="249" customFormat="false" ht="15" hidden="false" customHeight="false" outlineLevel="0" collapsed="false">
      <c r="A249" s="6" t="s">
        <v>187</v>
      </c>
      <c r="B249" s="6" t="s">
        <v>188</v>
      </c>
      <c r="C249" s="6" t="s">
        <v>343</v>
      </c>
      <c r="D249" s="6" t="s">
        <v>139</v>
      </c>
      <c r="E249" s="12" t="n">
        <v>1</v>
      </c>
      <c r="F249" s="12" t="n">
        <v>0</v>
      </c>
      <c r="G249" s="6" t="s">
        <v>341</v>
      </c>
      <c r="H249" s="6" t="n">
        <v>0</v>
      </c>
    </row>
    <row r="250" customFormat="false" ht="15" hidden="false" customHeight="false" outlineLevel="0" collapsed="false">
      <c r="A250" s="6" t="s">
        <v>187</v>
      </c>
      <c r="B250" s="6" t="s">
        <v>188</v>
      </c>
      <c r="C250" s="6" t="s">
        <v>344</v>
      </c>
      <c r="D250" s="6" t="s">
        <v>139</v>
      </c>
      <c r="E250" s="12" t="n">
        <v>1</v>
      </c>
      <c r="F250" s="12" t="n">
        <v>0</v>
      </c>
      <c r="G250" s="6" t="s">
        <v>341</v>
      </c>
      <c r="H250" s="6" t="n">
        <v>0</v>
      </c>
    </row>
    <row r="251" customFormat="false" ht="15" hidden="false" customHeight="false" outlineLevel="0" collapsed="false">
      <c r="A251" s="6" t="s">
        <v>187</v>
      </c>
      <c r="B251" s="6" t="s">
        <v>188</v>
      </c>
      <c r="C251" s="6" t="s">
        <v>345</v>
      </c>
      <c r="D251" s="6" t="s">
        <v>139</v>
      </c>
      <c r="E251" s="12" t="n">
        <v>1</v>
      </c>
      <c r="F251" s="12" t="n">
        <v>0</v>
      </c>
      <c r="G251" s="6" t="s">
        <v>341</v>
      </c>
      <c r="H251" s="6" t="n">
        <v>0</v>
      </c>
    </row>
    <row r="252" customFormat="false" ht="15" hidden="false" customHeight="false" outlineLevel="0" collapsed="false">
      <c r="A252" s="6" t="s">
        <v>187</v>
      </c>
      <c r="B252" s="6" t="s">
        <v>188</v>
      </c>
      <c r="C252" s="6" t="s">
        <v>346</v>
      </c>
      <c r="D252" s="6" t="s">
        <v>139</v>
      </c>
      <c r="E252" s="12" t="n">
        <v>1</v>
      </c>
      <c r="F252" s="12" t="n">
        <v>0</v>
      </c>
      <c r="G252" s="6" t="s">
        <v>341</v>
      </c>
      <c r="H252" s="6" t="n">
        <v>0</v>
      </c>
    </row>
    <row r="253" customFormat="false" ht="15" hidden="false" customHeight="false" outlineLevel="0" collapsed="false">
      <c r="A253" s="6" t="s">
        <v>187</v>
      </c>
      <c r="B253" s="6" t="s">
        <v>188</v>
      </c>
      <c r="C253" s="6" t="s">
        <v>347</v>
      </c>
      <c r="D253" s="6" t="s">
        <v>139</v>
      </c>
      <c r="E253" s="12" t="n">
        <v>1</v>
      </c>
      <c r="F253" s="12" t="n">
        <v>0</v>
      </c>
      <c r="G253" s="6" t="s">
        <v>341</v>
      </c>
      <c r="H253" s="6" t="n">
        <v>0</v>
      </c>
    </row>
    <row r="254" customFormat="false" ht="15" hidden="false" customHeight="false" outlineLevel="0" collapsed="false">
      <c r="A254" s="6" t="s">
        <v>187</v>
      </c>
      <c r="B254" s="6" t="s">
        <v>188</v>
      </c>
      <c r="C254" s="6" t="s">
        <v>348</v>
      </c>
      <c r="D254" s="6" t="s">
        <v>139</v>
      </c>
      <c r="E254" s="12" t="n">
        <v>1</v>
      </c>
      <c r="F254" s="12" t="n">
        <v>0</v>
      </c>
      <c r="G254" s="6" t="s">
        <v>341</v>
      </c>
      <c r="H254" s="6" t="n">
        <v>0</v>
      </c>
    </row>
    <row r="255" customFormat="false" ht="15" hidden="false" customHeight="false" outlineLevel="0" collapsed="false">
      <c r="A255" s="6" t="s">
        <v>187</v>
      </c>
      <c r="B255" s="6" t="s">
        <v>188</v>
      </c>
      <c r="C255" s="6" t="s">
        <v>349</v>
      </c>
      <c r="D255" s="6" t="s">
        <v>139</v>
      </c>
      <c r="E255" s="12" t="n">
        <v>1</v>
      </c>
      <c r="F255" s="12" t="n">
        <v>0</v>
      </c>
      <c r="G255" s="6" t="s">
        <v>341</v>
      </c>
      <c r="H255" s="6" t="n">
        <v>0</v>
      </c>
    </row>
    <row r="256" customFormat="false" ht="15" hidden="false" customHeight="false" outlineLevel="0" collapsed="false">
      <c r="A256" s="6" t="s">
        <v>187</v>
      </c>
      <c r="B256" s="6" t="s">
        <v>188</v>
      </c>
      <c r="C256" s="6" t="s">
        <v>350</v>
      </c>
      <c r="D256" s="6" t="s">
        <v>139</v>
      </c>
      <c r="E256" s="12" t="n">
        <v>1</v>
      </c>
      <c r="F256" s="12" t="n">
        <v>0</v>
      </c>
      <c r="G256" s="6" t="s">
        <v>341</v>
      </c>
      <c r="H256" s="6" t="n">
        <v>0</v>
      </c>
    </row>
    <row r="257" customFormat="false" ht="15" hidden="false" customHeight="false" outlineLevel="0" collapsed="false">
      <c r="A257" s="6" t="s">
        <v>187</v>
      </c>
      <c r="B257" s="6" t="s">
        <v>188</v>
      </c>
      <c r="C257" s="6" t="s">
        <v>351</v>
      </c>
      <c r="D257" s="6" t="s">
        <v>139</v>
      </c>
      <c r="E257" s="12" t="n">
        <v>1</v>
      </c>
      <c r="F257" s="12" t="n">
        <v>0</v>
      </c>
      <c r="G257" s="6" t="s">
        <v>341</v>
      </c>
      <c r="H257" s="6" t="n">
        <v>0</v>
      </c>
    </row>
    <row r="258" customFormat="false" ht="15" hidden="false" customHeight="false" outlineLevel="0" collapsed="false">
      <c r="A258" s="6" t="s">
        <v>187</v>
      </c>
      <c r="B258" s="6" t="s">
        <v>188</v>
      </c>
      <c r="C258" s="6" t="s">
        <v>352</v>
      </c>
      <c r="D258" s="6" t="s">
        <v>139</v>
      </c>
      <c r="E258" s="12" t="n">
        <v>1</v>
      </c>
      <c r="F258" s="12" t="n">
        <v>0</v>
      </c>
      <c r="G258" s="6" t="s">
        <v>341</v>
      </c>
      <c r="H258" s="6" t="n">
        <v>0</v>
      </c>
    </row>
    <row r="259" customFormat="false" ht="15" hidden="false" customHeight="false" outlineLevel="0" collapsed="false">
      <c r="A259" s="6" t="s">
        <v>191</v>
      </c>
      <c r="B259" s="6" t="s">
        <v>188</v>
      </c>
      <c r="C259" s="6" t="s">
        <v>340</v>
      </c>
      <c r="D259" s="6" t="s">
        <v>139</v>
      </c>
      <c r="E259" s="12" t="n">
        <v>1</v>
      </c>
      <c r="F259" s="12" t="n">
        <v>0</v>
      </c>
      <c r="G259" s="6" t="s">
        <v>341</v>
      </c>
      <c r="H259" s="6" t="n">
        <v>0</v>
      </c>
    </row>
    <row r="260" customFormat="false" ht="15" hidden="false" customHeight="false" outlineLevel="0" collapsed="false">
      <c r="A260" s="6" t="s">
        <v>191</v>
      </c>
      <c r="B260" s="6" t="s">
        <v>188</v>
      </c>
      <c r="C260" s="6" t="s">
        <v>342</v>
      </c>
      <c r="D260" s="6" t="s">
        <v>139</v>
      </c>
      <c r="E260" s="12" t="n">
        <v>1</v>
      </c>
      <c r="F260" s="12" t="n">
        <v>0</v>
      </c>
      <c r="G260" s="6" t="s">
        <v>341</v>
      </c>
      <c r="H260" s="6" t="n">
        <v>0</v>
      </c>
    </row>
    <row r="261" customFormat="false" ht="15" hidden="false" customHeight="false" outlineLevel="0" collapsed="false">
      <c r="A261" s="6" t="s">
        <v>191</v>
      </c>
      <c r="B261" s="6" t="s">
        <v>188</v>
      </c>
      <c r="C261" s="6" t="s">
        <v>343</v>
      </c>
      <c r="D261" s="6" t="s">
        <v>139</v>
      </c>
      <c r="E261" s="12" t="n">
        <v>1</v>
      </c>
      <c r="F261" s="12" t="n">
        <v>0</v>
      </c>
      <c r="G261" s="6" t="s">
        <v>341</v>
      </c>
      <c r="H261" s="6" t="n">
        <v>0</v>
      </c>
    </row>
    <row r="262" customFormat="false" ht="15" hidden="false" customHeight="false" outlineLevel="0" collapsed="false">
      <c r="A262" s="6" t="s">
        <v>191</v>
      </c>
      <c r="B262" s="6" t="s">
        <v>188</v>
      </c>
      <c r="C262" s="6" t="s">
        <v>344</v>
      </c>
      <c r="D262" s="6" t="s">
        <v>139</v>
      </c>
      <c r="E262" s="12" t="n">
        <v>1</v>
      </c>
      <c r="F262" s="12" t="n">
        <v>0</v>
      </c>
      <c r="G262" s="6" t="s">
        <v>341</v>
      </c>
      <c r="H262" s="6" t="n">
        <v>0</v>
      </c>
    </row>
    <row r="263" customFormat="false" ht="15" hidden="false" customHeight="false" outlineLevel="0" collapsed="false">
      <c r="A263" s="6" t="s">
        <v>191</v>
      </c>
      <c r="B263" s="6" t="s">
        <v>188</v>
      </c>
      <c r="C263" s="6" t="s">
        <v>345</v>
      </c>
      <c r="D263" s="6" t="s">
        <v>139</v>
      </c>
      <c r="E263" s="12" t="n">
        <v>1</v>
      </c>
      <c r="F263" s="12" t="n">
        <v>0</v>
      </c>
      <c r="G263" s="6" t="s">
        <v>341</v>
      </c>
      <c r="H263" s="6" t="n">
        <v>0</v>
      </c>
    </row>
    <row r="264" customFormat="false" ht="15" hidden="false" customHeight="false" outlineLevel="0" collapsed="false">
      <c r="A264" s="6" t="s">
        <v>191</v>
      </c>
      <c r="B264" s="6" t="s">
        <v>188</v>
      </c>
      <c r="C264" s="6" t="s">
        <v>346</v>
      </c>
      <c r="D264" s="6" t="s">
        <v>139</v>
      </c>
      <c r="E264" s="12" t="n">
        <v>1</v>
      </c>
      <c r="F264" s="12" t="n">
        <v>0</v>
      </c>
      <c r="G264" s="6" t="s">
        <v>341</v>
      </c>
      <c r="H264" s="6" t="n">
        <v>0</v>
      </c>
    </row>
    <row r="265" customFormat="false" ht="15" hidden="false" customHeight="false" outlineLevel="0" collapsed="false">
      <c r="A265" s="6" t="s">
        <v>191</v>
      </c>
      <c r="B265" s="6" t="s">
        <v>188</v>
      </c>
      <c r="C265" s="6" t="s">
        <v>347</v>
      </c>
      <c r="D265" s="6" t="s">
        <v>139</v>
      </c>
      <c r="E265" s="12" t="n">
        <v>1</v>
      </c>
      <c r="F265" s="12" t="n">
        <v>0</v>
      </c>
      <c r="G265" s="6" t="s">
        <v>341</v>
      </c>
      <c r="H265" s="6" t="n">
        <v>0</v>
      </c>
    </row>
    <row r="266" customFormat="false" ht="15" hidden="false" customHeight="false" outlineLevel="0" collapsed="false">
      <c r="A266" s="6" t="s">
        <v>191</v>
      </c>
      <c r="B266" s="6" t="s">
        <v>188</v>
      </c>
      <c r="C266" s="6" t="s">
        <v>348</v>
      </c>
      <c r="D266" s="6" t="s">
        <v>139</v>
      </c>
      <c r="E266" s="12" t="n">
        <v>1</v>
      </c>
      <c r="F266" s="12" t="n">
        <v>0</v>
      </c>
      <c r="G266" s="6" t="s">
        <v>341</v>
      </c>
      <c r="H266" s="6" t="n">
        <v>0</v>
      </c>
    </row>
    <row r="267" customFormat="false" ht="15" hidden="false" customHeight="false" outlineLevel="0" collapsed="false">
      <c r="A267" s="6" t="s">
        <v>191</v>
      </c>
      <c r="B267" s="6" t="s">
        <v>188</v>
      </c>
      <c r="C267" s="6" t="s">
        <v>349</v>
      </c>
      <c r="D267" s="6" t="s">
        <v>139</v>
      </c>
      <c r="E267" s="12" t="n">
        <v>1</v>
      </c>
      <c r="F267" s="12" t="n">
        <v>0</v>
      </c>
      <c r="G267" s="6" t="s">
        <v>341</v>
      </c>
      <c r="H267" s="6" t="n">
        <v>0</v>
      </c>
    </row>
    <row r="268" customFormat="false" ht="15" hidden="false" customHeight="false" outlineLevel="0" collapsed="false">
      <c r="A268" s="6" t="s">
        <v>191</v>
      </c>
      <c r="B268" s="6" t="s">
        <v>188</v>
      </c>
      <c r="C268" s="6" t="s">
        <v>350</v>
      </c>
      <c r="D268" s="6" t="s">
        <v>139</v>
      </c>
      <c r="E268" s="12" t="n">
        <v>1</v>
      </c>
      <c r="F268" s="12" t="n">
        <v>0</v>
      </c>
      <c r="G268" s="6" t="s">
        <v>341</v>
      </c>
      <c r="H268" s="6" t="n">
        <v>0</v>
      </c>
    </row>
    <row r="269" customFormat="false" ht="15" hidden="false" customHeight="false" outlineLevel="0" collapsed="false">
      <c r="A269" s="6" t="s">
        <v>191</v>
      </c>
      <c r="B269" s="6" t="s">
        <v>188</v>
      </c>
      <c r="C269" s="6" t="s">
        <v>351</v>
      </c>
      <c r="D269" s="6" t="s">
        <v>139</v>
      </c>
      <c r="E269" s="12" t="n">
        <v>1</v>
      </c>
      <c r="F269" s="12" t="n">
        <v>0</v>
      </c>
      <c r="G269" s="6" t="s">
        <v>341</v>
      </c>
      <c r="H269" s="6" t="n">
        <v>0</v>
      </c>
    </row>
    <row r="270" customFormat="false" ht="15" hidden="false" customHeight="false" outlineLevel="0" collapsed="false">
      <c r="A270" s="6" t="s">
        <v>191</v>
      </c>
      <c r="B270" s="6" t="s">
        <v>188</v>
      </c>
      <c r="C270" s="6" t="s">
        <v>352</v>
      </c>
      <c r="D270" s="6" t="s">
        <v>139</v>
      </c>
      <c r="E270" s="12" t="n">
        <v>1</v>
      </c>
      <c r="F270" s="12" t="n">
        <v>0</v>
      </c>
      <c r="G270" s="6" t="s">
        <v>341</v>
      </c>
      <c r="H270" s="6" t="n">
        <v>0</v>
      </c>
    </row>
    <row r="271" customFormat="false" ht="15" hidden="false" customHeight="false" outlineLevel="0" collapsed="false">
      <c r="A271" s="6" t="s">
        <v>193</v>
      </c>
      <c r="B271" s="6" t="s">
        <v>188</v>
      </c>
      <c r="C271" s="6" t="s">
        <v>340</v>
      </c>
      <c r="D271" s="6" t="s">
        <v>139</v>
      </c>
      <c r="E271" s="12" t="n">
        <v>1</v>
      </c>
      <c r="F271" s="12" t="n">
        <v>0</v>
      </c>
      <c r="G271" s="6" t="s">
        <v>341</v>
      </c>
      <c r="H271" s="6" t="n">
        <v>0</v>
      </c>
    </row>
    <row r="272" customFormat="false" ht="15" hidden="false" customHeight="false" outlineLevel="0" collapsed="false">
      <c r="A272" s="6" t="s">
        <v>193</v>
      </c>
      <c r="B272" s="6" t="s">
        <v>188</v>
      </c>
      <c r="C272" s="6" t="s">
        <v>342</v>
      </c>
      <c r="D272" s="6" t="s">
        <v>139</v>
      </c>
      <c r="E272" s="12" t="n">
        <v>1</v>
      </c>
      <c r="F272" s="12" t="n">
        <v>0</v>
      </c>
      <c r="G272" s="6" t="s">
        <v>341</v>
      </c>
      <c r="H272" s="6" t="n">
        <v>0</v>
      </c>
    </row>
    <row r="273" customFormat="false" ht="15" hidden="false" customHeight="false" outlineLevel="0" collapsed="false">
      <c r="A273" s="6" t="s">
        <v>193</v>
      </c>
      <c r="B273" s="6" t="s">
        <v>188</v>
      </c>
      <c r="C273" s="6" t="s">
        <v>343</v>
      </c>
      <c r="D273" s="6" t="s">
        <v>139</v>
      </c>
      <c r="E273" s="12" t="n">
        <v>1</v>
      </c>
      <c r="F273" s="12" t="n">
        <v>0</v>
      </c>
      <c r="G273" s="6" t="s">
        <v>341</v>
      </c>
      <c r="H273" s="6" t="n">
        <v>0</v>
      </c>
    </row>
    <row r="274" customFormat="false" ht="15" hidden="false" customHeight="false" outlineLevel="0" collapsed="false">
      <c r="A274" s="6" t="s">
        <v>193</v>
      </c>
      <c r="B274" s="6" t="s">
        <v>188</v>
      </c>
      <c r="C274" s="6" t="s">
        <v>344</v>
      </c>
      <c r="D274" s="6" t="s">
        <v>139</v>
      </c>
      <c r="E274" s="12" t="n">
        <v>1</v>
      </c>
      <c r="F274" s="12" t="n">
        <v>0</v>
      </c>
      <c r="G274" s="6" t="s">
        <v>341</v>
      </c>
      <c r="H274" s="6" t="n">
        <v>0</v>
      </c>
    </row>
    <row r="275" customFormat="false" ht="15" hidden="false" customHeight="false" outlineLevel="0" collapsed="false">
      <c r="A275" s="6" t="s">
        <v>193</v>
      </c>
      <c r="B275" s="6" t="s">
        <v>188</v>
      </c>
      <c r="C275" s="6" t="s">
        <v>345</v>
      </c>
      <c r="D275" s="6" t="s">
        <v>139</v>
      </c>
      <c r="E275" s="12" t="n">
        <v>1</v>
      </c>
      <c r="F275" s="12" t="n">
        <v>0</v>
      </c>
      <c r="G275" s="6" t="s">
        <v>341</v>
      </c>
      <c r="H275" s="6" t="n">
        <v>0</v>
      </c>
    </row>
    <row r="276" customFormat="false" ht="15" hidden="false" customHeight="false" outlineLevel="0" collapsed="false">
      <c r="A276" s="6" t="s">
        <v>193</v>
      </c>
      <c r="B276" s="6" t="s">
        <v>188</v>
      </c>
      <c r="C276" s="6" t="s">
        <v>346</v>
      </c>
      <c r="D276" s="6" t="s">
        <v>139</v>
      </c>
      <c r="E276" s="12" t="n">
        <v>1</v>
      </c>
      <c r="F276" s="12" t="n">
        <v>0</v>
      </c>
      <c r="G276" s="6" t="s">
        <v>341</v>
      </c>
      <c r="H276" s="6" t="n">
        <v>0</v>
      </c>
    </row>
    <row r="277" customFormat="false" ht="15" hidden="false" customHeight="false" outlineLevel="0" collapsed="false">
      <c r="A277" s="6" t="s">
        <v>193</v>
      </c>
      <c r="B277" s="6" t="s">
        <v>188</v>
      </c>
      <c r="C277" s="6" t="s">
        <v>347</v>
      </c>
      <c r="D277" s="6" t="s">
        <v>139</v>
      </c>
      <c r="E277" s="12" t="n">
        <v>1</v>
      </c>
      <c r="F277" s="12" t="n">
        <v>0</v>
      </c>
      <c r="G277" s="6" t="s">
        <v>341</v>
      </c>
      <c r="H277" s="6" t="n">
        <v>0</v>
      </c>
    </row>
    <row r="278" customFormat="false" ht="15" hidden="false" customHeight="false" outlineLevel="0" collapsed="false">
      <c r="A278" s="6" t="s">
        <v>193</v>
      </c>
      <c r="B278" s="6" t="s">
        <v>188</v>
      </c>
      <c r="C278" s="6" t="s">
        <v>348</v>
      </c>
      <c r="D278" s="6" t="s">
        <v>139</v>
      </c>
      <c r="E278" s="12" t="n">
        <v>1</v>
      </c>
      <c r="F278" s="12" t="n">
        <v>0</v>
      </c>
      <c r="G278" s="6" t="s">
        <v>341</v>
      </c>
      <c r="H278" s="6" t="n">
        <v>0</v>
      </c>
    </row>
    <row r="279" customFormat="false" ht="15" hidden="false" customHeight="false" outlineLevel="0" collapsed="false">
      <c r="A279" s="6" t="s">
        <v>193</v>
      </c>
      <c r="B279" s="6" t="s">
        <v>188</v>
      </c>
      <c r="C279" s="6" t="s">
        <v>349</v>
      </c>
      <c r="D279" s="6" t="s">
        <v>139</v>
      </c>
      <c r="E279" s="12" t="n">
        <v>1</v>
      </c>
      <c r="F279" s="12" t="n">
        <v>0</v>
      </c>
      <c r="G279" s="6" t="s">
        <v>341</v>
      </c>
      <c r="H279" s="6" t="n">
        <v>0</v>
      </c>
    </row>
    <row r="280" customFormat="false" ht="15" hidden="false" customHeight="false" outlineLevel="0" collapsed="false">
      <c r="A280" s="6" t="s">
        <v>193</v>
      </c>
      <c r="B280" s="6" t="s">
        <v>188</v>
      </c>
      <c r="C280" s="6" t="s">
        <v>350</v>
      </c>
      <c r="D280" s="6" t="s">
        <v>139</v>
      </c>
      <c r="E280" s="12" t="n">
        <v>1</v>
      </c>
      <c r="F280" s="12" t="n">
        <v>0</v>
      </c>
      <c r="G280" s="6" t="s">
        <v>341</v>
      </c>
      <c r="H280" s="6" t="n">
        <v>0</v>
      </c>
    </row>
    <row r="281" customFormat="false" ht="15" hidden="false" customHeight="false" outlineLevel="0" collapsed="false">
      <c r="A281" s="6" t="s">
        <v>193</v>
      </c>
      <c r="B281" s="6" t="s">
        <v>188</v>
      </c>
      <c r="C281" s="6" t="s">
        <v>351</v>
      </c>
      <c r="D281" s="6" t="s">
        <v>139</v>
      </c>
      <c r="E281" s="12" t="n">
        <v>1</v>
      </c>
      <c r="F281" s="12" t="n">
        <v>0</v>
      </c>
      <c r="G281" s="6" t="s">
        <v>341</v>
      </c>
      <c r="H281" s="6" t="n">
        <v>0</v>
      </c>
    </row>
    <row r="282" customFormat="false" ht="15" hidden="false" customHeight="false" outlineLevel="0" collapsed="false">
      <c r="A282" s="6" t="s">
        <v>193</v>
      </c>
      <c r="B282" s="6" t="s">
        <v>188</v>
      </c>
      <c r="C282" s="6" t="s">
        <v>352</v>
      </c>
      <c r="D282" s="6" t="s">
        <v>139</v>
      </c>
      <c r="E282" s="12" t="n">
        <v>1</v>
      </c>
      <c r="F282" s="12" t="n">
        <v>0</v>
      </c>
      <c r="G282" s="6" t="s">
        <v>341</v>
      </c>
      <c r="H282" s="6" t="n">
        <v>0</v>
      </c>
    </row>
    <row r="283" customFormat="false" ht="15" hidden="false" customHeight="false" outlineLevel="0" collapsed="false">
      <c r="A283" s="6" t="s">
        <v>195</v>
      </c>
      <c r="B283" s="6" t="s">
        <v>188</v>
      </c>
      <c r="C283" s="6" t="s">
        <v>340</v>
      </c>
      <c r="D283" s="6" t="s">
        <v>139</v>
      </c>
      <c r="E283" s="12" t="n">
        <v>1</v>
      </c>
      <c r="F283" s="12" t="n">
        <v>0</v>
      </c>
      <c r="G283" s="6" t="s">
        <v>341</v>
      </c>
      <c r="H283" s="6" t="n">
        <v>0</v>
      </c>
    </row>
    <row r="284" customFormat="false" ht="15" hidden="false" customHeight="false" outlineLevel="0" collapsed="false">
      <c r="A284" s="6" t="s">
        <v>195</v>
      </c>
      <c r="B284" s="6" t="s">
        <v>188</v>
      </c>
      <c r="C284" s="6" t="s">
        <v>342</v>
      </c>
      <c r="D284" s="6" t="s">
        <v>139</v>
      </c>
      <c r="E284" s="12" t="n">
        <v>1</v>
      </c>
      <c r="F284" s="12" t="n">
        <v>0</v>
      </c>
      <c r="G284" s="6" t="s">
        <v>341</v>
      </c>
      <c r="H284" s="6" t="n">
        <v>0</v>
      </c>
    </row>
    <row r="285" customFormat="false" ht="15" hidden="false" customHeight="false" outlineLevel="0" collapsed="false">
      <c r="A285" s="6" t="s">
        <v>195</v>
      </c>
      <c r="B285" s="6" t="s">
        <v>188</v>
      </c>
      <c r="C285" s="6" t="s">
        <v>343</v>
      </c>
      <c r="D285" s="6" t="s">
        <v>139</v>
      </c>
      <c r="E285" s="12" t="n">
        <v>1</v>
      </c>
      <c r="F285" s="12" t="n">
        <v>0</v>
      </c>
      <c r="G285" s="6" t="s">
        <v>341</v>
      </c>
      <c r="H285" s="6" t="n">
        <v>0</v>
      </c>
    </row>
    <row r="286" customFormat="false" ht="15" hidden="false" customHeight="false" outlineLevel="0" collapsed="false">
      <c r="A286" s="6" t="s">
        <v>195</v>
      </c>
      <c r="B286" s="6" t="s">
        <v>188</v>
      </c>
      <c r="C286" s="6" t="s">
        <v>344</v>
      </c>
      <c r="D286" s="6" t="s">
        <v>139</v>
      </c>
      <c r="E286" s="12" t="n">
        <v>1</v>
      </c>
      <c r="F286" s="12" t="n">
        <v>0</v>
      </c>
      <c r="G286" s="6" t="s">
        <v>341</v>
      </c>
      <c r="H286" s="6" t="n">
        <v>0</v>
      </c>
    </row>
    <row r="287" customFormat="false" ht="15" hidden="false" customHeight="false" outlineLevel="0" collapsed="false">
      <c r="A287" s="6" t="s">
        <v>195</v>
      </c>
      <c r="B287" s="6" t="s">
        <v>188</v>
      </c>
      <c r="C287" s="6" t="s">
        <v>345</v>
      </c>
      <c r="D287" s="6" t="s">
        <v>139</v>
      </c>
      <c r="E287" s="12" t="n">
        <v>1</v>
      </c>
      <c r="F287" s="12" t="n">
        <v>0</v>
      </c>
      <c r="G287" s="6" t="s">
        <v>341</v>
      </c>
      <c r="H287" s="6" t="n">
        <v>0</v>
      </c>
    </row>
    <row r="288" customFormat="false" ht="15" hidden="false" customHeight="false" outlineLevel="0" collapsed="false">
      <c r="A288" s="6" t="s">
        <v>195</v>
      </c>
      <c r="B288" s="6" t="s">
        <v>188</v>
      </c>
      <c r="C288" s="6" t="s">
        <v>346</v>
      </c>
      <c r="D288" s="6" t="s">
        <v>139</v>
      </c>
      <c r="E288" s="12" t="n">
        <v>1</v>
      </c>
      <c r="F288" s="12" t="n">
        <v>0</v>
      </c>
      <c r="G288" s="6" t="s">
        <v>341</v>
      </c>
      <c r="H288" s="6" t="n">
        <v>0</v>
      </c>
    </row>
    <row r="289" customFormat="false" ht="15" hidden="false" customHeight="false" outlineLevel="0" collapsed="false">
      <c r="A289" s="6" t="s">
        <v>195</v>
      </c>
      <c r="B289" s="6" t="s">
        <v>188</v>
      </c>
      <c r="C289" s="6" t="s">
        <v>347</v>
      </c>
      <c r="D289" s="6" t="s">
        <v>139</v>
      </c>
      <c r="E289" s="12" t="n">
        <v>1</v>
      </c>
      <c r="F289" s="12" t="n">
        <v>0</v>
      </c>
      <c r="G289" s="6" t="s">
        <v>341</v>
      </c>
      <c r="H289" s="6" t="n">
        <v>0</v>
      </c>
    </row>
    <row r="290" customFormat="false" ht="15" hidden="false" customHeight="false" outlineLevel="0" collapsed="false">
      <c r="A290" s="6" t="s">
        <v>195</v>
      </c>
      <c r="B290" s="6" t="s">
        <v>188</v>
      </c>
      <c r="C290" s="6" t="s">
        <v>348</v>
      </c>
      <c r="D290" s="6" t="s">
        <v>139</v>
      </c>
      <c r="E290" s="12" t="n">
        <v>1</v>
      </c>
      <c r="F290" s="12" t="n">
        <v>0</v>
      </c>
      <c r="G290" s="6" t="s">
        <v>341</v>
      </c>
      <c r="H290" s="6" t="n">
        <v>0</v>
      </c>
    </row>
    <row r="291" customFormat="false" ht="15" hidden="false" customHeight="false" outlineLevel="0" collapsed="false">
      <c r="A291" s="6" t="s">
        <v>195</v>
      </c>
      <c r="B291" s="6" t="s">
        <v>188</v>
      </c>
      <c r="C291" s="6" t="s">
        <v>349</v>
      </c>
      <c r="D291" s="6" t="s">
        <v>139</v>
      </c>
      <c r="E291" s="12" t="n">
        <v>1</v>
      </c>
      <c r="F291" s="12" t="n">
        <v>0</v>
      </c>
      <c r="G291" s="6" t="s">
        <v>341</v>
      </c>
      <c r="H291" s="6" t="n">
        <v>0</v>
      </c>
    </row>
    <row r="292" customFormat="false" ht="15" hidden="false" customHeight="false" outlineLevel="0" collapsed="false">
      <c r="A292" s="6" t="s">
        <v>195</v>
      </c>
      <c r="B292" s="6" t="s">
        <v>188</v>
      </c>
      <c r="C292" s="6" t="s">
        <v>350</v>
      </c>
      <c r="D292" s="6" t="s">
        <v>139</v>
      </c>
      <c r="E292" s="12" t="n">
        <v>1</v>
      </c>
      <c r="F292" s="12" t="n">
        <v>0</v>
      </c>
      <c r="G292" s="6" t="s">
        <v>341</v>
      </c>
      <c r="H292" s="6" t="n">
        <v>0</v>
      </c>
    </row>
    <row r="293" customFormat="false" ht="15" hidden="false" customHeight="false" outlineLevel="0" collapsed="false">
      <c r="A293" s="6" t="s">
        <v>195</v>
      </c>
      <c r="B293" s="6" t="s">
        <v>188</v>
      </c>
      <c r="C293" s="6" t="s">
        <v>351</v>
      </c>
      <c r="D293" s="6" t="s">
        <v>139</v>
      </c>
      <c r="E293" s="12" t="n">
        <v>1</v>
      </c>
      <c r="F293" s="12" t="n">
        <v>0</v>
      </c>
      <c r="G293" s="6" t="s">
        <v>341</v>
      </c>
      <c r="H293" s="6" t="n">
        <v>0</v>
      </c>
    </row>
    <row r="294" customFormat="false" ht="15" hidden="false" customHeight="false" outlineLevel="0" collapsed="false">
      <c r="A294" s="6" t="s">
        <v>195</v>
      </c>
      <c r="B294" s="6" t="s">
        <v>188</v>
      </c>
      <c r="C294" s="6" t="s">
        <v>352</v>
      </c>
      <c r="D294" s="6" t="s">
        <v>139</v>
      </c>
      <c r="E294" s="12" t="n">
        <v>1</v>
      </c>
      <c r="F294" s="12" t="n">
        <v>0</v>
      </c>
      <c r="G294" s="6" t="s">
        <v>341</v>
      </c>
      <c r="H294" s="6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8" min="5" style="0" width="21"/>
    <col collapsed="false" customWidth="true" hidden="false" outlineLevel="0" max="9" min="9" style="0" width="13"/>
    <col collapsed="false" customWidth="true" hidden="false" outlineLevel="0" max="10" min="10" style="0" width="14"/>
  </cols>
  <sheetData>
    <row r="2" customFormat="false" ht="24" hidden="false" customHeight="true" outlineLevel="0" collapsed="false">
      <c r="A2" s="1" t="s">
        <v>353</v>
      </c>
    </row>
    <row r="3" customFormat="false" ht="18" hidden="false" customHeight="true" outlineLevel="0" collapsed="false">
      <c r="A3" s="2" t="s">
        <v>354</v>
      </c>
      <c r="B3" s="2"/>
      <c r="C3" s="2"/>
      <c r="D3" s="2"/>
      <c r="E3" s="2"/>
      <c r="F3" s="2"/>
      <c r="G3" s="2"/>
      <c r="H3" s="2"/>
      <c r="I3" s="2"/>
      <c r="J3" s="2"/>
    </row>
    <row r="6" customFormat="false" ht="23.85" hidden="false" customHeight="false" outlineLevel="0" collapsed="false">
      <c r="A6" s="5" t="s">
        <v>123</v>
      </c>
      <c r="B6" s="5" t="s">
        <v>124</v>
      </c>
      <c r="C6" s="5" t="s">
        <v>355</v>
      </c>
      <c r="D6" s="5" t="s">
        <v>356</v>
      </c>
      <c r="E6" s="5" t="s">
        <v>337</v>
      </c>
      <c r="F6" s="5" t="s">
        <v>357</v>
      </c>
      <c r="G6" s="5" t="s">
        <v>358</v>
      </c>
      <c r="H6" s="5" t="s">
        <v>359</v>
      </c>
      <c r="I6" s="5" t="s">
        <v>339</v>
      </c>
      <c r="J6" s="5" t="s">
        <v>360</v>
      </c>
    </row>
    <row r="7" customFormat="false" ht="15" hidden="false" customHeight="false" outlineLevel="0" collapsed="false">
      <c r="A7" s="6" t="s">
        <v>135</v>
      </c>
      <c r="B7" s="6" t="s">
        <v>136</v>
      </c>
      <c r="C7" s="6" t="s">
        <v>361</v>
      </c>
      <c r="D7" s="6" t="s">
        <v>139</v>
      </c>
      <c r="E7" s="12" t="n">
        <v>2</v>
      </c>
      <c r="F7" s="12" t="n">
        <v>0</v>
      </c>
      <c r="G7" s="12" t="n">
        <v>1</v>
      </c>
      <c r="H7" s="12" t="n">
        <v>0</v>
      </c>
      <c r="I7" s="6" t="s">
        <v>341</v>
      </c>
      <c r="J7" s="6" t="n">
        <v>0</v>
      </c>
    </row>
    <row r="8" customFormat="false" ht="15" hidden="false" customHeight="false" outlineLevel="0" collapsed="false">
      <c r="A8" s="6" t="s">
        <v>135</v>
      </c>
      <c r="B8" s="6" t="s">
        <v>136</v>
      </c>
      <c r="C8" s="6" t="s">
        <v>362</v>
      </c>
      <c r="D8" s="6" t="s">
        <v>139</v>
      </c>
      <c r="E8" s="12" t="n">
        <v>2</v>
      </c>
      <c r="F8" s="12" t="n">
        <v>0</v>
      </c>
      <c r="G8" s="12" t="n">
        <v>1</v>
      </c>
      <c r="H8" s="12" t="n">
        <v>0</v>
      </c>
      <c r="I8" s="6" t="s">
        <v>341</v>
      </c>
      <c r="J8" s="6" t="n">
        <v>0</v>
      </c>
    </row>
    <row r="9" customFormat="false" ht="15" hidden="false" customHeight="false" outlineLevel="0" collapsed="false">
      <c r="A9" s="6" t="s">
        <v>135</v>
      </c>
      <c r="B9" s="6" t="s">
        <v>136</v>
      </c>
      <c r="C9" s="6" t="s">
        <v>363</v>
      </c>
      <c r="D9" s="6" t="s">
        <v>139</v>
      </c>
      <c r="E9" s="12" t="n">
        <v>2</v>
      </c>
      <c r="F9" s="12" t="n">
        <v>0</v>
      </c>
      <c r="G9" s="12" t="n">
        <v>1</v>
      </c>
      <c r="H9" s="12" t="n">
        <v>0</v>
      </c>
      <c r="I9" s="6" t="s">
        <v>341</v>
      </c>
      <c r="J9" s="6" t="n">
        <v>0</v>
      </c>
    </row>
    <row r="10" customFormat="false" ht="15" hidden="false" customHeight="false" outlineLevel="0" collapsed="false">
      <c r="A10" s="6" t="s">
        <v>141</v>
      </c>
      <c r="B10" s="6" t="s">
        <v>136</v>
      </c>
      <c r="C10" s="6" t="s">
        <v>361</v>
      </c>
      <c r="D10" s="6" t="s">
        <v>139</v>
      </c>
      <c r="E10" s="12" t="n">
        <v>2</v>
      </c>
      <c r="F10" s="12" t="n">
        <v>0</v>
      </c>
      <c r="G10" s="12" t="n">
        <v>1</v>
      </c>
      <c r="H10" s="12" t="n">
        <v>0</v>
      </c>
      <c r="I10" s="6" t="s">
        <v>341</v>
      </c>
      <c r="J10" s="6" t="n">
        <v>0</v>
      </c>
    </row>
    <row r="11" customFormat="false" ht="15" hidden="false" customHeight="false" outlineLevel="0" collapsed="false">
      <c r="A11" s="6" t="s">
        <v>141</v>
      </c>
      <c r="B11" s="6" t="s">
        <v>136</v>
      </c>
      <c r="C11" s="6" t="s">
        <v>362</v>
      </c>
      <c r="D11" s="6" t="s">
        <v>139</v>
      </c>
      <c r="E11" s="12" t="n">
        <v>2</v>
      </c>
      <c r="F11" s="12" t="n">
        <v>0</v>
      </c>
      <c r="G11" s="12" t="n">
        <v>1</v>
      </c>
      <c r="H11" s="12" t="n">
        <v>0</v>
      </c>
      <c r="I11" s="6" t="s">
        <v>341</v>
      </c>
      <c r="J11" s="6" t="n">
        <v>0</v>
      </c>
    </row>
    <row r="12" customFormat="false" ht="15" hidden="false" customHeight="false" outlineLevel="0" collapsed="false">
      <c r="A12" s="6" t="s">
        <v>141</v>
      </c>
      <c r="B12" s="6" t="s">
        <v>136</v>
      </c>
      <c r="C12" s="6" t="s">
        <v>363</v>
      </c>
      <c r="D12" s="6" t="s">
        <v>139</v>
      </c>
      <c r="E12" s="12" t="n">
        <v>2</v>
      </c>
      <c r="F12" s="12" t="n">
        <v>0</v>
      </c>
      <c r="G12" s="12" t="n">
        <v>1</v>
      </c>
      <c r="H12" s="12" t="n">
        <v>0</v>
      </c>
      <c r="I12" s="6" t="s">
        <v>341</v>
      </c>
      <c r="J12" s="6" t="n">
        <v>0</v>
      </c>
    </row>
    <row r="13" customFormat="false" ht="15" hidden="false" customHeight="false" outlineLevel="0" collapsed="false">
      <c r="A13" s="6" t="s">
        <v>143</v>
      </c>
      <c r="B13" s="6" t="s">
        <v>136</v>
      </c>
      <c r="C13" s="6" t="s">
        <v>361</v>
      </c>
      <c r="D13" s="6" t="s">
        <v>139</v>
      </c>
      <c r="E13" s="12" t="n">
        <v>2</v>
      </c>
      <c r="F13" s="12" t="n">
        <v>0</v>
      </c>
      <c r="G13" s="12" t="n">
        <v>1</v>
      </c>
      <c r="H13" s="12" t="n">
        <v>0</v>
      </c>
      <c r="I13" s="6" t="s">
        <v>341</v>
      </c>
      <c r="J13" s="6" t="n">
        <v>0</v>
      </c>
    </row>
    <row r="14" customFormat="false" ht="15" hidden="false" customHeight="false" outlineLevel="0" collapsed="false">
      <c r="A14" s="6" t="s">
        <v>143</v>
      </c>
      <c r="B14" s="6" t="s">
        <v>136</v>
      </c>
      <c r="C14" s="6" t="s">
        <v>362</v>
      </c>
      <c r="D14" s="6" t="s">
        <v>139</v>
      </c>
      <c r="E14" s="12" t="n">
        <v>2</v>
      </c>
      <c r="F14" s="12" t="n">
        <v>0</v>
      </c>
      <c r="G14" s="12" t="n">
        <v>1</v>
      </c>
      <c r="H14" s="12" t="n">
        <v>0</v>
      </c>
      <c r="I14" s="6" t="s">
        <v>341</v>
      </c>
      <c r="J14" s="6" t="n">
        <v>0</v>
      </c>
    </row>
    <row r="15" customFormat="false" ht="15" hidden="false" customHeight="false" outlineLevel="0" collapsed="false">
      <c r="A15" s="6" t="s">
        <v>143</v>
      </c>
      <c r="B15" s="6" t="s">
        <v>136</v>
      </c>
      <c r="C15" s="6" t="s">
        <v>363</v>
      </c>
      <c r="D15" s="6" t="s">
        <v>139</v>
      </c>
      <c r="E15" s="12" t="n">
        <v>2</v>
      </c>
      <c r="F15" s="12" t="n">
        <v>0</v>
      </c>
      <c r="G15" s="12" t="n">
        <v>1</v>
      </c>
      <c r="H15" s="12" t="n">
        <v>0</v>
      </c>
      <c r="I15" s="6" t="s">
        <v>341</v>
      </c>
      <c r="J15" s="6" t="n">
        <v>0</v>
      </c>
    </row>
    <row r="16" customFormat="false" ht="15" hidden="false" customHeight="false" outlineLevel="0" collapsed="false">
      <c r="A16" s="6" t="s">
        <v>145</v>
      </c>
      <c r="B16" s="6" t="s">
        <v>136</v>
      </c>
      <c r="C16" s="6" t="s">
        <v>361</v>
      </c>
      <c r="D16" s="6" t="s">
        <v>139</v>
      </c>
      <c r="E16" s="12" t="n">
        <v>2</v>
      </c>
      <c r="F16" s="12" t="n">
        <v>0</v>
      </c>
      <c r="G16" s="12" t="n">
        <v>1</v>
      </c>
      <c r="H16" s="12" t="n">
        <v>0</v>
      </c>
      <c r="I16" s="6" t="s">
        <v>341</v>
      </c>
      <c r="J16" s="6" t="n">
        <v>0</v>
      </c>
    </row>
    <row r="17" customFormat="false" ht="15" hidden="false" customHeight="false" outlineLevel="0" collapsed="false">
      <c r="A17" s="6" t="s">
        <v>145</v>
      </c>
      <c r="B17" s="6" t="s">
        <v>136</v>
      </c>
      <c r="C17" s="6" t="s">
        <v>362</v>
      </c>
      <c r="D17" s="6" t="s">
        <v>139</v>
      </c>
      <c r="E17" s="12" t="n">
        <v>2</v>
      </c>
      <c r="F17" s="12" t="n">
        <v>0</v>
      </c>
      <c r="G17" s="12" t="n">
        <v>1</v>
      </c>
      <c r="H17" s="12" t="n">
        <v>0</v>
      </c>
      <c r="I17" s="6" t="s">
        <v>341</v>
      </c>
      <c r="J17" s="6" t="n">
        <v>0</v>
      </c>
    </row>
    <row r="18" customFormat="false" ht="15" hidden="false" customHeight="false" outlineLevel="0" collapsed="false">
      <c r="A18" s="6" t="s">
        <v>145</v>
      </c>
      <c r="B18" s="6" t="s">
        <v>136</v>
      </c>
      <c r="C18" s="6" t="s">
        <v>363</v>
      </c>
      <c r="D18" s="6" t="s">
        <v>139</v>
      </c>
      <c r="E18" s="12" t="n">
        <v>2</v>
      </c>
      <c r="F18" s="12" t="n">
        <v>0</v>
      </c>
      <c r="G18" s="12" t="n">
        <v>1</v>
      </c>
      <c r="H18" s="12" t="n">
        <v>0</v>
      </c>
      <c r="I18" s="6" t="s">
        <v>341</v>
      </c>
      <c r="J18" s="6" t="n">
        <v>0</v>
      </c>
    </row>
    <row r="19" customFormat="false" ht="15" hidden="false" customHeight="false" outlineLevel="0" collapsed="false">
      <c r="A19" s="6" t="s">
        <v>147</v>
      </c>
      <c r="B19" s="6" t="s">
        <v>148</v>
      </c>
      <c r="C19" s="6" t="s">
        <v>361</v>
      </c>
      <c r="D19" s="6" t="s">
        <v>139</v>
      </c>
      <c r="E19" s="12" t="n">
        <v>2</v>
      </c>
      <c r="F19" s="12" t="n">
        <v>0</v>
      </c>
      <c r="G19" s="12" t="n">
        <v>1</v>
      </c>
      <c r="H19" s="12" t="n">
        <v>0</v>
      </c>
      <c r="I19" s="6" t="s">
        <v>341</v>
      </c>
      <c r="J19" s="6" t="n">
        <v>0</v>
      </c>
    </row>
    <row r="20" customFormat="false" ht="15" hidden="false" customHeight="false" outlineLevel="0" collapsed="false">
      <c r="A20" s="6" t="s">
        <v>147</v>
      </c>
      <c r="B20" s="6" t="s">
        <v>148</v>
      </c>
      <c r="C20" s="6" t="s">
        <v>362</v>
      </c>
      <c r="D20" s="6" t="s">
        <v>139</v>
      </c>
      <c r="E20" s="12" t="n">
        <v>2</v>
      </c>
      <c r="F20" s="12" t="n">
        <v>0</v>
      </c>
      <c r="G20" s="12" t="n">
        <v>1</v>
      </c>
      <c r="H20" s="12" t="n">
        <v>0</v>
      </c>
      <c r="I20" s="6" t="s">
        <v>341</v>
      </c>
      <c r="J20" s="6" t="n">
        <v>0</v>
      </c>
    </row>
    <row r="21" customFormat="false" ht="15" hidden="false" customHeight="false" outlineLevel="0" collapsed="false">
      <c r="A21" s="6" t="s">
        <v>147</v>
      </c>
      <c r="B21" s="6" t="s">
        <v>148</v>
      </c>
      <c r="C21" s="6" t="s">
        <v>363</v>
      </c>
      <c r="D21" s="6" t="s">
        <v>139</v>
      </c>
      <c r="E21" s="12" t="n">
        <v>2</v>
      </c>
      <c r="F21" s="12" t="n">
        <v>0</v>
      </c>
      <c r="G21" s="12" t="n">
        <v>1</v>
      </c>
      <c r="H21" s="12" t="n">
        <v>0</v>
      </c>
      <c r="I21" s="6" t="s">
        <v>341</v>
      </c>
      <c r="J21" s="6" t="n">
        <v>0</v>
      </c>
    </row>
    <row r="22" customFormat="false" ht="15" hidden="false" customHeight="false" outlineLevel="0" collapsed="false">
      <c r="A22" s="6" t="s">
        <v>151</v>
      </c>
      <c r="B22" s="6" t="s">
        <v>148</v>
      </c>
      <c r="C22" s="6" t="s">
        <v>361</v>
      </c>
      <c r="D22" s="6" t="s">
        <v>139</v>
      </c>
      <c r="E22" s="12" t="n">
        <v>2</v>
      </c>
      <c r="F22" s="12" t="n">
        <v>0</v>
      </c>
      <c r="G22" s="12" t="n">
        <v>1</v>
      </c>
      <c r="H22" s="12" t="n">
        <v>0</v>
      </c>
      <c r="I22" s="6" t="s">
        <v>341</v>
      </c>
      <c r="J22" s="6" t="n">
        <v>0</v>
      </c>
    </row>
    <row r="23" customFormat="false" ht="15" hidden="false" customHeight="false" outlineLevel="0" collapsed="false">
      <c r="A23" s="6" t="s">
        <v>151</v>
      </c>
      <c r="B23" s="6" t="s">
        <v>148</v>
      </c>
      <c r="C23" s="6" t="s">
        <v>362</v>
      </c>
      <c r="D23" s="6" t="s">
        <v>139</v>
      </c>
      <c r="E23" s="12" t="n">
        <v>2</v>
      </c>
      <c r="F23" s="12" t="n">
        <v>0</v>
      </c>
      <c r="G23" s="12" t="n">
        <v>1</v>
      </c>
      <c r="H23" s="12" t="n">
        <v>0</v>
      </c>
      <c r="I23" s="6" t="s">
        <v>341</v>
      </c>
      <c r="J23" s="6" t="n">
        <v>0</v>
      </c>
    </row>
    <row r="24" customFormat="false" ht="15" hidden="false" customHeight="false" outlineLevel="0" collapsed="false">
      <c r="A24" s="6" t="s">
        <v>151</v>
      </c>
      <c r="B24" s="6" t="s">
        <v>148</v>
      </c>
      <c r="C24" s="6" t="s">
        <v>363</v>
      </c>
      <c r="D24" s="6" t="s">
        <v>139</v>
      </c>
      <c r="E24" s="12" t="n">
        <v>2</v>
      </c>
      <c r="F24" s="12" t="n">
        <v>0</v>
      </c>
      <c r="G24" s="12" t="n">
        <v>1</v>
      </c>
      <c r="H24" s="12" t="n">
        <v>0</v>
      </c>
      <c r="I24" s="6" t="s">
        <v>341</v>
      </c>
      <c r="J24" s="6" t="n">
        <v>0</v>
      </c>
    </row>
    <row r="25" customFormat="false" ht="15" hidden="false" customHeight="false" outlineLevel="0" collapsed="false">
      <c r="A25" s="6" t="s">
        <v>153</v>
      </c>
      <c r="B25" s="6" t="s">
        <v>148</v>
      </c>
      <c r="C25" s="6" t="s">
        <v>361</v>
      </c>
      <c r="D25" s="6" t="s">
        <v>139</v>
      </c>
      <c r="E25" s="12" t="n">
        <v>2</v>
      </c>
      <c r="F25" s="12" t="n">
        <v>0</v>
      </c>
      <c r="G25" s="12" t="n">
        <v>1</v>
      </c>
      <c r="H25" s="12" t="n">
        <v>0</v>
      </c>
      <c r="I25" s="6" t="s">
        <v>341</v>
      </c>
      <c r="J25" s="6" t="n">
        <v>0</v>
      </c>
    </row>
    <row r="26" customFormat="false" ht="15" hidden="false" customHeight="false" outlineLevel="0" collapsed="false">
      <c r="A26" s="6" t="s">
        <v>153</v>
      </c>
      <c r="B26" s="6" t="s">
        <v>148</v>
      </c>
      <c r="C26" s="6" t="s">
        <v>362</v>
      </c>
      <c r="D26" s="6" t="s">
        <v>139</v>
      </c>
      <c r="E26" s="12" t="n">
        <v>2</v>
      </c>
      <c r="F26" s="12" t="n">
        <v>0</v>
      </c>
      <c r="G26" s="12" t="n">
        <v>1</v>
      </c>
      <c r="H26" s="12" t="n">
        <v>0</v>
      </c>
      <c r="I26" s="6" t="s">
        <v>341</v>
      </c>
      <c r="J26" s="6" t="n">
        <v>0</v>
      </c>
    </row>
    <row r="27" customFormat="false" ht="15" hidden="false" customHeight="false" outlineLevel="0" collapsed="false">
      <c r="A27" s="6" t="s">
        <v>153</v>
      </c>
      <c r="B27" s="6" t="s">
        <v>148</v>
      </c>
      <c r="C27" s="6" t="s">
        <v>363</v>
      </c>
      <c r="D27" s="6" t="s">
        <v>139</v>
      </c>
      <c r="E27" s="12" t="n">
        <v>2</v>
      </c>
      <c r="F27" s="12" t="n">
        <v>0</v>
      </c>
      <c r="G27" s="12" t="n">
        <v>1</v>
      </c>
      <c r="H27" s="12" t="n">
        <v>0</v>
      </c>
      <c r="I27" s="6" t="s">
        <v>341</v>
      </c>
      <c r="J27" s="6" t="n">
        <v>0</v>
      </c>
    </row>
    <row r="28" customFormat="false" ht="15" hidden="false" customHeight="false" outlineLevel="0" collapsed="false">
      <c r="A28" s="6" t="s">
        <v>155</v>
      </c>
      <c r="B28" s="6" t="s">
        <v>148</v>
      </c>
      <c r="C28" s="6" t="s">
        <v>361</v>
      </c>
      <c r="D28" s="6" t="s">
        <v>139</v>
      </c>
      <c r="E28" s="12" t="n">
        <v>2</v>
      </c>
      <c r="F28" s="12" t="n">
        <v>0</v>
      </c>
      <c r="G28" s="12" t="n">
        <v>1</v>
      </c>
      <c r="H28" s="12" t="n">
        <v>0</v>
      </c>
      <c r="I28" s="6" t="s">
        <v>341</v>
      </c>
      <c r="J28" s="6" t="n">
        <v>0</v>
      </c>
    </row>
    <row r="29" customFormat="false" ht="15" hidden="false" customHeight="false" outlineLevel="0" collapsed="false">
      <c r="A29" s="6" t="s">
        <v>155</v>
      </c>
      <c r="B29" s="6" t="s">
        <v>148</v>
      </c>
      <c r="C29" s="6" t="s">
        <v>362</v>
      </c>
      <c r="D29" s="6" t="s">
        <v>139</v>
      </c>
      <c r="E29" s="12" t="n">
        <v>2</v>
      </c>
      <c r="F29" s="12" t="n">
        <v>0</v>
      </c>
      <c r="G29" s="12" t="n">
        <v>1</v>
      </c>
      <c r="H29" s="12" t="n">
        <v>0</v>
      </c>
      <c r="I29" s="6" t="s">
        <v>341</v>
      </c>
      <c r="J29" s="6" t="n">
        <v>0</v>
      </c>
    </row>
    <row r="30" customFormat="false" ht="15" hidden="false" customHeight="false" outlineLevel="0" collapsed="false">
      <c r="A30" s="6" t="s">
        <v>155</v>
      </c>
      <c r="B30" s="6" t="s">
        <v>148</v>
      </c>
      <c r="C30" s="6" t="s">
        <v>363</v>
      </c>
      <c r="D30" s="6" t="s">
        <v>139</v>
      </c>
      <c r="E30" s="12" t="n">
        <v>2</v>
      </c>
      <c r="F30" s="12" t="n">
        <v>0</v>
      </c>
      <c r="G30" s="12" t="n">
        <v>1</v>
      </c>
      <c r="H30" s="12" t="n">
        <v>0</v>
      </c>
      <c r="I30" s="6" t="s">
        <v>341</v>
      </c>
      <c r="J30" s="6" t="n">
        <v>0</v>
      </c>
    </row>
    <row r="31" customFormat="false" ht="15" hidden="false" customHeight="false" outlineLevel="0" collapsed="false">
      <c r="A31" s="6" t="s">
        <v>157</v>
      </c>
      <c r="B31" s="6" t="s">
        <v>158</v>
      </c>
      <c r="C31" s="6" t="s">
        <v>361</v>
      </c>
      <c r="D31" s="6" t="s">
        <v>139</v>
      </c>
      <c r="E31" s="12" t="n">
        <v>2</v>
      </c>
      <c r="F31" s="12" t="n">
        <v>0</v>
      </c>
      <c r="G31" s="12" t="n">
        <v>1</v>
      </c>
      <c r="H31" s="12" t="n">
        <v>0</v>
      </c>
      <c r="I31" s="6" t="s">
        <v>341</v>
      </c>
      <c r="J31" s="6" t="n">
        <v>0</v>
      </c>
    </row>
    <row r="32" customFormat="false" ht="15" hidden="false" customHeight="false" outlineLevel="0" collapsed="false">
      <c r="A32" s="6" t="s">
        <v>157</v>
      </c>
      <c r="B32" s="6" t="s">
        <v>158</v>
      </c>
      <c r="C32" s="6" t="s">
        <v>362</v>
      </c>
      <c r="D32" s="6" t="s">
        <v>139</v>
      </c>
      <c r="E32" s="12" t="n">
        <v>2</v>
      </c>
      <c r="F32" s="12" t="n">
        <v>0</v>
      </c>
      <c r="G32" s="12" t="n">
        <v>1</v>
      </c>
      <c r="H32" s="12" t="n">
        <v>0</v>
      </c>
      <c r="I32" s="6" t="s">
        <v>341</v>
      </c>
      <c r="J32" s="6" t="n">
        <v>0</v>
      </c>
    </row>
    <row r="33" customFormat="false" ht="15" hidden="false" customHeight="false" outlineLevel="0" collapsed="false">
      <c r="A33" s="6" t="s">
        <v>157</v>
      </c>
      <c r="B33" s="6" t="s">
        <v>158</v>
      </c>
      <c r="C33" s="6" t="s">
        <v>363</v>
      </c>
      <c r="D33" s="6" t="s">
        <v>139</v>
      </c>
      <c r="E33" s="12" t="n">
        <v>2</v>
      </c>
      <c r="F33" s="12" t="n">
        <v>0</v>
      </c>
      <c r="G33" s="12" t="n">
        <v>1</v>
      </c>
      <c r="H33" s="12" t="n">
        <v>0</v>
      </c>
      <c r="I33" s="6" t="s">
        <v>341</v>
      </c>
      <c r="J33" s="6" t="n">
        <v>0</v>
      </c>
    </row>
    <row r="34" customFormat="false" ht="15" hidden="false" customHeight="false" outlineLevel="0" collapsed="false">
      <c r="A34" s="6" t="s">
        <v>161</v>
      </c>
      <c r="B34" s="6" t="s">
        <v>158</v>
      </c>
      <c r="C34" s="6" t="s">
        <v>361</v>
      </c>
      <c r="D34" s="6" t="s">
        <v>139</v>
      </c>
      <c r="E34" s="12" t="n">
        <v>2</v>
      </c>
      <c r="F34" s="12" t="n">
        <v>0</v>
      </c>
      <c r="G34" s="12" t="n">
        <v>1</v>
      </c>
      <c r="H34" s="12" t="n">
        <v>0</v>
      </c>
      <c r="I34" s="6" t="s">
        <v>341</v>
      </c>
      <c r="J34" s="6" t="n">
        <v>0</v>
      </c>
    </row>
    <row r="35" customFormat="false" ht="15" hidden="false" customHeight="false" outlineLevel="0" collapsed="false">
      <c r="A35" s="6" t="s">
        <v>161</v>
      </c>
      <c r="B35" s="6" t="s">
        <v>158</v>
      </c>
      <c r="C35" s="6" t="s">
        <v>362</v>
      </c>
      <c r="D35" s="6" t="s">
        <v>139</v>
      </c>
      <c r="E35" s="12" t="n">
        <v>2</v>
      </c>
      <c r="F35" s="12" t="n">
        <v>0</v>
      </c>
      <c r="G35" s="12" t="n">
        <v>1</v>
      </c>
      <c r="H35" s="12" t="n">
        <v>0</v>
      </c>
      <c r="I35" s="6" t="s">
        <v>341</v>
      </c>
      <c r="J35" s="6" t="n">
        <v>0</v>
      </c>
    </row>
    <row r="36" customFormat="false" ht="15" hidden="false" customHeight="false" outlineLevel="0" collapsed="false">
      <c r="A36" s="6" t="s">
        <v>161</v>
      </c>
      <c r="B36" s="6" t="s">
        <v>158</v>
      </c>
      <c r="C36" s="6" t="s">
        <v>363</v>
      </c>
      <c r="D36" s="6" t="s">
        <v>139</v>
      </c>
      <c r="E36" s="12" t="n">
        <v>2</v>
      </c>
      <c r="F36" s="12" t="n">
        <v>0</v>
      </c>
      <c r="G36" s="12" t="n">
        <v>1</v>
      </c>
      <c r="H36" s="12" t="n">
        <v>0</v>
      </c>
      <c r="I36" s="6" t="s">
        <v>341</v>
      </c>
      <c r="J36" s="6" t="n">
        <v>0</v>
      </c>
    </row>
    <row r="37" customFormat="false" ht="15" hidden="false" customHeight="false" outlineLevel="0" collapsed="false">
      <c r="A37" s="6" t="s">
        <v>163</v>
      </c>
      <c r="B37" s="6" t="s">
        <v>158</v>
      </c>
      <c r="C37" s="6" t="s">
        <v>361</v>
      </c>
      <c r="D37" s="6" t="s">
        <v>139</v>
      </c>
      <c r="E37" s="12" t="n">
        <v>2</v>
      </c>
      <c r="F37" s="12" t="n">
        <v>0</v>
      </c>
      <c r="G37" s="12" t="n">
        <v>1</v>
      </c>
      <c r="H37" s="12" t="n">
        <v>0</v>
      </c>
      <c r="I37" s="6" t="s">
        <v>341</v>
      </c>
      <c r="J37" s="6" t="n">
        <v>0</v>
      </c>
    </row>
    <row r="38" customFormat="false" ht="15" hidden="false" customHeight="false" outlineLevel="0" collapsed="false">
      <c r="A38" s="6" t="s">
        <v>163</v>
      </c>
      <c r="B38" s="6" t="s">
        <v>158</v>
      </c>
      <c r="C38" s="6" t="s">
        <v>362</v>
      </c>
      <c r="D38" s="6" t="s">
        <v>139</v>
      </c>
      <c r="E38" s="12" t="n">
        <v>2</v>
      </c>
      <c r="F38" s="12" t="n">
        <v>0</v>
      </c>
      <c r="G38" s="12" t="n">
        <v>1</v>
      </c>
      <c r="H38" s="12" t="n">
        <v>0</v>
      </c>
      <c r="I38" s="6" t="s">
        <v>341</v>
      </c>
      <c r="J38" s="6" t="n">
        <v>0</v>
      </c>
    </row>
    <row r="39" customFormat="false" ht="15" hidden="false" customHeight="false" outlineLevel="0" collapsed="false">
      <c r="A39" s="6" t="s">
        <v>163</v>
      </c>
      <c r="B39" s="6" t="s">
        <v>158</v>
      </c>
      <c r="C39" s="6" t="s">
        <v>363</v>
      </c>
      <c r="D39" s="6" t="s">
        <v>139</v>
      </c>
      <c r="E39" s="12" t="n">
        <v>2</v>
      </c>
      <c r="F39" s="12" t="n">
        <v>0</v>
      </c>
      <c r="G39" s="12" t="n">
        <v>1</v>
      </c>
      <c r="H39" s="12" t="n">
        <v>0</v>
      </c>
      <c r="I39" s="6" t="s">
        <v>341</v>
      </c>
      <c r="J39" s="6" t="n">
        <v>0</v>
      </c>
    </row>
    <row r="40" customFormat="false" ht="15" hidden="false" customHeight="false" outlineLevel="0" collapsed="false">
      <c r="A40" s="6" t="s">
        <v>165</v>
      </c>
      <c r="B40" s="6" t="s">
        <v>158</v>
      </c>
      <c r="C40" s="6" t="s">
        <v>361</v>
      </c>
      <c r="D40" s="6" t="s">
        <v>139</v>
      </c>
      <c r="E40" s="12" t="n">
        <v>2</v>
      </c>
      <c r="F40" s="12" t="n">
        <v>0</v>
      </c>
      <c r="G40" s="12" t="n">
        <v>1</v>
      </c>
      <c r="H40" s="12" t="n">
        <v>0</v>
      </c>
      <c r="I40" s="6" t="s">
        <v>341</v>
      </c>
      <c r="J40" s="6" t="n">
        <v>0</v>
      </c>
    </row>
    <row r="41" customFormat="false" ht="15" hidden="false" customHeight="false" outlineLevel="0" collapsed="false">
      <c r="A41" s="6" t="s">
        <v>165</v>
      </c>
      <c r="B41" s="6" t="s">
        <v>158</v>
      </c>
      <c r="C41" s="6" t="s">
        <v>362</v>
      </c>
      <c r="D41" s="6" t="s">
        <v>139</v>
      </c>
      <c r="E41" s="12" t="n">
        <v>2</v>
      </c>
      <c r="F41" s="12" t="n">
        <v>0</v>
      </c>
      <c r="G41" s="12" t="n">
        <v>1</v>
      </c>
      <c r="H41" s="12" t="n">
        <v>0</v>
      </c>
      <c r="I41" s="6" t="s">
        <v>341</v>
      </c>
      <c r="J41" s="6" t="n">
        <v>0</v>
      </c>
    </row>
    <row r="42" customFormat="false" ht="15" hidden="false" customHeight="false" outlineLevel="0" collapsed="false">
      <c r="A42" s="6" t="s">
        <v>165</v>
      </c>
      <c r="B42" s="6" t="s">
        <v>158</v>
      </c>
      <c r="C42" s="6" t="s">
        <v>363</v>
      </c>
      <c r="D42" s="6" t="s">
        <v>139</v>
      </c>
      <c r="E42" s="12" t="n">
        <v>2</v>
      </c>
      <c r="F42" s="12" t="n">
        <v>0</v>
      </c>
      <c r="G42" s="12" t="n">
        <v>1</v>
      </c>
      <c r="H42" s="12" t="n">
        <v>0</v>
      </c>
      <c r="I42" s="6" t="s">
        <v>341</v>
      </c>
      <c r="J42" s="6" t="n">
        <v>0</v>
      </c>
    </row>
    <row r="43" customFormat="false" ht="15" hidden="false" customHeight="false" outlineLevel="0" collapsed="false">
      <c r="A43" s="6" t="s">
        <v>167</v>
      </c>
      <c r="B43" s="6" t="s">
        <v>168</v>
      </c>
      <c r="C43" s="6" t="s">
        <v>361</v>
      </c>
      <c r="D43" s="6" t="s">
        <v>139</v>
      </c>
      <c r="E43" s="12" t="n">
        <v>2</v>
      </c>
      <c r="F43" s="12" t="n">
        <v>0</v>
      </c>
      <c r="G43" s="12" t="n">
        <v>1</v>
      </c>
      <c r="H43" s="12" t="n">
        <v>0</v>
      </c>
      <c r="I43" s="6" t="s">
        <v>341</v>
      </c>
      <c r="J43" s="6" t="n">
        <v>0</v>
      </c>
    </row>
    <row r="44" customFormat="false" ht="15" hidden="false" customHeight="false" outlineLevel="0" collapsed="false">
      <c r="A44" s="6" t="s">
        <v>167</v>
      </c>
      <c r="B44" s="6" t="s">
        <v>168</v>
      </c>
      <c r="C44" s="6" t="s">
        <v>362</v>
      </c>
      <c r="D44" s="6" t="s">
        <v>139</v>
      </c>
      <c r="E44" s="12" t="n">
        <v>2</v>
      </c>
      <c r="F44" s="12" t="n">
        <v>0</v>
      </c>
      <c r="G44" s="12" t="n">
        <v>1</v>
      </c>
      <c r="H44" s="12" t="n">
        <v>0</v>
      </c>
      <c r="I44" s="6" t="s">
        <v>341</v>
      </c>
      <c r="J44" s="6" t="n">
        <v>0</v>
      </c>
    </row>
    <row r="45" customFormat="false" ht="15" hidden="false" customHeight="false" outlineLevel="0" collapsed="false">
      <c r="A45" s="6" t="s">
        <v>167</v>
      </c>
      <c r="B45" s="6" t="s">
        <v>168</v>
      </c>
      <c r="C45" s="6" t="s">
        <v>363</v>
      </c>
      <c r="D45" s="6" t="s">
        <v>139</v>
      </c>
      <c r="E45" s="12" t="n">
        <v>2</v>
      </c>
      <c r="F45" s="12" t="n">
        <v>0</v>
      </c>
      <c r="G45" s="12" t="n">
        <v>1</v>
      </c>
      <c r="H45" s="12" t="n">
        <v>0</v>
      </c>
      <c r="I45" s="6" t="s">
        <v>341</v>
      </c>
      <c r="J45" s="6" t="n">
        <v>0</v>
      </c>
    </row>
    <row r="46" customFormat="false" ht="15" hidden="false" customHeight="false" outlineLevel="0" collapsed="false">
      <c r="A46" s="6" t="s">
        <v>171</v>
      </c>
      <c r="B46" s="6" t="s">
        <v>168</v>
      </c>
      <c r="C46" s="6" t="s">
        <v>361</v>
      </c>
      <c r="D46" s="6" t="s">
        <v>139</v>
      </c>
      <c r="E46" s="12" t="n">
        <v>2</v>
      </c>
      <c r="F46" s="12" t="n">
        <v>0</v>
      </c>
      <c r="G46" s="12" t="n">
        <v>1</v>
      </c>
      <c r="H46" s="12" t="n">
        <v>0</v>
      </c>
      <c r="I46" s="6" t="s">
        <v>341</v>
      </c>
      <c r="J46" s="6" t="n">
        <v>0</v>
      </c>
    </row>
    <row r="47" customFormat="false" ht="15" hidden="false" customHeight="false" outlineLevel="0" collapsed="false">
      <c r="A47" s="6" t="s">
        <v>171</v>
      </c>
      <c r="B47" s="6" t="s">
        <v>168</v>
      </c>
      <c r="C47" s="6" t="s">
        <v>362</v>
      </c>
      <c r="D47" s="6" t="s">
        <v>139</v>
      </c>
      <c r="E47" s="12" t="n">
        <v>2</v>
      </c>
      <c r="F47" s="12" t="n">
        <v>0</v>
      </c>
      <c r="G47" s="12" t="n">
        <v>1</v>
      </c>
      <c r="H47" s="12" t="n">
        <v>0</v>
      </c>
      <c r="I47" s="6" t="s">
        <v>341</v>
      </c>
      <c r="J47" s="6" t="n">
        <v>0</v>
      </c>
    </row>
    <row r="48" customFormat="false" ht="15" hidden="false" customHeight="false" outlineLevel="0" collapsed="false">
      <c r="A48" s="6" t="s">
        <v>171</v>
      </c>
      <c r="B48" s="6" t="s">
        <v>168</v>
      </c>
      <c r="C48" s="6" t="s">
        <v>363</v>
      </c>
      <c r="D48" s="6" t="s">
        <v>139</v>
      </c>
      <c r="E48" s="12" t="n">
        <v>2</v>
      </c>
      <c r="F48" s="12" t="n">
        <v>0</v>
      </c>
      <c r="G48" s="12" t="n">
        <v>1</v>
      </c>
      <c r="H48" s="12" t="n">
        <v>0</v>
      </c>
      <c r="I48" s="6" t="s">
        <v>341</v>
      </c>
      <c r="J48" s="6" t="n">
        <v>0</v>
      </c>
    </row>
    <row r="49" customFormat="false" ht="15" hidden="false" customHeight="false" outlineLevel="0" collapsed="false">
      <c r="A49" s="6" t="s">
        <v>173</v>
      </c>
      <c r="B49" s="6" t="s">
        <v>168</v>
      </c>
      <c r="C49" s="6" t="s">
        <v>361</v>
      </c>
      <c r="D49" s="6" t="s">
        <v>139</v>
      </c>
      <c r="E49" s="12" t="n">
        <v>2</v>
      </c>
      <c r="F49" s="12" t="n">
        <v>0</v>
      </c>
      <c r="G49" s="12" t="n">
        <v>1</v>
      </c>
      <c r="H49" s="12" t="n">
        <v>0</v>
      </c>
      <c r="I49" s="6" t="s">
        <v>341</v>
      </c>
      <c r="J49" s="6" t="n">
        <v>0</v>
      </c>
    </row>
    <row r="50" customFormat="false" ht="15" hidden="false" customHeight="false" outlineLevel="0" collapsed="false">
      <c r="A50" s="6" t="s">
        <v>173</v>
      </c>
      <c r="B50" s="6" t="s">
        <v>168</v>
      </c>
      <c r="C50" s="6" t="s">
        <v>362</v>
      </c>
      <c r="D50" s="6" t="s">
        <v>139</v>
      </c>
      <c r="E50" s="12" t="n">
        <v>2</v>
      </c>
      <c r="F50" s="12" t="n">
        <v>0</v>
      </c>
      <c r="G50" s="12" t="n">
        <v>1</v>
      </c>
      <c r="H50" s="12" t="n">
        <v>0</v>
      </c>
      <c r="I50" s="6" t="s">
        <v>341</v>
      </c>
      <c r="J50" s="6" t="n">
        <v>0</v>
      </c>
    </row>
    <row r="51" customFormat="false" ht="15" hidden="false" customHeight="false" outlineLevel="0" collapsed="false">
      <c r="A51" s="6" t="s">
        <v>173</v>
      </c>
      <c r="B51" s="6" t="s">
        <v>168</v>
      </c>
      <c r="C51" s="6" t="s">
        <v>363</v>
      </c>
      <c r="D51" s="6" t="s">
        <v>139</v>
      </c>
      <c r="E51" s="12" t="n">
        <v>2</v>
      </c>
      <c r="F51" s="12" t="n">
        <v>0</v>
      </c>
      <c r="G51" s="12" t="n">
        <v>1</v>
      </c>
      <c r="H51" s="12" t="n">
        <v>0</v>
      </c>
      <c r="I51" s="6" t="s">
        <v>341</v>
      </c>
      <c r="J51" s="6" t="n">
        <v>0</v>
      </c>
    </row>
    <row r="52" customFormat="false" ht="15" hidden="false" customHeight="false" outlineLevel="0" collapsed="false">
      <c r="A52" s="6" t="s">
        <v>175</v>
      </c>
      <c r="B52" s="6" t="s">
        <v>168</v>
      </c>
      <c r="C52" s="6" t="s">
        <v>361</v>
      </c>
      <c r="D52" s="6" t="s">
        <v>139</v>
      </c>
      <c r="E52" s="12" t="n">
        <v>2</v>
      </c>
      <c r="F52" s="12" t="n">
        <v>0</v>
      </c>
      <c r="G52" s="12" t="n">
        <v>1</v>
      </c>
      <c r="H52" s="12" t="n">
        <v>0</v>
      </c>
      <c r="I52" s="6" t="s">
        <v>341</v>
      </c>
      <c r="J52" s="6" t="n">
        <v>0</v>
      </c>
    </row>
    <row r="53" customFormat="false" ht="15" hidden="false" customHeight="false" outlineLevel="0" collapsed="false">
      <c r="A53" s="6" t="s">
        <v>175</v>
      </c>
      <c r="B53" s="6" t="s">
        <v>168</v>
      </c>
      <c r="C53" s="6" t="s">
        <v>362</v>
      </c>
      <c r="D53" s="6" t="s">
        <v>139</v>
      </c>
      <c r="E53" s="12" t="n">
        <v>2</v>
      </c>
      <c r="F53" s="12" t="n">
        <v>0</v>
      </c>
      <c r="G53" s="12" t="n">
        <v>1</v>
      </c>
      <c r="H53" s="12" t="n">
        <v>0</v>
      </c>
      <c r="I53" s="6" t="s">
        <v>341</v>
      </c>
      <c r="J53" s="6" t="n">
        <v>0</v>
      </c>
    </row>
    <row r="54" customFormat="false" ht="15" hidden="false" customHeight="false" outlineLevel="0" collapsed="false">
      <c r="A54" s="6" t="s">
        <v>175</v>
      </c>
      <c r="B54" s="6" t="s">
        <v>168</v>
      </c>
      <c r="C54" s="6" t="s">
        <v>363</v>
      </c>
      <c r="D54" s="6" t="s">
        <v>139</v>
      </c>
      <c r="E54" s="12" t="n">
        <v>2</v>
      </c>
      <c r="F54" s="12" t="n">
        <v>0</v>
      </c>
      <c r="G54" s="12" t="n">
        <v>1</v>
      </c>
      <c r="H54" s="12" t="n">
        <v>0</v>
      </c>
      <c r="I54" s="6" t="s">
        <v>341</v>
      </c>
      <c r="J54" s="6" t="n">
        <v>0</v>
      </c>
    </row>
    <row r="55" customFormat="false" ht="15" hidden="false" customHeight="false" outlineLevel="0" collapsed="false">
      <c r="A55" s="6" t="s">
        <v>177</v>
      </c>
      <c r="B55" s="6" t="s">
        <v>178</v>
      </c>
      <c r="C55" s="6" t="s">
        <v>361</v>
      </c>
      <c r="D55" s="6" t="s">
        <v>139</v>
      </c>
      <c r="E55" s="12" t="n">
        <v>2</v>
      </c>
      <c r="F55" s="12" t="n">
        <v>0</v>
      </c>
      <c r="G55" s="12" t="n">
        <v>1</v>
      </c>
      <c r="H55" s="12" t="n">
        <v>0</v>
      </c>
      <c r="I55" s="6" t="s">
        <v>341</v>
      </c>
      <c r="J55" s="6" t="n">
        <v>0</v>
      </c>
    </row>
    <row r="56" customFormat="false" ht="15" hidden="false" customHeight="false" outlineLevel="0" collapsed="false">
      <c r="A56" s="6" t="s">
        <v>177</v>
      </c>
      <c r="B56" s="6" t="s">
        <v>178</v>
      </c>
      <c r="C56" s="6" t="s">
        <v>362</v>
      </c>
      <c r="D56" s="6" t="s">
        <v>139</v>
      </c>
      <c r="E56" s="12" t="n">
        <v>2</v>
      </c>
      <c r="F56" s="12" t="n">
        <v>0</v>
      </c>
      <c r="G56" s="12" t="n">
        <v>1</v>
      </c>
      <c r="H56" s="12" t="n">
        <v>0</v>
      </c>
      <c r="I56" s="6" t="s">
        <v>341</v>
      </c>
      <c r="J56" s="6" t="n">
        <v>0</v>
      </c>
    </row>
    <row r="57" customFormat="false" ht="15" hidden="false" customHeight="false" outlineLevel="0" collapsed="false">
      <c r="A57" s="6" t="s">
        <v>177</v>
      </c>
      <c r="B57" s="6" t="s">
        <v>178</v>
      </c>
      <c r="C57" s="6" t="s">
        <v>363</v>
      </c>
      <c r="D57" s="6" t="s">
        <v>139</v>
      </c>
      <c r="E57" s="12" t="n">
        <v>2</v>
      </c>
      <c r="F57" s="12" t="n">
        <v>0</v>
      </c>
      <c r="G57" s="12" t="n">
        <v>1</v>
      </c>
      <c r="H57" s="12" t="n">
        <v>0</v>
      </c>
      <c r="I57" s="6" t="s">
        <v>341</v>
      </c>
      <c r="J57" s="6" t="n">
        <v>0</v>
      </c>
    </row>
    <row r="58" customFormat="false" ht="15" hidden="false" customHeight="false" outlineLevel="0" collapsed="false">
      <c r="A58" s="6" t="s">
        <v>181</v>
      </c>
      <c r="B58" s="6" t="s">
        <v>178</v>
      </c>
      <c r="C58" s="6" t="s">
        <v>361</v>
      </c>
      <c r="D58" s="6" t="s">
        <v>139</v>
      </c>
      <c r="E58" s="12" t="n">
        <v>2</v>
      </c>
      <c r="F58" s="12" t="n">
        <v>0</v>
      </c>
      <c r="G58" s="12" t="n">
        <v>1</v>
      </c>
      <c r="H58" s="12" t="n">
        <v>0</v>
      </c>
      <c r="I58" s="6" t="s">
        <v>341</v>
      </c>
      <c r="J58" s="6" t="n">
        <v>0</v>
      </c>
    </row>
    <row r="59" customFormat="false" ht="15" hidden="false" customHeight="false" outlineLevel="0" collapsed="false">
      <c r="A59" s="6" t="s">
        <v>181</v>
      </c>
      <c r="B59" s="6" t="s">
        <v>178</v>
      </c>
      <c r="C59" s="6" t="s">
        <v>362</v>
      </c>
      <c r="D59" s="6" t="s">
        <v>139</v>
      </c>
      <c r="E59" s="12" t="n">
        <v>2</v>
      </c>
      <c r="F59" s="12" t="n">
        <v>0</v>
      </c>
      <c r="G59" s="12" t="n">
        <v>1</v>
      </c>
      <c r="H59" s="12" t="n">
        <v>0</v>
      </c>
      <c r="I59" s="6" t="s">
        <v>341</v>
      </c>
      <c r="J59" s="6" t="n">
        <v>0</v>
      </c>
    </row>
    <row r="60" customFormat="false" ht="15" hidden="false" customHeight="false" outlineLevel="0" collapsed="false">
      <c r="A60" s="6" t="s">
        <v>181</v>
      </c>
      <c r="B60" s="6" t="s">
        <v>178</v>
      </c>
      <c r="C60" s="6" t="s">
        <v>363</v>
      </c>
      <c r="D60" s="6" t="s">
        <v>139</v>
      </c>
      <c r="E60" s="12" t="n">
        <v>2</v>
      </c>
      <c r="F60" s="12" t="n">
        <v>0</v>
      </c>
      <c r="G60" s="12" t="n">
        <v>1</v>
      </c>
      <c r="H60" s="12" t="n">
        <v>0</v>
      </c>
      <c r="I60" s="6" t="s">
        <v>341</v>
      </c>
      <c r="J60" s="6" t="n">
        <v>0</v>
      </c>
    </row>
    <row r="61" customFormat="false" ht="15" hidden="false" customHeight="false" outlineLevel="0" collapsed="false">
      <c r="A61" s="6" t="s">
        <v>183</v>
      </c>
      <c r="B61" s="6" t="s">
        <v>178</v>
      </c>
      <c r="C61" s="6" t="s">
        <v>361</v>
      </c>
      <c r="D61" s="6" t="s">
        <v>139</v>
      </c>
      <c r="E61" s="12" t="n">
        <v>2</v>
      </c>
      <c r="F61" s="12" t="n">
        <v>0</v>
      </c>
      <c r="G61" s="12" t="n">
        <v>1</v>
      </c>
      <c r="H61" s="12" t="n">
        <v>0</v>
      </c>
      <c r="I61" s="6" t="s">
        <v>341</v>
      </c>
      <c r="J61" s="6" t="n">
        <v>0</v>
      </c>
    </row>
    <row r="62" customFormat="false" ht="15" hidden="false" customHeight="false" outlineLevel="0" collapsed="false">
      <c r="A62" s="6" t="s">
        <v>183</v>
      </c>
      <c r="B62" s="6" t="s">
        <v>178</v>
      </c>
      <c r="C62" s="6" t="s">
        <v>362</v>
      </c>
      <c r="D62" s="6" t="s">
        <v>139</v>
      </c>
      <c r="E62" s="12" t="n">
        <v>2</v>
      </c>
      <c r="F62" s="12" t="n">
        <v>0</v>
      </c>
      <c r="G62" s="12" t="n">
        <v>1</v>
      </c>
      <c r="H62" s="12" t="n">
        <v>0</v>
      </c>
      <c r="I62" s="6" t="s">
        <v>341</v>
      </c>
      <c r="J62" s="6" t="n">
        <v>0</v>
      </c>
    </row>
    <row r="63" customFormat="false" ht="15" hidden="false" customHeight="false" outlineLevel="0" collapsed="false">
      <c r="A63" s="6" t="s">
        <v>183</v>
      </c>
      <c r="B63" s="6" t="s">
        <v>178</v>
      </c>
      <c r="C63" s="6" t="s">
        <v>363</v>
      </c>
      <c r="D63" s="6" t="s">
        <v>139</v>
      </c>
      <c r="E63" s="12" t="n">
        <v>2</v>
      </c>
      <c r="F63" s="12" t="n">
        <v>0</v>
      </c>
      <c r="G63" s="12" t="n">
        <v>1</v>
      </c>
      <c r="H63" s="12" t="n">
        <v>0</v>
      </c>
      <c r="I63" s="6" t="s">
        <v>341</v>
      </c>
      <c r="J63" s="6" t="n">
        <v>0</v>
      </c>
    </row>
    <row r="64" customFormat="false" ht="15" hidden="false" customHeight="false" outlineLevel="0" collapsed="false">
      <c r="A64" s="6" t="s">
        <v>185</v>
      </c>
      <c r="B64" s="6" t="s">
        <v>178</v>
      </c>
      <c r="C64" s="6" t="s">
        <v>361</v>
      </c>
      <c r="D64" s="6" t="s">
        <v>139</v>
      </c>
      <c r="E64" s="12" t="n">
        <v>2</v>
      </c>
      <c r="F64" s="12" t="n">
        <v>0</v>
      </c>
      <c r="G64" s="12" t="n">
        <v>1</v>
      </c>
      <c r="H64" s="12" t="n">
        <v>0</v>
      </c>
      <c r="I64" s="6" t="s">
        <v>341</v>
      </c>
      <c r="J64" s="6" t="n">
        <v>0</v>
      </c>
    </row>
    <row r="65" customFormat="false" ht="15" hidden="false" customHeight="false" outlineLevel="0" collapsed="false">
      <c r="A65" s="6" t="s">
        <v>185</v>
      </c>
      <c r="B65" s="6" t="s">
        <v>178</v>
      </c>
      <c r="C65" s="6" t="s">
        <v>362</v>
      </c>
      <c r="D65" s="6" t="s">
        <v>139</v>
      </c>
      <c r="E65" s="12" t="n">
        <v>2</v>
      </c>
      <c r="F65" s="12" t="n">
        <v>0</v>
      </c>
      <c r="G65" s="12" t="n">
        <v>1</v>
      </c>
      <c r="H65" s="12" t="n">
        <v>0</v>
      </c>
      <c r="I65" s="6" t="s">
        <v>341</v>
      </c>
      <c r="J65" s="6" t="n">
        <v>0</v>
      </c>
    </row>
    <row r="66" customFormat="false" ht="15" hidden="false" customHeight="false" outlineLevel="0" collapsed="false">
      <c r="A66" s="6" t="s">
        <v>185</v>
      </c>
      <c r="B66" s="6" t="s">
        <v>178</v>
      </c>
      <c r="C66" s="6" t="s">
        <v>363</v>
      </c>
      <c r="D66" s="6" t="s">
        <v>139</v>
      </c>
      <c r="E66" s="12" t="n">
        <v>2</v>
      </c>
      <c r="F66" s="12" t="n">
        <v>0</v>
      </c>
      <c r="G66" s="12" t="n">
        <v>1</v>
      </c>
      <c r="H66" s="12" t="n">
        <v>0</v>
      </c>
      <c r="I66" s="6" t="s">
        <v>341</v>
      </c>
      <c r="J66" s="6" t="n">
        <v>0</v>
      </c>
    </row>
    <row r="67" customFormat="false" ht="15" hidden="false" customHeight="false" outlineLevel="0" collapsed="false">
      <c r="A67" s="6" t="s">
        <v>187</v>
      </c>
      <c r="B67" s="6" t="s">
        <v>188</v>
      </c>
      <c r="C67" s="6" t="s">
        <v>361</v>
      </c>
      <c r="D67" s="6" t="s">
        <v>139</v>
      </c>
      <c r="E67" s="12" t="n">
        <v>2</v>
      </c>
      <c r="F67" s="12" t="n">
        <v>0</v>
      </c>
      <c r="G67" s="12" t="n">
        <v>1</v>
      </c>
      <c r="H67" s="12" t="n">
        <v>0</v>
      </c>
      <c r="I67" s="6" t="s">
        <v>341</v>
      </c>
      <c r="J67" s="6" t="n">
        <v>0</v>
      </c>
    </row>
    <row r="68" customFormat="false" ht="15" hidden="false" customHeight="false" outlineLevel="0" collapsed="false">
      <c r="A68" s="6" t="s">
        <v>187</v>
      </c>
      <c r="B68" s="6" t="s">
        <v>188</v>
      </c>
      <c r="C68" s="6" t="s">
        <v>362</v>
      </c>
      <c r="D68" s="6" t="s">
        <v>139</v>
      </c>
      <c r="E68" s="12" t="n">
        <v>2</v>
      </c>
      <c r="F68" s="12" t="n">
        <v>0</v>
      </c>
      <c r="G68" s="12" t="n">
        <v>1</v>
      </c>
      <c r="H68" s="12" t="n">
        <v>0</v>
      </c>
      <c r="I68" s="6" t="s">
        <v>341</v>
      </c>
      <c r="J68" s="6" t="n">
        <v>0</v>
      </c>
    </row>
    <row r="69" customFormat="false" ht="15" hidden="false" customHeight="false" outlineLevel="0" collapsed="false">
      <c r="A69" s="6" t="s">
        <v>187</v>
      </c>
      <c r="B69" s="6" t="s">
        <v>188</v>
      </c>
      <c r="C69" s="6" t="s">
        <v>363</v>
      </c>
      <c r="D69" s="6" t="s">
        <v>139</v>
      </c>
      <c r="E69" s="12" t="n">
        <v>2</v>
      </c>
      <c r="F69" s="12" t="n">
        <v>0</v>
      </c>
      <c r="G69" s="12" t="n">
        <v>1</v>
      </c>
      <c r="H69" s="12" t="n">
        <v>0</v>
      </c>
      <c r="I69" s="6" t="s">
        <v>341</v>
      </c>
      <c r="J69" s="6" t="n">
        <v>0</v>
      </c>
    </row>
    <row r="70" customFormat="false" ht="15" hidden="false" customHeight="false" outlineLevel="0" collapsed="false">
      <c r="A70" s="6" t="s">
        <v>191</v>
      </c>
      <c r="B70" s="6" t="s">
        <v>188</v>
      </c>
      <c r="C70" s="6" t="s">
        <v>361</v>
      </c>
      <c r="D70" s="6" t="s">
        <v>139</v>
      </c>
      <c r="E70" s="12" t="n">
        <v>2</v>
      </c>
      <c r="F70" s="12" t="n">
        <v>0</v>
      </c>
      <c r="G70" s="12" t="n">
        <v>1</v>
      </c>
      <c r="H70" s="12" t="n">
        <v>0</v>
      </c>
      <c r="I70" s="6" t="s">
        <v>341</v>
      </c>
      <c r="J70" s="6" t="n">
        <v>0</v>
      </c>
    </row>
    <row r="71" customFormat="false" ht="15" hidden="false" customHeight="false" outlineLevel="0" collapsed="false">
      <c r="A71" s="6" t="s">
        <v>191</v>
      </c>
      <c r="B71" s="6" t="s">
        <v>188</v>
      </c>
      <c r="C71" s="6" t="s">
        <v>362</v>
      </c>
      <c r="D71" s="6" t="s">
        <v>139</v>
      </c>
      <c r="E71" s="12" t="n">
        <v>2</v>
      </c>
      <c r="F71" s="12" t="n">
        <v>0</v>
      </c>
      <c r="G71" s="12" t="n">
        <v>1</v>
      </c>
      <c r="H71" s="12" t="n">
        <v>0</v>
      </c>
      <c r="I71" s="6" t="s">
        <v>341</v>
      </c>
      <c r="J71" s="6" t="n">
        <v>0</v>
      </c>
    </row>
    <row r="72" customFormat="false" ht="15" hidden="false" customHeight="false" outlineLevel="0" collapsed="false">
      <c r="A72" s="6" t="s">
        <v>191</v>
      </c>
      <c r="B72" s="6" t="s">
        <v>188</v>
      </c>
      <c r="C72" s="6" t="s">
        <v>363</v>
      </c>
      <c r="D72" s="6" t="s">
        <v>139</v>
      </c>
      <c r="E72" s="12" t="n">
        <v>2</v>
      </c>
      <c r="F72" s="12" t="n">
        <v>0</v>
      </c>
      <c r="G72" s="12" t="n">
        <v>1</v>
      </c>
      <c r="H72" s="12" t="n">
        <v>0</v>
      </c>
      <c r="I72" s="6" t="s">
        <v>341</v>
      </c>
      <c r="J72" s="6" t="n">
        <v>0</v>
      </c>
    </row>
    <row r="73" customFormat="false" ht="15" hidden="false" customHeight="false" outlineLevel="0" collapsed="false">
      <c r="A73" s="6" t="s">
        <v>193</v>
      </c>
      <c r="B73" s="6" t="s">
        <v>188</v>
      </c>
      <c r="C73" s="6" t="s">
        <v>361</v>
      </c>
      <c r="D73" s="6" t="s">
        <v>139</v>
      </c>
      <c r="E73" s="12" t="n">
        <v>2</v>
      </c>
      <c r="F73" s="12" t="n">
        <v>0</v>
      </c>
      <c r="G73" s="12" t="n">
        <v>1</v>
      </c>
      <c r="H73" s="12" t="n">
        <v>0</v>
      </c>
      <c r="I73" s="6" t="s">
        <v>341</v>
      </c>
      <c r="J73" s="6" t="n">
        <v>0</v>
      </c>
    </row>
    <row r="74" customFormat="false" ht="15" hidden="false" customHeight="false" outlineLevel="0" collapsed="false">
      <c r="A74" s="6" t="s">
        <v>193</v>
      </c>
      <c r="B74" s="6" t="s">
        <v>188</v>
      </c>
      <c r="C74" s="6" t="s">
        <v>362</v>
      </c>
      <c r="D74" s="6" t="s">
        <v>139</v>
      </c>
      <c r="E74" s="12" t="n">
        <v>2</v>
      </c>
      <c r="F74" s="12" t="n">
        <v>0</v>
      </c>
      <c r="G74" s="12" t="n">
        <v>1</v>
      </c>
      <c r="H74" s="12" t="n">
        <v>0</v>
      </c>
      <c r="I74" s="6" t="s">
        <v>341</v>
      </c>
      <c r="J74" s="6" t="n">
        <v>0</v>
      </c>
    </row>
    <row r="75" customFormat="false" ht="15" hidden="false" customHeight="false" outlineLevel="0" collapsed="false">
      <c r="A75" s="6" t="s">
        <v>193</v>
      </c>
      <c r="B75" s="6" t="s">
        <v>188</v>
      </c>
      <c r="C75" s="6" t="s">
        <v>363</v>
      </c>
      <c r="D75" s="6" t="s">
        <v>139</v>
      </c>
      <c r="E75" s="12" t="n">
        <v>2</v>
      </c>
      <c r="F75" s="12" t="n">
        <v>0</v>
      </c>
      <c r="G75" s="12" t="n">
        <v>1</v>
      </c>
      <c r="H75" s="12" t="n">
        <v>0</v>
      </c>
      <c r="I75" s="6" t="s">
        <v>341</v>
      </c>
      <c r="J75" s="6" t="n">
        <v>0</v>
      </c>
    </row>
    <row r="76" customFormat="false" ht="15" hidden="false" customHeight="false" outlineLevel="0" collapsed="false">
      <c r="A76" s="6" t="s">
        <v>195</v>
      </c>
      <c r="B76" s="6" t="s">
        <v>188</v>
      </c>
      <c r="C76" s="6" t="s">
        <v>361</v>
      </c>
      <c r="D76" s="6" t="s">
        <v>139</v>
      </c>
      <c r="E76" s="12" t="n">
        <v>2</v>
      </c>
      <c r="F76" s="12" t="n">
        <v>0</v>
      </c>
      <c r="G76" s="12" t="n">
        <v>1</v>
      </c>
      <c r="H76" s="12" t="n">
        <v>0</v>
      </c>
      <c r="I76" s="6" t="s">
        <v>341</v>
      </c>
      <c r="J76" s="6" t="n">
        <v>0</v>
      </c>
    </row>
    <row r="77" customFormat="false" ht="15" hidden="false" customHeight="false" outlineLevel="0" collapsed="false">
      <c r="A77" s="6" t="s">
        <v>195</v>
      </c>
      <c r="B77" s="6" t="s">
        <v>188</v>
      </c>
      <c r="C77" s="6" t="s">
        <v>362</v>
      </c>
      <c r="D77" s="6" t="s">
        <v>139</v>
      </c>
      <c r="E77" s="12" t="n">
        <v>2</v>
      </c>
      <c r="F77" s="12" t="n">
        <v>0</v>
      </c>
      <c r="G77" s="12" t="n">
        <v>1</v>
      </c>
      <c r="H77" s="12" t="n">
        <v>0</v>
      </c>
      <c r="I77" s="6" t="s">
        <v>341</v>
      </c>
      <c r="J77" s="6" t="n">
        <v>0</v>
      </c>
    </row>
    <row r="78" customFormat="false" ht="15" hidden="false" customHeight="false" outlineLevel="0" collapsed="false">
      <c r="A78" s="6" t="s">
        <v>195</v>
      </c>
      <c r="B78" s="6" t="s">
        <v>188</v>
      </c>
      <c r="C78" s="6" t="s">
        <v>363</v>
      </c>
      <c r="D78" s="6" t="s">
        <v>139</v>
      </c>
      <c r="E78" s="12" t="n">
        <v>2</v>
      </c>
      <c r="F78" s="12" t="n">
        <v>0</v>
      </c>
      <c r="G78" s="12" t="n">
        <v>1</v>
      </c>
      <c r="H78" s="12" t="n">
        <v>0</v>
      </c>
      <c r="I78" s="6" t="s">
        <v>341</v>
      </c>
      <c r="J78" s="6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4"/>
    <col collapsed="false" customWidth="true" hidden="false" outlineLevel="0" max="4" min="4" style="0" width="50"/>
    <col collapsed="false" customWidth="true" hidden="false" outlineLevel="0" max="5" min="5" style="0" width="22"/>
    <col collapsed="false" customWidth="true" hidden="false" outlineLevel="0" max="8" min="6" style="0" width="38"/>
    <col collapsed="false" customWidth="true" hidden="false" outlineLevel="0" max="9" min="9" style="0" width="18"/>
  </cols>
  <sheetData>
    <row r="2" customFormat="false" ht="24" hidden="false" customHeight="true" outlineLevel="0" collapsed="false">
      <c r="A2" s="1" t="s">
        <v>364</v>
      </c>
    </row>
    <row r="3" customFormat="false" ht="18" hidden="false" customHeight="true" outlineLevel="0" collapsed="false">
      <c r="A3" s="2" t="s">
        <v>365</v>
      </c>
      <c r="B3" s="2"/>
      <c r="C3" s="2"/>
      <c r="D3" s="2"/>
      <c r="E3" s="2"/>
      <c r="F3" s="2"/>
      <c r="G3" s="2"/>
      <c r="H3" s="2"/>
      <c r="I3" s="2"/>
    </row>
    <row r="6" customFormat="false" ht="15" hidden="false" customHeight="false" outlineLevel="0" collapsed="false">
      <c r="A6" s="5" t="s">
        <v>366</v>
      </c>
      <c r="B6" s="5" t="s">
        <v>367</v>
      </c>
      <c r="C6" s="5" t="s">
        <v>368</v>
      </c>
      <c r="D6" s="5" t="s">
        <v>369</v>
      </c>
      <c r="E6" s="5" t="s">
        <v>370</v>
      </c>
      <c r="F6" s="5" t="s">
        <v>371</v>
      </c>
      <c r="G6" s="5" t="s">
        <v>372</v>
      </c>
      <c r="H6" s="5" t="s">
        <v>373</v>
      </c>
      <c r="I6" s="5" t="s">
        <v>35</v>
      </c>
    </row>
    <row r="7" customFormat="false" ht="15" hidden="false" customHeight="false" outlineLevel="0" collapsed="false">
      <c r="A7" s="6" t="s">
        <v>374</v>
      </c>
      <c r="B7" s="11" t="n">
        <v>0.15</v>
      </c>
      <c r="C7" s="20" t="n">
        <f aca="false">B7*'Root Options'!$F$31</f>
        <v>8.60859076636935</v>
      </c>
      <c r="D7" s="6" t="s">
        <v>375</v>
      </c>
      <c r="E7" s="6" t="s">
        <v>87</v>
      </c>
      <c r="F7" s="6" t="s">
        <v>376</v>
      </c>
      <c r="G7" s="6" t="s">
        <v>377</v>
      </c>
      <c r="H7" s="6" t="s">
        <v>378</v>
      </c>
      <c r="I7" s="6" t="n">
        <v>0</v>
      </c>
    </row>
    <row r="8" customFormat="false" ht="15" hidden="false" customHeight="false" outlineLevel="0" collapsed="false">
      <c r="A8" s="6" t="s">
        <v>379</v>
      </c>
      <c r="B8" s="11" t="n">
        <v>0.35</v>
      </c>
      <c r="C8" s="20" t="n">
        <f aca="false">B8*'Root Options'!$F$31</f>
        <v>20.0867117881952</v>
      </c>
      <c r="D8" s="6" t="s">
        <v>380</v>
      </c>
      <c r="E8" s="6" t="s">
        <v>87</v>
      </c>
      <c r="F8" s="6" t="s">
        <v>381</v>
      </c>
      <c r="G8" s="6" t="s">
        <v>382</v>
      </c>
      <c r="H8" s="6" t="s">
        <v>383</v>
      </c>
      <c r="I8" s="6" t="n">
        <v>0</v>
      </c>
    </row>
    <row r="9" customFormat="false" ht="15" hidden="false" customHeight="false" outlineLevel="0" collapsed="false">
      <c r="A9" s="6" t="s">
        <v>384</v>
      </c>
      <c r="B9" s="11" t="n">
        <v>0.35</v>
      </c>
      <c r="C9" s="20" t="n">
        <f aca="false">B9*'Root Options'!$F$31</f>
        <v>20.0867117881952</v>
      </c>
      <c r="D9" s="6" t="s">
        <v>385</v>
      </c>
      <c r="E9" s="6" t="s">
        <v>87</v>
      </c>
      <c r="F9" s="6" t="s">
        <v>386</v>
      </c>
      <c r="G9" s="6" t="s">
        <v>387</v>
      </c>
      <c r="H9" s="6" t="s">
        <v>388</v>
      </c>
      <c r="I9" s="6" t="n">
        <v>0</v>
      </c>
    </row>
    <row r="10" customFormat="false" ht="15" hidden="false" customHeight="false" outlineLevel="0" collapsed="false">
      <c r="A10" s="6" t="s">
        <v>389</v>
      </c>
      <c r="B10" s="11" t="n">
        <v>0.15</v>
      </c>
      <c r="C10" s="20" t="n">
        <f aca="false">B10*'Root Options'!$F$31</f>
        <v>8.60859076636935</v>
      </c>
      <c r="D10" s="6" t="s">
        <v>390</v>
      </c>
      <c r="E10" s="6" t="s">
        <v>87</v>
      </c>
      <c r="F10" s="6" t="s">
        <v>391</v>
      </c>
      <c r="G10" s="6" t="s">
        <v>392</v>
      </c>
      <c r="H10" s="6" t="s">
        <v>393</v>
      </c>
      <c r="I10" s="6" t="n">
        <v>0</v>
      </c>
    </row>
    <row r="11" customFormat="false" ht="15" hidden="false" customHeight="false" outlineLevel="0" collapsed="false">
      <c r="A11" s="15" t="s">
        <v>102</v>
      </c>
      <c r="B11" s="17" t="n">
        <f aca="false">SUM(B7:B10)</f>
        <v>1</v>
      </c>
      <c r="C11" s="24" t="n">
        <f aca="false">SUM(C7:C10)</f>
        <v>57.390605109129</v>
      </c>
      <c r="D11" s="15" t="s">
        <v>394</v>
      </c>
      <c r="E11" s="15" t="s">
        <v>395</v>
      </c>
      <c r="F11" s="15" t="s">
        <v>396</v>
      </c>
      <c r="G11" s="15" t="s">
        <v>397</v>
      </c>
      <c r="H11" s="15" t="s">
        <v>398</v>
      </c>
      <c r="I11" s="15" t="n">
        <v>0</v>
      </c>
    </row>
    <row r="13" customFormat="false" ht="15" hidden="false" customHeight="false" outlineLevel="0" collapsed="false">
      <c r="A13" s="3" t="s">
        <v>399</v>
      </c>
      <c r="B13" s="3"/>
      <c r="C13" s="3"/>
      <c r="D13" s="3"/>
      <c r="E13" s="3"/>
      <c r="F13" s="3"/>
      <c r="G13" s="3"/>
      <c r="H13" s="3"/>
      <c r="I13" s="3"/>
    </row>
    <row r="14" customFormat="false" ht="23.85" hidden="false" customHeight="false" outlineLevel="0" collapsed="false">
      <c r="A14" s="5" t="s">
        <v>400</v>
      </c>
      <c r="B14" s="5" t="s">
        <v>401</v>
      </c>
      <c r="C14" s="5" t="s">
        <v>402</v>
      </c>
      <c r="D14" s="5" t="s">
        <v>403</v>
      </c>
      <c r="E14" s="5" t="s">
        <v>404</v>
      </c>
      <c r="F14" s="5" t="s">
        <v>405</v>
      </c>
    </row>
    <row r="15" customFormat="false" ht="15" hidden="false" customHeight="false" outlineLevel="0" collapsed="false">
      <c r="A15" s="6" t="s">
        <v>406</v>
      </c>
      <c r="B15" s="25" t="n">
        <v>0</v>
      </c>
      <c r="C15" s="20" t="n">
        <f aca="false">B15*$C$11</f>
        <v>0</v>
      </c>
      <c r="D15" s="20" t="n">
        <f aca="false">$C$11-C15</f>
        <v>57.390605109129</v>
      </c>
      <c r="E15" s="20" t="n">
        <f aca="false">'Root Options'!$G$31</f>
        <v>52.609394890871</v>
      </c>
      <c r="F15" s="6" t="s">
        <v>407</v>
      </c>
    </row>
    <row r="16" customFormat="false" ht="15" hidden="false" customHeight="false" outlineLevel="0" collapsed="false">
      <c r="A16" s="6" t="s">
        <v>408</v>
      </c>
      <c r="B16" s="25" t="n">
        <v>0.15</v>
      </c>
      <c r="C16" s="20" t="n">
        <f aca="false">B16*$C$11</f>
        <v>8.60859076636935</v>
      </c>
      <c r="D16" s="20" t="n">
        <f aca="false">$C$11-C16</f>
        <v>48.7820143427597</v>
      </c>
      <c r="E16" s="20" t="n">
        <f aca="false">'Root Options'!$G$31</f>
        <v>52.609394890871</v>
      </c>
      <c r="F16" s="6" t="s">
        <v>409</v>
      </c>
    </row>
    <row r="17" customFormat="false" ht="15" hidden="false" customHeight="false" outlineLevel="0" collapsed="false">
      <c r="A17" s="6" t="s">
        <v>410</v>
      </c>
      <c r="B17" s="25" t="n">
        <v>0.5</v>
      </c>
      <c r="C17" s="20" t="n">
        <f aca="false">B17*$C$11</f>
        <v>28.6953025545645</v>
      </c>
      <c r="D17" s="20" t="n">
        <f aca="false">$C$11-C17</f>
        <v>28.6953025545645</v>
      </c>
      <c r="E17" s="20" t="n">
        <f aca="false">'Root Options'!$G$31</f>
        <v>52.609394890871</v>
      </c>
      <c r="F17" s="6" t="s">
        <v>411</v>
      </c>
    </row>
    <row r="18" customFormat="false" ht="15" hidden="false" customHeight="false" outlineLevel="0" collapsed="false">
      <c r="A18" s="6" t="s">
        <v>412</v>
      </c>
      <c r="B18" s="25" t="n">
        <v>0.85</v>
      </c>
      <c r="C18" s="20" t="n">
        <f aca="false">B18*$C$11</f>
        <v>48.7820143427596</v>
      </c>
      <c r="D18" s="20" t="n">
        <f aca="false">$C$11-C18</f>
        <v>8.60859076636935</v>
      </c>
      <c r="E18" s="20" t="n">
        <f aca="false">'Root Options'!$G$31</f>
        <v>52.609394890871</v>
      </c>
      <c r="F18" s="6" t="s">
        <v>413</v>
      </c>
    </row>
    <row r="19" customFormat="false" ht="15" hidden="false" customHeight="false" outlineLevel="0" collapsed="false">
      <c r="A19" s="6" t="s">
        <v>414</v>
      </c>
      <c r="B19" s="25" t="n">
        <v>1</v>
      </c>
      <c r="C19" s="20" t="n">
        <f aca="false">B19*$C$11</f>
        <v>57.390605109129</v>
      </c>
      <c r="D19" s="20" t="n">
        <f aca="false">$C$11-C19</f>
        <v>0</v>
      </c>
      <c r="E19" s="20" t="n">
        <f aca="false">'Root Options'!$G$31</f>
        <v>52.609394890871</v>
      </c>
      <c r="F19" s="6" t="s">
        <v>415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5" min="4" style="0" width="29"/>
    <col collapsed="false" customWidth="true" hidden="false" outlineLevel="0" max="7" min="6" style="0" width="39"/>
    <col collapsed="false" customWidth="true" hidden="false" outlineLevel="0" max="8" min="8" style="0" width="16"/>
    <col collapsed="false" customWidth="true" hidden="false" outlineLevel="0" max="9" min="9" style="0" width="18"/>
  </cols>
  <sheetData>
    <row r="2" customFormat="false" ht="24" hidden="false" customHeight="true" outlineLevel="0" collapsed="false">
      <c r="A2" s="1" t="s">
        <v>416</v>
      </c>
    </row>
    <row r="3" customFormat="false" ht="18" hidden="false" customHeight="true" outlineLevel="0" collapsed="false">
      <c r="A3" s="2" t="s">
        <v>417</v>
      </c>
      <c r="B3" s="2"/>
      <c r="C3" s="2"/>
      <c r="D3" s="2"/>
      <c r="E3" s="2"/>
      <c r="F3" s="2"/>
      <c r="G3" s="2"/>
      <c r="H3" s="2"/>
      <c r="I3" s="2"/>
    </row>
    <row r="6" customFormat="false" ht="15" hidden="false" customHeight="false" outlineLevel="0" collapsed="false">
      <c r="A6" s="5" t="s">
        <v>209</v>
      </c>
      <c r="B6" s="5" t="s">
        <v>418</v>
      </c>
      <c r="C6" s="5" t="s">
        <v>419</v>
      </c>
      <c r="D6" s="5" t="s">
        <v>420</v>
      </c>
      <c r="E6" s="5" t="s">
        <v>421</v>
      </c>
      <c r="F6" s="5" t="s">
        <v>422</v>
      </c>
      <c r="G6" s="5" t="s">
        <v>423</v>
      </c>
      <c r="H6" s="5" t="s">
        <v>424</v>
      </c>
      <c r="I6" s="5" t="s">
        <v>35</v>
      </c>
    </row>
    <row r="7" customFormat="false" ht="15" hidden="false" customHeight="false" outlineLevel="0" collapsed="false">
      <c r="A7" s="6" t="s">
        <v>425</v>
      </c>
      <c r="B7" s="6" t="s">
        <v>426</v>
      </c>
      <c r="C7" s="6" t="s">
        <v>53</v>
      </c>
      <c r="D7" s="6" t="s">
        <v>427</v>
      </c>
      <c r="E7" s="6" t="s">
        <v>428</v>
      </c>
      <c r="F7" s="6" t="s">
        <v>429</v>
      </c>
      <c r="G7" s="6" t="s">
        <v>430</v>
      </c>
      <c r="H7" s="6" t="s">
        <v>431</v>
      </c>
      <c r="I7" s="6" t="n">
        <v>0</v>
      </c>
    </row>
    <row r="8" customFormat="false" ht="15" hidden="false" customHeight="false" outlineLevel="0" collapsed="false">
      <c r="A8" s="6" t="s">
        <v>431</v>
      </c>
      <c r="B8" s="6" t="s">
        <v>432</v>
      </c>
      <c r="C8" s="6" t="s">
        <v>433</v>
      </c>
      <c r="D8" s="6" t="s">
        <v>434</v>
      </c>
      <c r="E8" s="6" t="s">
        <v>435</v>
      </c>
      <c r="F8" s="6" t="s">
        <v>436</v>
      </c>
      <c r="G8" s="6" t="s">
        <v>437</v>
      </c>
      <c r="H8" s="6" t="s">
        <v>438</v>
      </c>
      <c r="I8" s="6" t="n">
        <v>0</v>
      </c>
    </row>
    <row r="9" customFormat="false" ht="15" hidden="false" customHeight="false" outlineLevel="0" collapsed="false">
      <c r="A9" s="6" t="s">
        <v>438</v>
      </c>
      <c r="B9" s="6" t="s">
        <v>439</v>
      </c>
      <c r="C9" s="6" t="s">
        <v>440</v>
      </c>
      <c r="D9" s="6" t="s">
        <v>434</v>
      </c>
      <c r="E9" s="6" t="s">
        <v>427</v>
      </c>
      <c r="F9" s="6" t="s">
        <v>441</v>
      </c>
      <c r="G9" s="6" t="s">
        <v>442</v>
      </c>
      <c r="H9" s="6" t="s">
        <v>443</v>
      </c>
      <c r="I9" s="6" t="n">
        <v>0</v>
      </c>
    </row>
    <row r="10" customFormat="false" ht="15" hidden="false" customHeight="false" outlineLevel="0" collapsed="false">
      <c r="A10" s="6" t="s">
        <v>443</v>
      </c>
      <c r="B10" s="6" t="s">
        <v>444</v>
      </c>
      <c r="C10" s="6" t="s">
        <v>445</v>
      </c>
      <c r="D10" s="6" t="s">
        <v>446</v>
      </c>
      <c r="E10" s="6" t="s">
        <v>447</v>
      </c>
      <c r="F10" s="6" t="s">
        <v>448</v>
      </c>
      <c r="G10" s="6" t="s">
        <v>449</v>
      </c>
      <c r="H10" s="6" t="s">
        <v>450</v>
      </c>
      <c r="I10" s="6" t="n">
        <v>0</v>
      </c>
    </row>
    <row r="11" customFormat="false" ht="15" hidden="false" customHeight="false" outlineLevel="0" collapsed="false">
      <c r="A11" s="6" t="s">
        <v>450</v>
      </c>
      <c r="B11" s="6" t="s">
        <v>451</v>
      </c>
      <c r="C11" s="6" t="s">
        <v>452</v>
      </c>
      <c r="D11" s="6" t="s">
        <v>446</v>
      </c>
      <c r="E11" s="6" t="s">
        <v>453</v>
      </c>
      <c r="F11" s="6" t="s">
        <v>454</v>
      </c>
      <c r="G11" s="6" t="s">
        <v>455</v>
      </c>
      <c r="H11" s="6" t="s">
        <v>456</v>
      </c>
      <c r="I11" s="6" t="n">
        <v>0</v>
      </c>
    </row>
    <row r="12" customFormat="false" ht="15" hidden="false" customHeight="false" outlineLevel="0" collapsed="false">
      <c r="A12" s="6" t="s">
        <v>456</v>
      </c>
      <c r="B12" s="6" t="s">
        <v>457</v>
      </c>
      <c r="C12" s="6" t="s">
        <v>458</v>
      </c>
      <c r="D12" s="6" t="s">
        <v>447</v>
      </c>
      <c r="E12" s="6" t="s">
        <v>459</v>
      </c>
      <c r="F12" s="6" t="s">
        <v>460</v>
      </c>
      <c r="G12" s="6" t="s">
        <v>461</v>
      </c>
      <c r="H12" s="6" t="s">
        <v>462</v>
      </c>
      <c r="I12" s="6" t="n">
        <v>0</v>
      </c>
    </row>
    <row r="13" customFormat="false" ht="15" hidden="false" customHeight="false" outlineLevel="0" collapsed="false">
      <c r="A13" s="6" t="s">
        <v>462</v>
      </c>
      <c r="B13" s="6" t="s">
        <v>463</v>
      </c>
      <c r="C13" s="6" t="s">
        <v>464</v>
      </c>
      <c r="D13" s="6" t="s">
        <v>465</v>
      </c>
      <c r="E13" s="6" t="s">
        <v>99</v>
      </c>
      <c r="F13" s="6" t="s">
        <v>466</v>
      </c>
      <c r="G13" s="6" t="s">
        <v>467</v>
      </c>
      <c r="H13" s="6" t="s">
        <v>468</v>
      </c>
      <c r="I13" s="6" t="n">
        <v>0</v>
      </c>
    </row>
    <row r="14" customFormat="false" ht="15" hidden="false" customHeight="false" outlineLevel="0" collapsed="false">
      <c r="A14" s="6" t="s">
        <v>468</v>
      </c>
      <c r="B14" s="6" t="s">
        <v>469</v>
      </c>
      <c r="C14" s="6" t="s">
        <v>470</v>
      </c>
      <c r="D14" s="6" t="s">
        <v>434</v>
      </c>
      <c r="E14" s="6" t="s">
        <v>471</v>
      </c>
      <c r="F14" s="6" t="s">
        <v>472</v>
      </c>
      <c r="G14" s="6" t="s">
        <v>473</v>
      </c>
      <c r="H14" s="6" t="s">
        <v>474</v>
      </c>
      <c r="I14" s="6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3" min="2" style="0" width="34"/>
    <col collapsed="false" customWidth="true" hidden="false" outlineLevel="0" max="4" min="4" style="0" width="29"/>
    <col collapsed="false" customWidth="true" hidden="false" outlineLevel="0" max="5" min="5" style="0" width="36"/>
    <col collapsed="false" customWidth="true" hidden="false" outlineLevel="0" max="7" min="6" style="0" width="31"/>
    <col collapsed="false" customWidth="true" hidden="false" outlineLevel="0" max="8" min="8" style="0" width="18"/>
  </cols>
  <sheetData>
    <row r="2" customFormat="false" ht="24" hidden="false" customHeight="true" outlineLevel="0" collapsed="false">
      <c r="A2" s="1" t="s">
        <v>475</v>
      </c>
    </row>
    <row r="3" customFormat="false" ht="18" hidden="false" customHeight="true" outlineLevel="0" collapsed="false">
      <c r="A3" s="2" t="s">
        <v>476</v>
      </c>
      <c r="B3" s="2"/>
      <c r="C3" s="2"/>
      <c r="D3" s="2"/>
      <c r="E3" s="2"/>
      <c r="F3" s="2"/>
      <c r="G3" s="2"/>
      <c r="H3" s="2"/>
    </row>
    <row r="6" customFormat="false" ht="15" hidden="false" customHeight="false" outlineLevel="0" collapsed="false">
      <c r="A6" s="5" t="s">
        <v>475</v>
      </c>
      <c r="B6" s="5" t="s">
        <v>477</v>
      </c>
      <c r="C6" s="5" t="s">
        <v>478</v>
      </c>
      <c r="D6" s="5" t="s">
        <v>479</v>
      </c>
      <c r="E6" s="5" t="s">
        <v>480</v>
      </c>
      <c r="F6" s="5" t="s">
        <v>481</v>
      </c>
      <c r="G6" s="5" t="s">
        <v>482</v>
      </c>
      <c r="H6" s="5" t="s">
        <v>483</v>
      </c>
    </row>
    <row r="7" customFormat="false" ht="15" hidden="false" customHeight="false" outlineLevel="0" collapsed="false">
      <c r="A7" s="6" t="s">
        <v>484</v>
      </c>
      <c r="B7" s="6" t="s">
        <v>485</v>
      </c>
      <c r="C7" s="6" t="s">
        <v>486</v>
      </c>
      <c r="D7" s="6" t="s">
        <v>487</v>
      </c>
      <c r="E7" s="6" t="s">
        <v>488</v>
      </c>
      <c r="F7" s="6" t="s">
        <v>489</v>
      </c>
      <c r="G7" s="6" t="s">
        <v>490</v>
      </c>
      <c r="H7" s="6" t="n">
        <v>0</v>
      </c>
    </row>
    <row r="8" customFormat="false" ht="15" hidden="false" customHeight="false" outlineLevel="0" collapsed="false">
      <c r="A8" s="6" t="s">
        <v>491</v>
      </c>
      <c r="B8" s="6" t="s">
        <v>492</v>
      </c>
      <c r="C8" s="6" t="s">
        <v>493</v>
      </c>
      <c r="D8" s="6" t="s">
        <v>494</v>
      </c>
      <c r="E8" s="6" t="s">
        <v>495</v>
      </c>
      <c r="F8" s="6" t="s">
        <v>496</v>
      </c>
      <c r="G8" s="6" t="s">
        <v>497</v>
      </c>
      <c r="H8" s="6" t="n">
        <v>0</v>
      </c>
    </row>
    <row r="9" customFormat="false" ht="15" hidden="false" customHeight="false" outlineLevel="0" collapsed="false">
      <c r="A9" s="6" t="s">
        <v>434</v>
      </c>
      <c r="B9" s="6" t="s">
        <v>498</v>
      </c>
      <c r="C9" s="6" t="s">
        <v>499</v>
      </c>
      <c r="D9" s="6" t="s">
        <v>500</v>
      </c>
      <c r="E9" s="6" t="s">
        <v>501</v>
      </c>
      <c r="F9" s="6" t="s">
        <v>502</v>
      </c>
      <c r="G9" s="6" t="s">
        <v>503</v>
      </c>
      <c r="H9" s="6" t="n">
        <v>0</v>
      </c>
    </row>
    <row r="10" customFormat="false" ht="15" hidden="false" customHeight="false" outlineLevel="0" collapsed="false">
      <c r="A10" s="6" t="s">
        <v>504</v>
      </c>
      <c r="B10" s="6" t="s">
        <v>505</v>
      </c>
      <c r="C10" s="6" t="s">
        <v>506</v>
      </c>
      <c r="D10" s="6" t="s">
        <v>507</v>
      </c>
      <c r="E10" s="6" t="s">
        <v>508</v>
      </c>
      <c r="F10" s="6" t="s">
        <v>509</v>
      </c>
      <c r="G10" s="6" t="s">
        <v>510</v>
      </c>
      <c r="H10" s="6" t="n">
        <v>0</v>
      </c>
    </row>
    <row r="11" customFormat="false" ht="15" hidden="false" customHeight="false" outlineLevel="0" collapsed="false">
      <c r="A11" s="6" t="s">
        <v>8</v>
      </c>
      <c r="B11" s="6" t="s">
        <v>511</v>
      </c>
      <c r="C11" s="6" t="s">
        <v>512</v>
      </c>
      <c r="D11" s="6" t="s">
        <v>513</v>
      </c>
      <c r="E11" s="6" t="s">
        <v>514</v>
      </c>
      <c r="F11" s="6" t="s">
        <v>515</v>
      </c>
      <c r="G11" s="6" t="s">
        <v>516</v>
      </c>
      <c r="H11" s="6" t="n">
        <v>0</v>
      </c>
    </row>
    <row r="12" customFormat="false" ht="15" hidden="false" customHeight="false" outlineLevel="0" collapsed="false">
      <c r="A12" s="6" t="s">
        <v>96</v>
      </c>
      <c r="B12" s="6" t="s">
        <v>517</v>
      </c>
      <c r="C12" s="6" t="s">
        <v>518</v>
      </c>
      <c r="D12" s="6" t="s">
        <v>519</v>
      </c>
      <c r="E12" s="6" t="s">
        <v>520</v>
      </c>
      <c r="F12" s="6" t="s">
        <v>521</v>
      </c>
      <c r="G12" s="6" t="s">
        <v>522</v>
      </c>
      <c r="H12" s="6" t="n">
        <v>0</v>
      </c>
    </row>
    <row r="13" customFormat="false" ht="15" hidden="false" customHeight="false" outlineLevel="0" collapsed="false">
      <c r="A13" s="6" t="s">
        <v>459</v>
      </c>
      <c r="B13" s="6" t="s">
        <v>523</v>
      </c>
      <c r="C13" s="6" t="s">
        <v>524</v>
      </c>
      <c r="D13" s="6" t="s">
        <v>525</v>
      </c>
      <c r="E13" s="6" t="s">
        <v>526</v>
      </c>
      <c r="F13" s="6" t="s">
        <v>527</v>
      </c>
      <c r="G13" s="6" t="s">
        <v>528</v>
      </c>
      <c r="H13" s="6" t="n">
        <v>0</v>
      </c>
    </row>
    <row r="14" customFormat="false" ht="15" hidden="false" customHeight="false" outlineLevel="0" collapsed="false">
      <c r="A14" s="6" t="s">
        <v>465</v>
      </c>
      <c r="B14" s="6" t="s">
        <v>529</v>
      </c>
      <c r="C14" s="6" t="s">
        <v>467</v>
      </c>
      <c r="D14" s="6" t="s">
        <v>530</v>
      </c>
      <c r="E14" s="6" t="s">
        <v>531</v>
      </c>
      <c r="F14" s="6" t="s">
        <v>532</v>
      </c>
      <c r="G14" s="6" t="s">
        <v>533</v>
      </c>
      <c r="H14" s="6" t="n">
        <v>0</v>
      </c>
    </row>
    <row r="15" customFormat="false" ht="15" hidden="false" customHeight="false" outlineLevel="0" collapsed="false">
      <c r="A15" s="6" t="s">
        <v>99</v>
      </c>
      <c r="B15" s="6" t="s">
        <v>534</v>
      </c>
      <c r="C15" s="6" t="s">
        <v>535</v>
      </c>
      <c r="D15" s="6" t="s">
        <v>536</v>
      </c>
      <c r="E15" s="6" t="s">
        <v>537</v>
      </c>
      <c r="F15" s="6" t="s">
        <v>538</v>
      </c>
      <c r="G15" s="6" t="s">
        <v>539</v>
      </c>
      <c r="H15" s="6" t="n">
        <v>0</v>
      </c>
    </row>
    <row r="16" customFormat="false" ht="15" hidden="false" customHeight="false" outlineLevel="0" collapsed="false">
      <c r="A16" s="6" t="s">
        <v>540</v>
      </c>
      <c r="B16" s="6" t="s">
        <v>541</v>
      </c>
      <c r="C16" s="6" t="s">
        <v>542</v>
      </c>
      <c r="D16" s="6" t="s">
        <v>543</v>
      </c>
      <c r="E16" s="6" t="s">
        <v>544</v>
      </c>
      <c r="F16" s="6" t="s">
        <v>545</v>
      </c>
      <c r="G16" s="6" t="s">
        <v>546</v>
      </c>
      <c r="H16" s="6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33"/>
    <col collapsed="false" customWidth="true" hidden="false" outlineLevel="0" max="5" min="5" style="0" width="29"/>
    <col collapsed="false" customWidth="true" hidden="false" outlineLevel="0" max="6" min="6" style="0" width="31"/>
    <col collapsed="false" customWidth="true" hidden="false" outlineLevel="0" max="7" min="7" style="0" width="32"/>
    <col collapsed="false" customWidth="true" hidden="false" outlineLevel="0" max="8" min="8" style="0" width="31"/>
    <col collapsed="false" customWidth="true" hidden="false" outlineLevel="0" max="9" min="9" style="0" width="18"/>
  </cols>
  <sheetData>
    <row r="2" customFormat="false" ht="24" hidden="false" customHeight="true" outlineLevel="0" collapsed="false">
      <c r="A2" s="1" t="s">
        <v>547</v>
      </c>
    </row>
    <row r="3" customFormat="false" ht="18" hidden="false" customHeight="true" outlineLevel="0" collapsed="false">
      <c r="A3" s="2" t="s">
        <v>548</v>
      </c>
      <c r="B3" s="2"/>
      <c r="C3" s="2"/>
      <c r="D3" s="2"/>
      <c r="E3" s="2"/>
      <c r="F3" s="2"/>
      <c r="G3" s="2"/>
      <c r="H3" s="2"/>
      <c r="I3" s="2"/>
    </row>
    <row r="6" customFormat="false" ht="15" hidden="false" customHeight="false" outlineLevel="0" collapsed="false">
      <c r="A6" s="5" t="s">
        <v>549</v>
      </c>
      <c r="B6" s="5" t="s">
        <v>550</v>
      </c>
      <c r="C6" s="5" t="s">
        <v>551</v>
      </c>
      <c r="D6" s="5" t="s">
        <v>552</v>
      </c>
      <c r="E6" s="5" t="s">
        <v>98</v>
      </c>
      <c r="F6" s="5" t="s">
        <v>553</v>
      </c>
      <c r="G6" s="5" t="s">
        <v>554</v>
      </c>
      <c r="H6" s="5" t="s">
        <v>555</v>
      </c>
      <c r="I6" s="5" t="s">
        <v>35</v>
      </c>
    </row>
    <row r="7" customFormat="false" ht="15" hidden="false" customHeight="false" outlineLevel="0" collapsed="false">
      <c r="A7" s="6" t="s">
        <v>556</v>
      </c>
      <c r="B7" s="6" t="s">
        <v>557</v>
      </c>
      <c r="C7" s="6" t="s">
        <v>558</v>
      </c>
      <c r="D7" s="6" t="s">
        <v>559</v>
      </c>
      <c r="E7" s="6" t="s">
        <v>560</v>
      </c>
      <c r="F7" s="6" t="s">
        <v>561</v>
      </c>
      <c r="G7" s="6" t="s">
        <v>515</v>
      </c>
      <c r="H7" s="6" t="s">
        <v>562</v>
      </c>
      <c r="I7" s="6" t="n">
        <v>0</v>
      </c>
    </row>
    <row r="8" customFormat="false" ht="15" hidden="false" customHeight="false" outlineLevel="0" collapsed="false">
      <c r="A8" s="6" t="s">
        <v>563</v>
      </c>
      <c r="B8" s="6" t="s">
        <v>564</v>
      </c>
      <c r="C8" s="6" t="s">
        <v>565</v>
      </c>
      <c r="D8" s="6" t="s">
        <v>566</v>
      </c>
      <c r="E8" s="6" t="s">
        <v>567</v>
      </c>
      <c r="F8" s="6" t="s">
        <v>568</v>
      </c>
      <c r="G8" s="6" t="s">
        <v>569</v>
      </c>
      <c r="H8" s="6" t="s">
        <v>570</v>
      </c>
      <c r="I8" s="6" t="n">
        <v>0</v>
      </c>
    </row>
    <row r="9" customFormat="false" ht="15" hidden="false" customHeight="false" outlineLevel="0" collapsed="false">
      <c r="A9" s="6" t="s">
        <v>571</v>
      </c>
      <c r="B9" s="6" t="s">
        <v>572</v>
      </c>
      <c r="C9" s="6" t="s">
        <v>565</v>
      </c>
      <c r="D9" s="6" t="s">
        <v>559</v>
      </c>
      <c r="E9" s="6" t="s">
        <v>573</v>
      </c>
      <c r="F9" s="6" t="s">
        <v>574</v>
      </c>
      <c r="G9" s="6" t="s">
        <v>575</v>
      </c>
      <c r="H9" s="6" t="s">
        <v>570</v>
      </c>
      <c r="I9" s="6" t="n">
        <v>0</v>
      </c>
    </row>
    <row r="10" customFormat="false" ht="15" hidden="false" customHeight="false" outlineLevel="0" collapsed="false">
      <c r="A10" s="6" t="s">
        <v>576</v>
      </c>
      <c r="B10" s="6" t="s">
        <v>341</v>
      </c>
      <c r="C10" s="6" t="s">
        <v>577</v>
      </c>
      <c r="D10" s="6" t="s">
        <v>566</v>
      </c>
      <c r="E10" s="6" t="s">
        <v>578</v>
      </c>
      <c r="F10" s="6" t="s">
        <v>579</v>
      </c>
      <c r="G10" s="6" t="s">
        <v>580</v>
      </c>
      <c r="H10" s="6" t="s">
        <v>581</v>
      </c>
      <c r="I10" s="6" t="n">
        <v>0</v>
      </c>
    </row>
    <row r="11" customFormat="false" ht="15" hidden="false" customHeight="false" outlineLevel="0" collapsed="false">
      <c r="A11" s="6" t="s">
        <v>582</v>
      </c>
      <c r="B11" s="6" t="s">
        <v>583</v>
      </c>
      <c r="C11" s="6" t="s">
        <v>584</v>
      </c>
      <c r="D11" s="6" t="s">
        <v>585</v>
      </c>
      <c r="E11" s="6" t="s">
        <v>586</v>
      </c>
      <c r="F11" s="6" t="s">
        <v>587</v>
      </c>
      <c r="G11" s="6" t="s">
        <v>588</v>
      </c>
      <c r="H11" s="6" t="s">
        <v>589</v>
      </c>
      <c r="I11" s="6" t="n">
        <v>0</v>
      </c>
    </row>
    <row r="12" customFormat="false" ht="15" hidden="false" customHeight="false" outlineLevel="0" collapsed="false">
      <c r="A12" s="6" t="s">
        <v>590</v>
      </c>
      <c r="B12" s="6" t="s">
        <v>591</v>
      </c>
      <c r="C12" s="6" t="s">
        <v>592</v>
      </c>
      <c r="D12" s="6" t="s">
        <v>593</v>
      </c>
      <c r="E12" s="6" t="s">
        <v>594</v>
      </c>
      <c r="F12" s="6" t="s">
        <v>595</v>
      </c>
      <c r="G12" s="6" t="s">
        <v>596</v>
      </c>
      <c r="H12" s="6" t="s">
        <v>597</v>
      </c>
      <c r="I12" s="6" t="n">
        <v>0</v>
      </c>
    </row>
    <row r="13" customFormat="false" ht="15" hidden="false" customHeight="false" outlineLevel="0" collapsed="false">
      <c r="A13" s="6" t="s">
        <v>598</v>
      </c>
      <c r="B13" s="6" t="s">
        <v>599</v>
      </c>
      <c r="C13" s="6" t="s">
        <v>592</v>
      </c>
      <c r="D13" s="6" t="s">
        <v>600</v>
      </c>
      <c r="E13" s="6" t="s">
        <v>601</v>
      </c>
      <c r="F13" s="6" t="s">
        <v>602</v>
      </c>
      <c r="G13" s="6" t="s">
        <v>603</v>
      </c>
      <c r="H13" s="6" t="s">
        <v>604</v>
      </c>
      <c r="I13" s="6" t="n">
        <v>0</v>
      </c>
    </row>
    <row r="14" customFormat="false" ht="15" hidden="false" customHeight="false" outlineLevel="0" collapsed="false">
      <c r="A14" s="6" t="s">
        <v>605</v>
      </c>
      <c r="B14" s="6" t="s">
        <v>606</v>
      </c>
      <c r="C14" s="6" t="s">
        <v>607</v>
      </c>
      <c r="D14" s="6" t="s">
        <v>608</v>
      </c>
      <c r="E14" s="6" t="s">
        <v>609</v>
      </c>
      <c r="F14" s="6" t="s">
        <v>610</v>
      </c>
      <c r="G14" s="6" t="s">
        <v>611</v>
      </c>
      <c r="H14" s="6" t="s">
        <v>612</v>
      </c>
      <c r="I14" s="6" t="n">
        <v>0</v>
      </c>
    </row>
    <row r="15" customFormat="false" ht="23.85" hidden="false" customHeight="false" outlineLevel="0" collapsed="false">
      <c r="A15" s="6" t="s">
        <v>613</v>
      </c>
      <c r="B15" s="6" t="s">
        <v>614</v>
      </c>
      <c r="C15" s="6" t="s">
        <v>615</v>
      </c>
      <c r="D15" s="6" t="s">
        <v>616</v>
      </c>
      <c r="E15" s="6" t="s">
        <v>617</v>
      </c>
      <c r="F15" s="6" t="s">
        <v>618</v>
      </c>
      <c r="G15" s="6" t="s">
        <v>619</v>
      </c>
      <c r="H15" s="6" t="s">
        <v>620</v>
      </c>
      <c r="I15" s="6" t="n">
        <v>0</v>
      </c>
    </row>
    <row r="16" customFormat="false" ht="15" hidden="false" customHeight="false" outlineLevel="0" collapsed="false">
      <c r="A16" s="6" t="s">
        <v>621</v>
      </c>
      <c r="B16" s="6" t="s">
        <v>622</v>
      </c>
      <c r="C16" s="6" t="s">
        <v>558</v>
      </c>
      <c r="D16" s="6" t="s">
        <v>623</v>
      </c>
      <c r="E16" s="6" t="s">
        <v>624</v>
      </c>
      <c r="F16" s="6" t="s">
        <v>625</v>
      </c>
      <c r="G16" s="6" t="s">
        <v>626</v>
      </c>
      <c r="H16" s="6" t="s">
        <v>627</v>
      </c>
      <c r="I16" s="6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34"/>
    <col collapsed="false" customWidth="true" hidden="false" outlineLevel="0" max="6" min="6" style="0" width="28"/>
    <col collapsed="false" customWidth="true" hidden="false" outlineLevel="0" max="7" min="7" style="0" width="20"/>
    <col collapsed="false" customWidth="true" hidden="false" outlineLevel="0" max="8" min="8" style="0" width="18"/>
  </cols>
  <sheetData>
    <row r="2" customFormat="false" ht="24" hidden="false" customHeight="true" outlineLevel="0" collapsed="false">
      <c r="A2" s="1" t="s">
        <v>628</v>
      </c>
    </row>
    <row r="3" customFormat="false" ht="18" hidden="false" customHeight="true" outlineLevel="0" collapsed="false">
      <c r="A3" s="2" t="s">
        <v>629</v>
      </c>
      <c r="B3" s="2"/>
      <c r="C3" s="2"/>
      <c r="D3" s="2"/>
      <c r="E3" s="2"/>
      <c r="F3" s="2"/>
      <c r="G3" s="2"/>
      <c r="H3" s="2"/>
    </row>
    <row r="6" customFormat="false" ht="15" hidden="false" customHeight="false" outlineLevel="0" collapsed="false">
      <c r="A6" s="5" t="s">
        <v>630</v>
      </c>
      <c r="B6" s="5" t="s">
        <v>631</v>
      </c>
      <c r="C6" s="5" t="s">
        <v>632</v>
      </c>
      <c r="D6" s="5" t="s">
        <v>633</v>
      </c>
      <c r="E6" s="5" t="s">
        <v>634</v>
      </c>
      <c r="F6" s="5" t="s">
        <v>635</v>
      </c>
      <c r="G6" s="5" t="s">
        <v>636</v>
      </c>
      <c r="H6" s="5" t="s">
        <v>637</v>
      </c>
    </row>
    <row r="7" customFormat="false" ht="15" hidden="false" customHeight="false" outlineLevel="0" collapsed="false">
      <c r="A7" s="6" t="s">
        <v>638</v>
      </c>
      <c r="B7" s="6" t="s">
        <v>639</v>
      </c>
      <c r="C7" s="6" t="s">
        <v>640</v>
      </c>
      <c r="D7" s="6" t="s">
        <v>641</v>
      </c>
      <c r="E7" s="6" t="s">
        <v>642</v>
      </c>
      <c r="F7" s="6" t="s">
        <v>643</v>
      </c>
      <c r="G7" s="6" t="s">
        <v>87</v>
      </c>
      <c r="H7" s="6" t="s">
        <v>139</v>
      </c>
    </row>
    <row r="8" customFormat="false" ht="15" hidden="false" customHeight="false" outlineLevel="0" collapsed="false">
      <c r="A8" s="6" t="s">
        <v>644</v>
      </c>
      <c r="B8" s="6" t="s">
        <v>645</v>
      </c>
      <c r="C8" s="6" t="s">
        <v>646</v>
      </c>
      <c r="D8" s="6" t="s">
        <v>647</v>
      </c>
      <c r="E8" s="6" t="s">
        <v>648</v>
      </c>
      <c r="F8" s="6" t="s">
        <v>649</v>
      </c>
      <c r="G8" s="6" t="s">
        <v>87</v>
      </c>
      <c r="H8" s="6" t="s">
        <v>139</v>
      </c>
    </row>
    <row r="9" customFormat="false" ht="15" hidden="false" customHeight="false" outlineLevel="0" collapsed="false">
      <c r="A9" s="6" t="s">
        <v>650</v>
      </c>
      <c r="B9" s="6" t="s">
        <v>651</v>
      </c>
      <c r="C9" s="6" t="s">
        <v>652</v>
      </c>
      <c r="D9" s="6" t="s">
        <v>653</v>
      </c>
      <c r="E9" s="6" t="s">
        <v>654</v>
      </c>
      <c r="F9" s="6" t="s">
        <v>540</v>
      </c>
      <c r="G9" s="6" t="s">
        <v>87</v>
      </c>
      <c r="H9" s="6" t="s">
        <v>139</v>
      </c>
    </row>
    <row r="10" customFormat="false" ht="15" hidden="false" customHeight="false" outlineLevel="0" collapsed="false">
      <c r="A10" s="6" t="s">
        <v>655</v>
      </c>
      <c r="B10" s="6" t="s">
        <v>656</v>
      </c>
      <c r="C10" s="6" t="s">
        <v>657</v>
      </c>
      <c r="D10" s="6" t="s">
        <v>658</v>
      </c>
      <c r="E10" s="6" t="s">
        <v>659</v>
      </c>
      <c r="F10" s="6" t="s">
        <v>447</v>
      </c>
      <c r="G10" s="6" t="s">
        <v>87</v>
      </c>
      <c r="H10" s="6" t="s">
        <v>139</v>
      </c>
    </row>
    <row r="11" customFormat="false" ht="15" hidden="false" customHeight="false" outlineLevel="0" collapsed="false">
      <c r="A11" s="6" t="s">
        <v>660</v>
      </c>
      <c r="B11" s="6" t="s">
        <v>661</v>
      </c>
      <c r="C11" s="6" t="s">
        <v>662</v>
      </c>
      <c r="D11" s="6" t="s">
        <v>663</v>
      </c>
      <c r="E11" s="6" t="s">
        <v>664</v>
      </c>
      <c r="F11" s="6" t="s">
        <v>665</v>
      </c>
      <c r="G11" s="6" t="s">
        <v>87</v>
      </c>
      <c r="H11" s="6" t="s">
        <v>139</v>
      </c>
    </row>
    <row r="12" customFormat="false" ht="15" hidden="false" customHeight="false" outlineLevel="0" collapsed="false">
      <c r="A12" s="6" t="s">
        <v>666</v>
      </c>
      <c r="B12" s="6" t="s">
        <v>667</v>
      </c>
      <c r="C12" s="6" t="s">
        <v>668</v>
      </c>
      <c r="D12" s="6" t="s">
        <v>669</v>
      </c>
      <c r="E12" s="6" t="s">
        <v>670</v>
      </c>
      <c r="F12" s="6" t="s">
        <v>671</v>
      </c>
      <c r="G12" s="6" t="s">
        <v>87</v>
      </c>
      <c r="H12" s="6" t="s">
        <v>139</v>
      </c>
    </row>
    <row r="13" customFormat="false" ht="15" hidden="false" customHeight="false" outlineLevel="0" collapsed="false">
      <c r="A13" s="6" t="s">
        <v>672</v>
      </c>
      <c r="B13" s="6" t="s">
        <v>673</v>
      </c>
      <c r="C13" s="6" t="s">
        <v>674</v>
      </c>
      <c r="D13" s="6" t="s">
        <v>675</v>
      </c>
      <c r="E13" s="6" t="s">
        <v>676</v>
      </c>
      <c r="F13" s="6" t="s">
        <v>446</v>
      </c>
      <c r="G13" s="6" t="s">
        <v>87</v>
      </c>
      <c r="H13" s="6" t="s">
        <v>139</v>
      </c>
    </row>
    <row r="14" customFormat="false" ht="15" hidden="false" customHeight="false" outlineLevel="0" collapsed="false">
      <c r="A14" s="6" t="s">
        <v>677</v>
      </c>
      <c r="B14" s="6" t="s">
        <v>678</v>
      </c>
      <c r="C14" s="6" t="s">
        <v>679</v>
      </c>
      <c r="D14" s="6" t="s">
        <v>680</v>
      </c>
      <c r="E14" s="6" t="s">
        <v>681</v>
      </c>
      <c r="F14" s="6" t="s">
        <v>682</v>
      </c>
      <c r="G14" s="6" t="s">
        <v>87</v>
      </c>
      <c r="H14" s="6" t="s">
        <v>139</v>
      </c>
    </row>
    <row r="15" customFormat="false" ht="15" hidden="false" customHeight="false" outlineLevel="0" collapsed="false">
      <c r="A15" s="6" t="s">
        <v>683</v>
      </c>
      <c r="B15" s="6" t="s">
        <v>684</v>
      </c>
      <c r="C15" s="6" t="s">
        <v>685</v>
      </c>
      <c r="D15" s="6" t="s">
        <v>686</v>
      </c>
      <c r="E15" s="6" t="s">
        <v>687</v>
      </c>
      <c r="F15" s="6" t="s">
        <v>688</v>
      </c>
      <c r="G15" s="6" t="s">
        <v>87</v>
      </c>
      <c r="H15" s="6" t="s">
        <v>139</v>
      </c>
    </row>
    <row r="16" customFormat="false" ht="15" hidden="false" customHeight="false" outlineLevel="0" collapsed="false">
      <c r="A16" s="6" t="s">
        <v>689</v>
      </c>
      <c r="B16" s="6" t="s">
        <v>690</v>
      </c>
      <c r="C16" s="6" t="s">
        <v>691</v>
      </c>
      <c r="D16" s="6" t="s">
        <v>692</v>
      </c>
      <c r="E16" s="6" t="s">
        <v>693</v>
      </c>
      <c r="F16" s="6" t="s">
        <v>694</v>
      </c>
      <c r="G16" s="6" t="s">
        <v>87</v>
      </c>
      <c r="H16" s="6" t="s">
        <v>139</v>
      </c>
    </row>
    <row r="17" customFormat="false" ht="15" hidden="false" customHeight="false" outlineLevel="0" collapsed="false">
      <c r="A17" s="6" t="s">
        <v>695</v>
      </c>
      <c r="B17" s="6" t="s">
        <v>696</v>
      </c>
      <c r="C17" s="6" t="s">
        <v>697</v>
      </c>
      <c r="D17" s="6" t="s">
        <v>698</v>
      </c>
      <c r="E17" s="6" t="s">
        <v>699</v>
      </c>
      <c r="F17" s="6" t="s">
        <v>447</v>
      </c>
      <c r="G17" s="6" t="s">
        <v>87</v>
      </c>
      <c r="H17" s="6" t="s">
        <v>139</v>
      </c>
    </row>
    <row r="18" customFormat="false" ht="15" hidden="false" customHeight="false" outlineLevel="0" collapsed="false">
      <c r="A18" s="6" t="s">
        <v>700</v>
      </c>
      <c r="B18" s="6" t="s">
        <v>701</v>
      </c>
      <c r="C18" s="6" t="s">
        <v>702</v>
      </c>
      <c r="D18" s="6" t="s">
        <v>703</v>
      </c>
      <c r="E18" s="6" t="s">
        <v>704</v>
      </c>
      <c r="F18" s="6" t="s">
        <v>705</v>
      </c>
      <c r="G18" s="6" t="s">
        <v>87</v>
      </c>
      <c r="H18" s="6" t="s">
        <v>139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  <col collapsed="false" customWidth="true" hidden="false" outlineLevel="0" max="4" min="3" style="0" width="22"/>
    <col collapsed="false" customWidth="true" hidden="false" outlineLevel="0" max="7" min="5" style="0" width="20"/>
    <col collapsed="false" customWidth="true" hidden="false" outlineLevel="0" max="8" min="8" style="0" width="40"/>
    <col collapsed="false" customWidth="true" hidden="false" outlineLevel="0" max="10" min="10" style="0" width="36"/>
    <col collapsed="false" customWidth="true" hidden="false" outlineLevel="0" max="11" min="11" style="0" width="18"/>
  </cols>
  <sheetData>
    <row r="2" customFormat="false" ht="24" hidden="false" customHeight="true" outlineLevel="0" collapsed="false">
      <c r="A2" s="1" t="s">
        <v>706</v>
      </c>
    </row>
    <row r="3" customFormat="false" ht="18" hidden="false" customHeight="true" outlineLevel="0" collapsed="false">
      <c r="A3" s="2" t="s">
        <v>707</v>
      </c>
      <c r="B3" s="2"/>
      <c r="C3" s="2"/>
      <c r="D3" s="2"/>
      <c r="E3" s="2"/>
      <c r="F3" s="2"/>
      <c r="G3" s="2"/>
      <c r="H3" s="2"/>
    </row>
    <row r="6" customFormat="false" ht="23.85" hidden="false" customHeight="false" outlineLevel="0" collapsed="false">
      <c r="A6" s="5" t="s">
        <v>39</v>
      </c>
      <c r="B6" s="5" t="s">
        <v>708</v>
      </c>
      <c r="C6" s="5" t="s">
        <v>709</v>
      </c>
      <c r="D6" s="5" t="s">
        <v>14</v>
      </c>
      <c r="E6" s="5" t="s">
        <v>42</v>
      </c>
      <c r="F6" s="5" t="s">
        <v>59</v>
      </c>
      <c r="G6" s="5" t="s">
        <v>710</v>
      </c>
      <c r="H6" s="5" t="s">
        <v>711</v>
      </c>
      <c r="J6" s="5" t="s">
        <v>39</v>
      </c>
      <c r="K6" s="5" t="s">
        <v>49</v>
      </c>
    </row>
    <row r="7" customFormat="false" ht="23.85" hidden="false" customHeight="false" outlineLevel="0" collapsed="false">
      <c r="A7" s="6" t="s">
        <v>62</v>
      </c>
      <c r="B7" s="6" t="n">
        <v>24</v>
      </c>
      <c r="C7" s="8" t="n">
        <f aca="false">'Root Options'!M31</f>
        <v>0.0462496797102001</v>
      </c>
      <c r="D7" s="9" t="n">
        <f aca="false">1/C7</f>
        <v>21.6217713563853</v>
      </c>
      <c r="E7" s="6" t="s">
        <v>712</v>
      </c>
      <c r="F7" s="6" t="s">
        <v>712</v>
      </c>
      <c r="G7" s="6" t="s">
        <v>713</v>
      </c>
      <c r="H7" s="6" t="s">
        <v>714</v>
      </c>
      <c r="J7" s="0" t="str">
        <f aca="false">A7</f>
        <v>Separated option-and-proof market</v>
      </c>
      <c r="K7" s="26" t="n">
        <f aca="false">C7</f>
        <v>0.0462496797102001</v>
      </c>
    </row>
    <row r="8" customFormat="false" ht="15" hidden="false" customHeight="false" outlineLevel="0" collapsed="false">
      <c r="A8" s="6" t="s">
        <v>64</v>
      </c>
      <c r="B8" s="6" t="n">
        <v>6</v>
      </c>
      <c r="C8" s="8" t="n">
        <f aca="false">'Root Options'!M31*4</f>
        <v>0.184998718840801</v>
      </c>
      <c r="D8" s="9" t="n">
        <f aca="false">1/C8</f>
        <v>5.40544283909633</v>
      </c>
      <c r="E8" s="6" t="s">
        <v>712</v>
      </c>
      <c r="F8" s="6" t="s">
        <v>87</v>
      </c>
      <c r="G8" s="6" t="s">
        <v>715</v>
      </c>
      <c r="H8" s="6" t="s">
        <v>716</v>
      </c>
      <c r="J8" s="0" t="str">
        <f aca="false">A8</f>
        <v>Six lead system integrators</v>
      </c>
      <c r="K8" s="26" t="n">
        <f aca="false">C8</f>
        <v>0.184998718840801</v>
      </c>
    </row>
    <row r="9" customFormat="false" ht="15" hidden="false" customHeight="false" outlineLevel="0" collapsed="false">
      <c r="A9" s="6" t="s">
        <v>66</v>
      </c>
      <c r="B9" s="6" t="n">
        <v>96</v>
      </c>
      <c r="C9" s="8" t="n">
        <f aca="false">'Root Options'!M31/4</f>
        <v>0.01156241992755</v>
      </c>
      <c r="D9" s="9" t="n">
        <f aca="false">1/C9</f>
        <v>86.4870854255413</v>
      </c>
      <c r="E9" s="6" t="s">
        <v>87</v>
      </c>
      <c r="F9" s="6" t="s">
        <v>712</v>
      </c>
      <c r="G9" s="6" t="s">
        <v>715</v>
      </c>
      <c r="H9" s="6" t="s">
        <v>717</v>
      </c>
      <c r="J9" s="0" t="str">
        <f aca="false">A9</f>
        <v>Ninety-six independent prize cells</v>
      </c>
      <c r="K9" s="26" t="n">
        <f aca="false">C9</f>
        <v>0.01156241992755</v>
      </c>
    </row>
    <row r="10" customFormat="false" ht="15" hidden="false" customHeight="false" outlineLevel="0" collapsed="false">
      <c r="A10" s="6" t="s">
        <v>68</v>
      </c>
      <c r="B10" s="6" t="n">
        <v>24</v>
      </c>
      <c r="C10" s="8" t="n">
        <f aca="false">'Root Options'!M31</f>
        <v>0.0462496797102001</v>
      </c>
      <c r="D10" s="9" t="n">
        <f aca="false">1/C10</f>
        <v>21.6217713563853</v>
      </c>
      <c r="E10" s="6" t="s">
        <v>712</v>
      </c>
      <c r="F10" s="6" t="s">
        <v>87</v>
      </c>
      <c r="G10" s="6" t="s">
        <v>715</v>
      </c>
      <c r="H10" s="6" t="s">
        <v>718</v>
      </c>
      <c r="J10" s="0" t="str">
        <f aca="false">A10</f>
        <v>Twenty-four perpetual franchises</v>
      </c>
      <c r="K10" s="26" t="n">
        <f aca="false">C10</f>
        <v>0.0462496797102001</v>
      </c>
    </row>
    <row r="11" customFormat="false" ht="15" hidden="false" customHeight="false" outlineLevel="0" collapsed="false">
      <c r="A11" s="6" t="s">
        <v>70</v>
      </c>
      <c r="B11" s="6" t="n">
        <v>1</v>
      </c>
      <c r="C11" s="8" t="n">
        <f aca="false">1</f>
        <v>1</v>
      </c>
      <c r="D11" s="9" t="n">
        <f aca="false">1/C11</f>
        <v>1</v>
      </c>
      <c r="E11" s="6" t="s">
        <v>712</v>
      </c>
      <c r="F11" s="6" t="s">
        <v>87</v>
      </c>
      <c r="G11" s="6" t="s">
        <v>715</v>
      </c>
      <c r="H11" s="6" t="s">
        <v>719</v>
      </c>
      <c r="J11" s="0" t="str">
        <f aca="false">A11</f>
        <v>Sovereign public arsenal</v>
      </c>
      <c r="K11" s="26" t="n">
        <f aca="false">C11</f>
        <v>1</v>
      </c>
    </row>
  </sheetData>
  <conditionalFormatting sqref="G7:G11">
    <cfRule type="containsText" priority="2" operator="containsText" aboveAverage="0" equalAverage="0" bottom="0" percent="0" rank="0" text="SELECT" dxfId="3">
      <formula>NOT(ISERROR(SEARCH("SELECT",G7)))</formula>
    </cfRule>
    <cfRule type="containsText" priority="3" operator="containsText" aboveAverage="0" equalAverage="0" bottom="0" percent="0" rank="0" text="REJECT" dxfId="4">
      <formula>NOT(ISERROR(SEARCH("REJECT",G7)))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3"/>
    <col collapsed="false" customWidth="true" hidden="false" outlineLevel="0" max="3" min="3" style="0" width="55"/>
    <col collapsed="false" customWidth="true" hidden="false" outlineLevel="0" max="4" min="4" style="0" width="18"/>
    <col collapsed="false" customWidth="true" hidden="false" outlineLevel="0" max="5" min="5" style="0" width="41"/>
    <col collapsed="false" customWidth="true" hidden="false" outlineLevel="0" max="6" min="6" style="0" width="12"/>
    <col collapsed="false" customWidth="true" hidden="false" outlineLevel="0" max="7" min="7" style="0" width="38"/>
  </cols>
  <sheetData>
    <row r="2" customFormat="false" ht="24" hidden="false" customHeight="true" outlineLevel="0" collapsed="false">
      <c r="A2" s="1" t="s">
        <v>720</v>
      </c>
    </row>
    <row r="3" customFormat="false" ht="18" hidden="false" customHeight="true" outlineLevel="0" collapsed="false">
      <c r="A3" s="2" t="s">
        <v>721</v>
      </c>
      <c r="B3" s="2"/>
      <c r="C3" s="2"/>
      <c r="D3" s="2"/>
      <c r="E3" s="2"/>
      <c r="F3" s="2"/>
      <c r="G3" s="2"/>
    </row>
    <row r="6" customFormat="false" ht="15" hidden="false" customHeight="false" outlineLevel="0" collapsed="false">
      <c r="A6" s="5" t="s">
        <v>722</v>
      </c>
      <c r="B6" s="5" t="s">
        <v>723</v>
      </c>
      <c r="C6" s="5" t="s">
        <v>724</v>
      </c>
      <c r="D6" s="5" t="s">
        <v>725</v>
      </c>
      <c r="E6" s="5" t="s">
        <v>726</v>
      </c>
      <c r="F6" s="5" t="s">
        <v>41</v>
      </c>
      <c r="G6" s="5" t="s">
        <v>50</v>
      </c>
    </row>
    <row r="7" customFormat="false" ht="15" hidden="false" customHeight="false" outlineLevel="0" collapsed="false">
      <c r="A7" s="6" t="n">
        <v>1</v>
      </c>
      <c r="B7" s="6" t="s">
        <v>727</v>
      </c>
      <c r="C7" s="6" t="s">
        <v>728</v>
      </c>
      <c r="D7" s="6"/>
      <c r="E7" s="6" t="s">
        <v>729</v>
      </c>
      <c r="F7" s="6" t="s">
        <v>730</v>
      </c>
      <c r="G7" s="6" t="s">
        <v>731</v>
      </c>
    </row>
    <row r="8" customFormat="false" ht="15" hidden="false" customHeight="false" outlineLevel="0" collapsed="false">
      <c r="A8" s="6" t="n">
        <v>2</v>
      </c>
      <c r="B8" s="6" t="s">
        <v>732</v>
      </c>
      <c r="C8" s="6" t="s">
        <v>733</v>
      </c>
      <c r="D8" s="6"/>
      <c r="E8" s="6" t="s">
        <v>734</v>
      </c>
      <c r="F8" s="6" t="s">
        <v>730</v>
      </c>
      <c r="G8" s="6" t="s">
        <v>735</v>
      </c>
    </row>
    <row r="9" customFormat="false" ht="15" hidden="false" customHeight="false" outlineLevel="0" collapsed="false">
      <c r="A9" s="6" t="n">
        <v>3</v>
      </c>
      <c r="B9" s="6" t="s">
        <v>736</v>
      </c>
      <c r="C9" s="6" t="s">
        <v>737</v>
      </c>
      <c r="D9" s="6"/>
      <c r="E9" s="6" t="s">
        <v>738</v>
      </c>
      <c r="F9" s="6" t="s">
        <v>730</v>
      </c>
      <c r="G9" s="6" t="s">
        <v>739</v>
      </c>
    </row>
    <row r="10" customFormat="false" ht="15" hidden="false" customHeight="false" outlineLevel="0" collapsed="false">
      <c r="A10" s="6" t="n">
        <v>4</v>
      </c>
      <c r="B10" s="6" t="s">
        <v>571</v>
      </c>
      <c r="C10" s="6" t="s">
        <v>740</v>
      </c>
      <c r="D10" s="6"/>
      <c r="E10" s="6" t="s">
        <v>741</v>
      </c>
      <c r="F10" s="6" t="s">
        <v>730</v>
      </c>
      <c r="G10" s="6" t="s">
        <v>742</v>
      </c>
    </row>
    <row r="11" customFormat="false" ht="15" hidden="false" customHeight="false" outlineLevel="0" collapsed="false">
      <c r="A11" s="6" t="n">
        <v>5</v>
      </c>
      <c r="B11" s="6" t="s">
        <v>743</v>
      </c>
      <c r="C11" s="6" t="s">
        <v>744</v>
      </c>
      <c r="D11" s="6" t="n">
        <v>10</v>
      </c>
      <c r="E11" s="6" t="s">
        <v>745</v>
      </c>
      <c r="F11" s="6" t="s">
        <v>730</v>
      </c>
      <c r="G11" s="6" t="s">
        <v>746</v>
      </c>
    </row>
    <row r="12" customFormat="false" ht="15" hidden="false" customHeight="false" outlineLevel="0" collapsed="false">
      <c r="A12" s="6" t="n">
        <v>6</v>
      </c>
      <c r="B12" s="6" t="s">
        <v>747</v>
      </c>
      <c r="C12" s="6" t="s">
        <v>748</v>
      </c>
      <c r="D12" s="6"/>
      <c r="E12" s="6" t="s">
        <v>749</v>
      </c>
      <c r="F12" s="6" t="s">
        <v>730</v>
      </c>
      <c r="G12" s="6" t="s">
        <v>750</v>
      </c>
    </row>
    <row r="13" customFormat="false" ht="15" hidden="false" customHeight="false" outlineLevel="0" collapsed="false">
      <c r="A13" s="6" t="n">
        <v>7</v>
      </c>
      <c r="B13" s="6" t="s">
        <v>751</v>
      </c>
      <c r="C13" s="6" t="s">
        <v>752</v>
      </c>
      <c r="D13" s="6"/>
      <c r="E13" s="6" t="s">
        <v>753</v>
      </c>
      <c r="F13" s="6" t="s">
        <v>730</v>
      </c>
      <c r="G13" s="6" t="s">
        <v>754</v>
      </c>
    </row>
    <row r="14" customFormat="false" ht="15" hidden="false" customHeight="false" outlineLevel="0" collapsed="false">
      <c r="A14" s="6" t="n">
        <v>8</v>
      </c>
      <c r="B14" s="6" t="s">
        <v>755</v>
      </c>
      <c r="C14" s="6" t="s">
        <v>756</v>
      </c>
      <c r="D14" s="6" t="n">
        <v>20</v>
      </c>
      <c r="E14" s="6" t="s">
        <v>757</v>
      </c>
      <c r="F14" s="6" t="s">
        <v>730</v>
      </c>
      <c r="G14" s="6" t="s">
        <v>758</v>
      </c>
    </row>
    <row r="15" customFormat="false" ht="15" hidden="false" customHeight="false" outlineLevel="0" collapsed="false">
      <c r="A15" s="6" t="n">
        <v>9</v>
      </c>
      <c r="B15" s="6" t="s">
        <v>759</v>
      </c>
      <c r="C15" s="6" t="s">
        <v>760</v>
      </c>
      <c r="D15" s="6"/>
      <c r="E15" s="6" t="s">
        <v>761</v>
      </c>
      <c r="F15" s="6" t="s">
        <v>730</v>
      </c>
      <c r="G15" s="6" t="s">
        <v>762</v>
      </c>
    </row>
    <row r="16" customFormat="false" ht="15" hidden="false" customHeight="false" outlineLevel="0" collapsed="false">
      <c r="A16" s="6" t="n">
        <v>10</v>
      </c>
      <c r="B16" s="6" t="s">
        <v>763</v>
      </c>
      <c r="C16" s="6" t="s">
        <v>764</v>
      </c>
      <c r="D16" s="6"/>
      <c r="E16" s="6" t="s">
        <v>765</v>
      </c>
      <c r="F16" s="6" t="s">
        <v>730</v>
      </c>
      <c r="G16" s="6" t="s">
        <v>766</v>
      </c>
    </row>
    <row r="17" customFormat="false" ht="15" hidden="false" customHeight="false" outlineLevel="0" collapsed="false">
      <c r="A17" s="6" t="n">
        <v>11</v>
      </c>
      <c r="B17" s="6" t="s">
        <v>767</v>
      </c>
      <c r="C17" s="6" t="s">
        <v>768</v>
      </c>
      <c r="D17" s="6" t="n">
        <v>10</v>
      </c>
      <c r="E17" s="6" t="s">
        <v>769</v>
      </c>
      <c r="F17" s="6" t="s">
        <v>730</v>
      </c>
      <c r="G17" s="6" t="s">
        <v>770</v>
      </c>
    </row>
    <row r="18" customFormat="false" ht="15" hidden="false" customHeight="false" outlineLevel="0" collapsed="false">
      <c r="A18" s="6" t="n">
        <v>12</v>
      </c>
      <c r="B18" s="6" t="s">
        <v>771</v>
      </c>
      <c r="C18" s="6" t="s">
        <v>772</v>
      </c>
      <c r="D18" s="6"/>
      <c r="E18" s="6" t="s">
        <v>773</v>
      </c>
      <c r="F18" s="6" t="s">
        <v>730</v>
      </c>
      <c r="G18" s="6" t="s">
        <v>774</v>
      </c>
    </row>
    <row r="19" customFormat="false" ht="15" hidden="false" customHeight="false" outlineLevel="0" collapsed="false">
      <c r="A19" s="6" t="n">
        <v>13</v>
      </c>
      <c r="B19" s="6" t="s">
        <v>775</v>
      </c>
      <c r="C19" s="6" t="s">
        <v>776</v>
      </c>
      <c r="D19" s="6" t="n">
        <v>10</v>
      </c>
      <c r="E19" s="6" t="s">
        <v>777</v>
      </c>
      <c r="F19" s="6" t="s">
        <v>730</v>
      </c>
      <c r="G19" s="6" t="s">
        <v>778</v>
      </c>
    </row>
    <row r="20" customFormat="false" ht="15" hidden="false" customHeight="false" outlineLevel="0" collapsed="false">
      <c r="A20" s="6" t="n">
        <v>14</v>
      </c>
      <c r="B20" s="6" t="s">
        <v>779</v>
      </c>
      <c r="C20" s="6" t="s">
        <v>780</v>
      </c>
      <c r="D20" s="6" t="n">
        <v>150</v>
      </c>
      <c r="E20" s="6" t="s">
        <v>781</v>
      </c>
      <c r="F20" s="6" t="s">
        <v>730</v>
      </c>
      <c r="G20" s="6" t="s">
        <v>782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7"/>
    <col collapsed="false" customWidth="true" hidden="false" outlineLevel="0" max="3" min="3" style="0" width="31"/>
    <col collapsed="false" customWidth="true" hidden="false" outlineLevel="0" max="5" min="4" style="0" width="13"/>
    <col collapsed="false" customWidth="true" hidden="false" outlineLevel="0" max="6" min="6" style="0" width="43"/>
    <col collapsed="false" customWidth="true" hidden="false" outlineLevel="0" max="7" min="7" style="0" width="13"/>
    <col collapsed="false" customWidth="true" hidden="false" outlineLevel="0" max="8" min="8" style="0" width="18"/>
  </cols>
  <sheetData>
    <row r="2" customFormat="false" ht="24" hidden="false" customHeight="true" outlineLevel="0" collapsed="false">
      <c r="A2" s="1" t="s">
        <v>783</v>
      </c>
    </row>
    <row r="3" customFormat="false" ht="18" hidden="false" customHeight="true" outlineLevel="0" collapsed="false">
      <c r="A3" s="2" t="s">
        <v>784</v>
      </c>
      <c r="B3" s="2"/>
      <c r="C3" s="2"/>
      <c r="D3" s="2"/>
      <c r="E3" s="2"/>
      <c r="F3" s="2"/>
      <c r="G3" s="2"/>
      <c r="H3" s="2"/>
    </row>
    <row r="6" customFormat="false" ht="15" hidden="false" customHeight="false" outlineLevel="0" collapsed="false">
      <c r="A6" s="5" t="s">
        <v>722</v>
      </c>
      <c r="B6" s="5" t="s">
        <v>785</v>
      </c>
      <c r="C6" s="5" t="s">
        <v>786</v>
      </c>
      <c r="D6" s="5" t="s">
        <v>787</v>
      </c>
      <c r="E6" s="5" t="s">
        <v>788</v>
      </c>
      <c r="F6" s="5" t="s">
        <v>789</v>
      </c>
      <c r="G6" s="5" t="s">
        <v>790</v>
      </c>
      <c r="H6" s="5" t="s">
        <v>35</v>
      </c>
    </row>
    <row r="7" customFormat="false" ht="15" hidden="false" customHeight="false" outlineLevel="0" collapsed="false">
      <c r="A7" s="6" t="n">
        <v>1</v>
      </c>
      <c r="B7" s="6" t="s">
        <v>791</v>
      </c>
      <c r="C7" s="6" t="s">
        <v>792</v>
      </c>
      <c r="D7" s="6" t="s">
        <v>793</v>
      </c>
      <c r="E7" s="6" t="s">
        <v>793</v>
      </c>
      <c r="F7" s="6" t="s">
        <v>794</v>
      </c>
      <c r="G7" s="6" t="s">
        <v>795</v>
      </c>
      <c r="H7" s="6" t="n">
        <v>0</v>
      </c>
    </row>
    <row r="8" customFormat="false" ht="15" hidden="false" customHeight="false" outlineLevel="0" collapsed="false">
      <c r="A8" s="6" t="n">
        <v>2</v>
      </c>
      <c r="B8" s="6" t="s">
        <v>796</v>
      </c>
      <c r="C8" s="6" t="s">
        <v>797</v>
      </c>
      <c r="D8" s="6" t="s">
        <v>793</v>
      </c>
      <c r="E8" s="6" t="s">
        <v>793</v>
      </c>
      <c r="F8" s="6" t="s">
        <v>798</v>
      </c>
      <c r="G8" s="6" t="s">
        <v>795</v>
      </c>
      <c r="H8" s="6" t="n">
        <v>0</v>
      </c>
    </row>
    <row r="9" customFormat="false" ht="15" hidden="false" customHeight="false" outlineLevel="0" collapsed="false">
      <c r="A9" s="6" t="n">
        <v>3</v>
      </c>
      <c r="B9" s="6" t="s">
        <v>799</v>
      </c>
      <c r="C9" s="6" t="s">
        <v>44</v>
      </c>
      <c r="D9" s="6" t="s">
        <v>793</v>
      </c>
      <c r="E9" s="6" t="s">
        <v>793</v>
      </c>
      <c r="F9" s="6" t="s">
        <v>800</v>
      </c>
      <c r="G9" s="6" t="s">
        <v>795</v>
      </c>
      <c r="H9" s="6" t="n">
        <v>0</v>
      </c>
    </row>
    <row r="10" customFormat="false" ht="15" hidden="false" customHeight="false" outlineLevel="0" collapsed="false">
      <c r="A10" s="6" t="n">
        <v>4</v>
      </c>
      <c r="B10" s="6" t="s">
        <v>801</v>
      </c>
      <c r="C10" s="6" t="s">
        <v>57</v>
      </c>
      <c r="D10" s="6" t="s">
        <v>793</v>
      </c>
      <c r="E10" s="6" t="s">
        <v>793</v>
      </c>
      <c r="F10" s="6" t="s">
        <v>802</v>
      </c>
      <c r="G10" s="6" t="s">
        <v>795</v>
      </c>
      <c r="H10" s="6" t="n">
        <v>0</v>
      </c>
    </row>
    <row r="11" customFormat="false" ht="15" hidden="false" customHeight="false" outlineLevel="0" collapsed="false">
      <c r="A11" s="6" t="n">
        <v>5</v>
      </c>
      <c r="B11" s="6" t="s">
        <v>803</v>
      </c>
      <c r="C11" s="6" t="s">
        <v>804</v>
      </c>
      <c r="D11" s="6" t="s">
        <v>793</v>
      </c>
      <c r="E11" s="6" t="s">
        <v>793</v>
      </c>
      <c r="F11" s="6" t="s">
        <v>805</v>
      </c>
      <c r="G11" s="6" t="s">
        <v>795</v>
      </c>
      <c r="H11" s="6" t="n">
        <v>0</v>
      </c>
    </row>
    <row r="12" customFormat="false" ht="15" hidden="false" customHeight="false" outlineLevel="0" collapsed="false">
      <c r="A12" s="6" t="n">
        <v>6</v>
      </c>
      <c r="B12" s="6" t="s">
        <v>806</v>
      </c>
      <c r="C12" s="6" t="s">
        <v>56</v>
      </c>
      <c r="D12" s="6" t="s">
        <v>793</v>
      </c>
      <c r="E12" s="6" t="s">
        <v>793</v>
      </c>
      <c r="F12" s="6" t="s">
        <v>807</v>
      </c>
      <c r="G12" s="6" t="s">
        <v>795</v>
      </c>
      <c r="H12" s="6" t="n">
        <v>0</v>
      </c>
    </row>
    <row r="13" customFormat="false" ht="15" hidden="false" customHeight="false" outlineLevel="0" collapsed="false">
      <c r="A13" s="6" t="n">
        <v>7</v>
      </c>
      <c r="B13" s="6" t="s">
        <v>808</v>
      </c>
      <c r="C13" s="6" t="s">
        <v>809</v>
      </c>
      <c r="D13" s="6" t="s">
        <v>793</v>
      </c>
      <c r="E13" s="6" t="s">
        <v>793</v>
      </c>
      <c r="F13" s="6" t="s">
        <v>810</v>
      </c>
      <c r="G13" s="6" t="s">
        <v>795</v>
      </c>
      <c r="H13" s="6" t="n">
        <v>0</v>
      </c>
    </row>
    <row r="14" customFormat="false" ht="15" hidden="false" customHeight="false" outlineLevel="0" collapsed="false">
      <c r="A14" s="6" t="n">
        <v>8</v>
      </c>
      <c r="B14" s="6" t="s">
        <v>811</v>
      </c>
      <c r="C14" s="6" t="s">
        <v>812</v>
      </c>
      <c r="D14" s="6" t="s">
        <v>793</v>
      </c>
      <c r="E14" s="6" t="s">
        <v>793</v>
      </c>
      <c r="F14" s="6" t="s">
        <v>813</v>
      </c>
      <c r="G14" s="6" t="s">
        <v>795</v>
      </c>
      <c r="H14" s="6" t="n">
        <v>0</v>
      </c>
    </row>
    <row r="15" customFormat="false" ht="15" hidden="false" customHeight="false" outlineLevel="0" collapsed="false">
      <c r="A15" s="6" t="n">
        <v>9</v>
      </c>
      <c r="B15" s="6" t="s">
        <v>814</v>
      </c>
      <c r="C15" s="6" t="s">
        <v>815</v>
      </c>
      <c r="D15" s="6" t="s">
        <v>793</v>
      </c>
      <c r="E15" s="6" t="s">
        <v>793</v>
      </c>
      <c r="F15" s="6" t="s">
        <v>816</v>
      </c>
      <c r="G15" s="6" t="s">
        <v>795</v>
      </c>
      <c r="H15" s="6" t="n">
        <v>0</v>
      </c>
    </row>
    <row r="16" customFormat="false" ht="15" hidden="false" customHeight="false" outlineLevel="0" collapsed="false">
      <c r="A16" s="6" t="n">
        <v>10</v>
      </c>
      <c r="B16" s="6" t="s">
        <v>817</v>
      </c>
      <c r="C16" s="6" t="s">
        <v>818</v>
      </c>
      <c r="D16" s="6" t="s">
        <v>793</v>
      </c>
      <c r="E16" s="6" t="s">
        <v>793</v>
      </c>
      <c r="F16" s="6" t="s">
        <v>819</v>
      </c>
      <c r="G16" s="6" t="s">
        <v>795</v>
      </c>
      <c r="H16" s="6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2:F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9"/>
    <col collapsed="false" customWidth="true" hidden="false" outlineLevel="0" max="4" min="3" style="0" width="21"/>
    <col collapsed="false" customWidth="true" hidden="false" outlineLevel="0" max="5" min="5" style="0" width="13"/>
    <col collapsed="false" customWidth="true" hidden="false" outlineLevel="0" max="6" min="6" style="0" width="38"/>
  </cols>
  <sheetData>
    <row r="2" customFormat="false" ht="24" hidden="false" customHeight="true" outlineLevel="0" collapsed="false">
      <c r="A2" s="1" t="s">
        <v>820</v>
      </c>
    </row>
    <row r="3" customFormat="false" ht="18" hidden="false" customHeight="true" outlineLevel="0" collapsed="false">
      <c r="A3" s="2" t="s">
        <v>821</v>
      </c>
      <c r="B3" s="2"/>
      <c r="C3" s="2"/>
      <c r="D3" s="2"/>
      <c r="E3" s="2"/>
      <c r="F3" s="2"/>
    </row>
    <row r="6" customFormat="false" ht="15" hidden="false" customHeight="false" outlineLevel="0" collapsed="false">
      <c r="A6" s="5" t="s">
        <v>722</v>
      </c>
      <c r="B6" s="5" t="s">
        <v>822</v>
      </c>
      <c r="C6" s="5" t="s">
        <v>823</v>
      </c>
      <c r="D6" s="5" t="s">
        <v>824</v>
      </c>
      <c r="E6" s="5" t="s">
        <v>339</v>
      </c>
      <c r="F6" s="5" t="s">
        <v>825</v>
      </c>
    </row>
    <row r="7" customFormat="false" ht="15" hidden="false" customHeight="false" outlineLevel="0" collapsed="false">
      <c r="A7" s="6" t="n">
        <v>1</v>
      </c>
      <c r="B7" s="6" t="s">
        <v>826</v>
      </c>
      <c r="C7" s="27" t="n">
        <f aca="false">'Architecture Test'!N7</f>
        <v>12</v>
      </c>
      <c r="D7" s="27" t="n">
        <v>12</v>
      </c>
      <c r="E7" s="6" t="str">
        <f aca="false">IF(ABS(C7-D7)&lt;0.01,"PASS","FAIL")</f>
        <v>PASS</v>
      </c>
      <c r="F7" s="6" t="s">
        <v>827</v>
      </c>
    </row>
    <row r="8" customFormat="false" ht="15" hidden="false" customHeight="false" outlineLevel="0" collapsed="false">
      <c r="A8" s="6" t="n">
        <v>2</v>
      </c>
      <c r="B8" s="6" t="s">
        <v>828</v>
      </c>
      <c r="C8" s="27" t="n">
        <f aca="false">COUNTIFS('Architecture Test'!O7:O11,"SELECT")</f>
        <v>1</v>
      </c>
      <c r="D8" s="27" t="n">
        <v>1</v>
      </c>
      <c r="E8" s="6" t="str">
        <f aca="false">IF(ABS(C8-D8)&lt;0.01,"PASS","FAIL")</f>
        <v>PASS</v>
      </c>
      <c r="F8" s="6" t="s">
        <v>829</v>
      </c>
    </row>
    <row r="9" customFormat="false" ht="15" hidden="false" customHeight="false" outlineLevel="0" collapsed="false">
      <c r="A9" s="6" t="n">
        <v>3</v>
      </c>
      <c r="B9" s="6" t="s">
        <v>830</v>
      </c>
      <c r="C9" s="27" t="n">
        <f aca="false">COUNTA('Account Control'!A7:A11)</f>
        <v>5</v>
      </c>
      <c r="D9" s="27" t="n">
        <v>5</v>
      </c>
      <c r="E9" s="6" t="str">
        <f aca="false">IF(ABS(C9-D9)&lt;0.01,"PASS","FAIL")</f>
        <v>PASS</v>
      </c>
      <c r="F9" s="6" t="s">
        <v>831</v>
      </c>
    </row>
    <row r="10" customFormat="false" ht="15" hidden="false" customHeight="false" outlineLevel="0" collapsed="false">
      <c r="A10" s="6" t="n">
        <v>4</v>
      </c>
      <c r="B10" s="6" t="s">
        <v>832</v>
      </c>
      <c r="C10" s="27" t="n">
        <f aca="false">'Account Control'!B12</f>
        <v>200</v>
      </c>
      <c r="D10" s="27" t="n">
        <v>200</v>
      </c>
      <c r="E10" s="6" t="str">
        <f aca="false">IF(ABS(C10-D10)&lt;0.01,"PASS","FAIL")</f>
        <v>PASS</v>
      </c>
      <c r="F10" s="6" t="s">
        <v>833</v>
      </c>
    </row>
    <row r="11" customFormat="false" ht="15" hidden="false" customHeight="false" outlineLevel="0" collapsed="false">
      <c r="A11" s="6" t="n">
        <v>5</v>
      </c>
      <c r="B11" s="6" t="s">
        <v>834</v>
      </c>
      <c r="C11" s="27" t="n">
        <f aca="false">'Account Control'!C12</f>
        <v>1</v>
      </c>
      <c r="D11" s="27" t="n">
        <v>1</v>
      </c>
      <c r="E11" s="6" t="str">
        <f aca="false">IF(ABS(C11-D11)&lt;0.01,"PASS","FAIL")</f>
        <v>PASS</v>
      </c>
      <c r="F11" s="6" t="s">
        <v>835</v>
      </c>
    </row>
    <row r="12" customFormat="false" ht="15" hidden="false" customHeight="false" outlineLevel="0" collapsed="false">
      <c r="A12" s="6" t="n">
        <v>6</v>
      </c>
      <c r="B12" s="6" t="s">
        <v>22</v>
      </c>
      <c r="C12" s="27" t="n">
        <f aca="false">'Account Control'!B19</f>
        <v>110</v>
      </c>
      <c r="D12" s="27" t="n">
        <v>110</v>
      </c>
      <c r="E12" s="6" t="str">
        <f aca="false">IF(ABS(C12-D12)&lt;0.01,"PASS","FAIL")</f>
        <v>PASS</v>
      </c>
      <c r="F12" s="6" t="s">
        <v>836</v>
      </c>
    </row>
    <row r="13" customFormat="false" ht="15" hidden="false" customHeight="false" outlineLevel="0" collapsed="false">
      <c r="A13" s="6" t="n">
        <v>7</v>
      </c>
      <c r="B13" s="6" t="s">
        <v>837</v>
      </c>
      <c r="C13" s="27" t="n">
        <f aca="false">'Root Options'!F31</f>
        <v>57.390605109129</v>
      </c>
      <c r="D13" s="27" t="n">
        <v>57.390605109129</v>
      </c>
      <c r="E13" s="6" t="str">
        <f aca="false">IF(ABS(C13-D13)&lt;0.01,"PASS","FAIL")</f>
        <v>PASS</v>
      </c>
      <c r="F13" s="6" t="s">
        <v>838</v>
      </c>
    </row>
    <row r="14" customFormat="false" ht="15" hidden="false" customHeight="false" outlineLevel="0" collapsed="false">
      <c r="A14" s="6" t="n">
        <v>8</v>
      </c>
      <c r="B14" s="6" t="s">
        <v>29</v>
      </c>
      <c r="C14" s="27" t="n">
        <f aca="false">'Root Options'!G31</f>
        <v>52.609394890871</v>
      </c>
      <c r="D14" s="27" t="n">
        <v>52.609394890871</v>
      </c>
      <c r="E14" s="6" t="str">
        <f aca="false">IF(ABS(C14-D14)&lt;0.01,"PASS","FAIL")</f>
        <v>PASS</v>
      </c>
      <c r="F14" s="6" t="s">
        <v>839</v>
      </c>
    </row>
    <row r="15" customFormat="false" ht="15" hidden="false" customHeight="false" outlineLevel="0" collapsed="false">
      <c r="A15" s="6" t="n">
        <v>9</v>
      </c>
      <c r="B15" s="6" t="s">
        <v>840</v>
      </c>
      <c r="C15" s="27" t="n">
        <f aca="false">'Account Control'!F18</f>
        <v>80</v>
      </c>
      <c r="D15" s="27" t="n">
        <v>80</v>
      </c>
      <c r="E15" s="6" t="str">
        <f aca="false">IF(ABS(C15-D15)&lt;0.01,"PASS","FAIL")</f>
        <v>PASS</v>
      </c>
      <c r="F15" s="6" t="s">
        <v>841</v>
      </c>
    </row>
    <row r="16" customFormat="false" ht="15" hidden="false" customHeight="false" outlineLevel="0" collapsed="false">
      <c r="A16" s="6" t="n">
        <v>10</v>
      </c>
      <c r="B16" s="6" t="s">
        <v>98</v>
      </c>
      <c r="C16" s="27" t="n">
        <f aca="false">'Account Control'!F19</f>
        <v>10</v>
      </c>
      <c r="D16" s="27" t="n">
        <v>10</v>
      </c>
      <c r="E16" s="6" t="str">
        <f aca="false">IF(ABS(C16-D16)&lt;0.01,"PASS","FAIL")</f>
        <v>PASS</v>
      </c>
      <c r="F16" s="6" t="s">
        <v>842</v>
      </c>
    </row>
    <row r="17" customFormat="false" ht="15" hidden="false" customHeight="false" outlineLevel="0" collapsed="false">
      <c r="A17" s="6" t="n">
        <v>11</v>
      </c>
      <c r="B17" s="6" t="s">
        <v>843</v>
      </c>
      <c r="C17" s="27" t="n">
        <f aca="false">COUNTA('Root Options'!A7:A30)</f>
        <v>24</v>
      </c>
      <c r="D17" s="27" t="n">
        <v>24</v>
      </c>
      <c r="E17" s="6" t="str">
        <f aca="false">IF(ABS(C17-D17)&lt;0.01,"PASS","FAIL")</f>
        <v>PASS</v>
      </c>
      <c r="F17" s="6" t="s">
        <v>844</v>
      </c>
    </row>
    <row r="18" customFormat="false" ht="15" hidden="false" customHeight="false" outlineLevel="0" collapsed="false">
      <c r="A18" s="6" t="n">
        <v>12</v>
      </c>
      <c r="B18" s="6" t="s">
        <v>845</v>
      </c>
      <c r="C18" s="27" t="n">
        <f aca="false">COUNTA('Root Options'!B7:B30)/4</f>
        <v>6</v>
      </c>
      <c r="D18" s="27" t="n">
        <v>6</v>
      </c>
      <c r="E18" s="6" t="str">
        <f aca="false">IF(ABS(C18-D18)&lt;0.01,"PASS","FAIL")</f>
        <v>PASS</v>
      </c>
      <c r="F18" s="6" t="s">
        <v>846</v>
      </c>
    </row>
    <row r="19" customFormat="false" ht="15" hidden="false" customHeight="false" outlineLevel="0" collapsed="false">
      <c r="A19" s="6" t="n">
        <v>13</v>
      </c>
      <c r="B19" s="6" t="s">
        <v>847</v>
      </c>
      <c r="C19" s="27" t="n">
        <f aca="false">'Root Options'!E31</f>
        <v>550</v>
      </c>
      <c r="D19" s="27" t="n">
        <v>550</v>
      </c>
      <c r="E19" s="6" t="str">
        <f aca="false">IF(ABS(C19-D19)&lt;0.01,"PASS","FAIL")</f>
        <v>PASS</v>
      </c>
      <c r="F19" s="6" t="s">
        <v>848</v>
      </c>
    </row>
    <row r="20" customFormat="false" ht="15" hidden="false" customHeight="false" outlineLevel="0" collapsed="false">
      <c r="A20" s="6" t="n">
        <v>14</v>
      </c>
      <c r="B20" s="6" t="s">
        <v>849</v>
      </c>
      <c r="C20" s="27" t="n">
        <f aca="false">SUM('Root Options'!F31:G31)</f>
        <v>110</v>
      </c>
      <c r="D20" s="27" t="n">
        <v>110</v>
      </c>
      <c r="E20" s="6" t="str">
        <f aca="false">IF(ABS(C20-D20)&lt;0.01,"PASS","FAIL")</f>
        <v>PASS</v>
      </c>
      <c r="F20" s="6" t="s">
        <v>850</v>
      </c>
    </row>
    <row r="21" customFormat="false" ht="15" hidden="false" customHeight="false" outlineLevel="0" collapsed="false">
      <c r="A21" s="6" t="n">
        <v>15</v>
      </c>
      <c r="B21" s="6" t="s">
        <v>851</v>
      </c>
      <c r="C21" s="27" t="n">
        <f aca="false">'Root Options'!L31</f>
        <v>0</v>
      </c>
      <c r="D21" s="27" t="n">
        <v>0</v>
      </c>
      <c r="E21" s="6" t="str">
        <f aca="false">IF(ABS(C21-D21)&lt;0.01,"PASS","FAIL")</f>
        <v>PASS</v>
      </c>
      <c r="F21" s="6" t="s">
        <v>852</v>
      </c>
    </row>
    <row r="22" customFormat="false" ht="15" hidden="false" customHeight="false" outlineLevel="0" collapsed="false">
      <c r="A22" s="6" t="n">
        <v>16</v>
      </c>
      <c r="B22" s="6" t="s">
        <v>853</v>
      </c>
      <c r="C22" s="27" t="n">
        <f aca="false">'Root Options'!M31</f>
        <v>0.0462496797102001</v>
      </c>
      <c r="D22" s="27" t="n">
        <v>0.0462496797102001</v>
      </c>
      <c r="E22" s="6" t="str">
        <f aca="false">IF(ABS(C22-D22)&lt;0.01,"PASS","FAIL")</f>
        <v>PASS</v>
      </c>
      <c r="F22" s="6" t="s">
        <v>854</v>
      </c>
    </row>
    <row r="23" customFormat="false" ht="15" hidden="false" customHeight="false" outlineLevel="0" collapsed="false">
      <c r="A23" s="6" t="n">
        <v>17</v>
      </c>
      <c r="B23" s="6" t="s">
        <v>855</v>
      </c>
      <c r="C23" s="27" t="n">
        <f aca="false">1/'Root Options'!M31</f>
        <v>21.6217713563853</v>
      </c>
      <c r="D23" s="27" t="n">
        <v>21.6217713563853</v>
      </c>
      <c r="E23" s="6" t="str">
        <f aca="false">IF(ABS(C23-D23)&lt;0.01,"PASS","FAIL")</f>
        <v>PASS</v>
      </c>
      <c r="F23" s="6" t="s">
        <v>856</v>
      </c>
    </row>
    <row r="24" customFormat="false" ht="15" hidden="false" customHeight="false" outlineLevel="0" collapsed="false">
      <c r="A24" s="6" t="n">
        <v>18</v>
      </c>
      <c r="B24" s="6" t="s">
        <v>18</v>
      </c>
      <c r="C24" s="27" t="n">
        <f aca="false">'Industry Shape'!C8</f>
        <v>0.184998718840801</v>
      </c>
      <c r="D24" s="27" t="n">
        <v>0.1849987188408</v>
      </c>
      <c r="E24" s="6" t="str">
        <f aca="false">IF(ABS(C24-D24)&lt;0.01,"PASS","FAIL")</f>
        <v>PASS</v>
      </c>
      <c r="F24" s="6" t="s">
        <v>857</v>
      </c>
    </row>
    <row r="25" customFormat="false" ht="15" hidden="false" customHeight="false" outlineLevel="0" collapsed="false">
      <c r="A25" s="6" t="n">
        <v>19</v>
      </c>
      <c r="B25" s="6" t="s">
        <v>132</v>
      </c>
      <c r="C25" s="27" t="n">
        <f aca="false">COUNTA('Field Awards'!A7:A102)</f>
        <v>96</v>
      </c>
      <c r="D25" s="27" t="n">
        <v>96</v>
      </c>
      <c r="E25" s="6" t="str">
        <f aca="false">IF(ABS(C25-D25)&lt;0.01,"PASS","FAIL")</f>
        <v>PASS</v>
      </c>
      <c r="F25" s="6" t="s">
        <v>858</v>
      </c>
    </row>
    <row r="26" customFormat="false" ht="15" hidden="false" customHeight="false" outlineLevel="0" collapsed="false">
      <c r="A26" s="6" t="n">
        <v>20</v>
      </c>
      <c r="B26" s="6" t="s">
        <v>859</v>
      </c>
      <c r="C26" s="27" t="n">
        <f aca="false">'Field Awards'!G103</f>
        <v>57.390605109129</v>
      </c>
      <c r="D26" s="27" t="n">
        <v>57.390605109129</v>
      </c>
      <c r="E26" s="6" t="str">
        <f aca="false">IF(ABS(C26-D26)&lt;0.01,"PASS","FAIL")</f>
        <v>PASS</v>
      </c>
      <c r="F26" s="6" t="s">
        <v>860</v>
      </c>
    </row>
    <row r="27" customFormat="false" ht="15" hidden="false" customHeight="false" outlineLevel="0" collapsed="false">
      <c r="A27" s="6" t="n">
        <v>21</v>
      </c>
      <c r="B27" s="6" t="s">
        <v>861</v>
      </c>
      <c r="C27" s="27" t="n">
        <f aca="false">'Field Awards'!H103</f>
        <v>52.609394890871</v>
      </c>
      <c r="D27" s="27" t="n">
        <v>52.609394890871</v>
      </c>
      <c r="E27" s="6" t="str">
        <f aca="false">IF(ABS(C27-D27)&lt;0.01,"PASS","FAIL")</f>
        <v>PASS</v>
      </c>
      <c r="F27" s="6" t="s">
        <v>862</v>
      </c>
    </row>
    <row r="28" customFormat="false" ht="15" hidden="false" customHeight="false" outlineLevel="0" collapsed="false">
      <c r="A28" s="6" t="n">
        <v>22</v>
      </c>
      <c r="B28" s="6" t="s">
        <v>863</v>
      </c>
      <c r="C28" s="27" t="n">
        <f aca="false">'Field Awards'!K103</f>
        <v>0</v>
      </c>
      <c r="D28" s="27" t="n">
        <v>0</v>
      </c>
      <c r="E28" s="6" t="str">
        <f aca="false">IF(ABS(C28-D28)&lt;0.01,"PASS","FAIL")</f>
        <v>PASS</v>
      </c>
      <c r="F28" s="6" t="s">
        <v>864</v>
      </c>
    </row>
    <row r="29" customFormat="false" ht="15" hidden="false" customHeight="false" outlineLevel="0" collapsed="false">
      <c r="A29" s="6" t="n">
        <v>23</v>
      </c>
      <c r="B29" s="6" t="s">
        <v>865</v>
      </c>
      <c r="C29" s="27" t="n">
        <f aca="false">'Field Awards'!L103</f>
        <v>0</v>
      </c>
      <c r="D29" s="27" t="n">
        <v>0</v>
      </c>
      <c r="E29" s="6" t="str">
        <f aca="false">IF(ABS(C29-D29)&lt;0.01,"PASS","FAIL")</f>
        <v>PASS</v>
      </c>
      <c r="F29" s="6" t="s">
        <v>852</v>
      </c>
    </row>
    <row r="30" customFormat="false" ht="15" hidden="false" customHeight="false" outlineLevel="0" collapsed="false">
      <c r="A30" s="6" t="n">
        <v>24</v>
      </c>
      <c r="B30" s="6" t="s">
        <v>866</v>
      </c>
      <c r="C30" s="27" t="n">
        <f aca="false">COUNTA('Ancestry Register'!A7:A294)</f>
        <v>288</v>
      </c>
      <c r="D30" s="27" t="n">
        <v>288</v>
      </c>
      <c r="E30" s="6" t="str">
        <f aca="false">IF(ABS(C30-D30)&lt;0.01,"PASS","FAIL")</f>
        <v>PASS</v>
      </c>
      <c r="F30" s="6" t="s">
        <v>867</v>
      </c>
    </row>
    <row r="31" customFormat="false" ht="15" hidden="false" customHeight="false" outlineLevel="0" collapsed="false">
      <c r="A31" s="6" t="n">
        <v>25</v>
      </c>
      <c r="B31" s="6" t="s">
        <v>868</v>
      </c>
      <c r="C31" s="27" t="n">
        <f aca="false">COUNTIFS('Ancestry Register'!D7:D294,"SOURCE EMPTY")</f>
        <v>288</v>
      </c>
      <c r="D31" s="27" t="n">
        <v>288</v>
      </c>
      <c r="E31" s="6" t="str">
        <f aca="false">IF(ABS(C31-D31)&lt;0.01,"PASS","FAIL")</f>
        <v>PASS</v>
      </c>
      <c r="F31" s="6" t="s">
        <v>869</v>
      </c>
    </row>
    <row r="32" customFormat="false" ht="15" hidden="false" customHeight="false" outlineLevel="0" collapsed="false">
      <c r="A32" s="6" t="n">
        <v>26</v>
      </c>
      <c r="B32" s="6" t="s">
        <v>870</v>
      </c>
      <c r="C32" s="27" t="n">
        <f aca="false">SUM('Ancestry Register'!H7:H294)</f>
        <v>0</v>
      </c>
      <c r="D32" s="27" t="n">
        <v>0</v>
      </c>
      <c r="E32" s="6" t="str">
        <f aca="false">IF(ABS(C32-D32)&lt;0.01,"PASS","FAIL")</f>
        <v>PASS</v>
      </c>
      <c r="F32" s="6" t="s">
        <v>852</v>
      </c>
    </row>
    <row r="33" customFormat="false" ht="15" hidden="false" customHeight="false" outlineLevel="0" collapsed="false">
      <c r="A33" s="6" t="n">
        <v>27</v>
      </c>
      <c r="B33" s="6" t="s">
        <v>871</v>
      </c>
      <c r="C33" s="27" t="n">
        <f aca="false">COUNTA('Shared Dependencies'!A7:A78)</f>
        <v>72</v>
      </c>
      <c r="D33" s="27" t="n">
        <v>72</v>
      </c>
      <c r="E33" s="6" t="str">
        <f aca="false">IF(ABS(C33-D33)&lt;0.01,"PASS","FAIL")</f>
        <v>PASS</v>
      </c>
      <c r="F33" s="6" t="s">
        <v>872</v>
      </c>
    </row>
    <row r="34" customFormat="false" ht="15" hidden="false" customHeight="false" outlineLevel="0" collapsed="false">
      <c r="A34" s="6" t="n">
        <v>28</v>
      </c>
      <c r="B34" s="6" t="s">
        <v>873</v>
      </c>
      <c r="C34" s="27" t="n">
        <f aca="false">COUNTIFS('Shared Dependencies'!D7:D78,"SOURCE EMPTY")</f>
        <v>72</v>
      </c>
      <c r="D34" s="27" t="n">
        <v>72</v>
      </c>
      <c r="E34" s="6" t="str">
        <f aca="false">IF(ABS(C34-D34)&lt;0.01,"PASS","FAIL")</f>
        <v>PASS</v>
      </c>
      <c r="F34" s="6" t="s">
        <v>874</v>
      </c>
    </row>
    <row r="35" customFormat="false" ht="15" hidden="false" customHeight="false" outlineLevel="0" collapsed="false">
      <c r="A35" s="6" t="n">
        <v>29</v>
      </c>
      <c r="B35" s="6" t="s">
        <v>875</v>
      </c>
      <c r="C35" s="27" t="n">
        <f aca="false">SUM('Shared Dependencies'!H7:H78)</f>
        <v>0</v>
      </c>
      <c r="D35" s="27" t="n">
        <v>0</v>
      </c>
      <c r="E35" s="6" t="str">
        <f aca="false">IF(ABS(C35-D35)&lt;0.01,"PASS","FAIL")</f>
        <v>PASS</v>
      </c>
      <c r="F35" s="6" t="s">
        <v>876</v>
      </c>
    </row>
    <row r="36" customFormat="false" ht="15" hidden="false" customHeight="false" outlineLevel="0" collapsed="false">
      <c r="A36" s="6" t="n">
        <v>30</v>
      </c>
      <c r="B36" s="6" t="s">
        <v>877</v>
      </c>
      <c r="C36" s="27" t="n">
        <f aca="false">COUNTA('Payment Ladder'!A7:A10)</f>
        <v>4</v>
      </c>
      <c r="D36" s="27" t="n">
        <v>4</v>
      </c>
      <c r="E36" s="6" t="str">
        <f aca="false">IF(ABS(C36-D36)&lt;0.01,"PASS","FAIL")</f>
        <v>PASS</v>
      </c>
      <c r="F36" s="6" t="s">
        <v>878</v>
      </c>
    </row>
    <row r="37" customFormat="false" ht="15" hidden="false" customHeight="false" outlineLevel="0" collapsed="false">
      <c r="A37" s="6" t="n">
        <v>31</v>
      </c>
      <c r="B37" s="6" t="s">
        <v>879</v>
      </c>
      <c r="C37" s="27" t="n">
        <f aca="false">'Payment Ladder'!B11</f>
        <v>1</v>
      </c>
      <c r="D37" s="27" t="n">
        <v>1</v>
      </c>
      <c r="E37" s="6" t="str">
        <f aca="false">IF(ABS(C37-D37)&lt;0.01,"PASS","FAIL")</f>
        <v>PASS</v>
      </c>
      <c r="F37" s="6" t="s">
        <v>880</v>
      </c>
    </row>
    <row r="38" customFormat="false" ht="15" hidden="false" customHeight="false" outlineLevel="0" collapsed="false">
      <c r="A38" s="6" t="n">
        <v>32</v>
      </c>
      <c r="B38" s="6" t="s">
        <v>881</v>
      </c>
      <c r="C38" s="27" t="n">
        <f aca="false">'Payment Ladder'!C11</f>
        <v>57.390605109129</v>
      </c>
      <c r="D38" s="27" t="n">
        <v>57.390605109129</v>
      </c>
      <c r="E38" s="6" t="str">
        <f aca="false">IF(ABS(C38-D38)&lt;0.01,"PASS","FAIL")</f>
        <v>PASS</v>
      </c>
      <c r="F38" s="6" t="s">
        <v>882</v>
      </c>
    </row>
    <row r="39" customFormat="false" ht="15" hidden="false" customHeight="false" outlineLevel="0" collapsed="false">
      <c r="A39" s="6" t="n">
        <v>33</v>
      </c>
      <c r="B39" s="6" t="s">
        <v>883</v>
      </c>
      <c r="C39" s="27" t="n">
        <f aca="false">SUM('Payment Ladder'!I7:I10)</f>
        <v>0</v>
      </c>
      <c r="D39" s="27" t="n">
        <v>0</v>
      </c>
      <c r="E39" s="6" t="str">
        <f aca="false">IF(ABS(C39-D39)&lt;0.01,"PASS","FAIL")</f>
        <v>PASS</v>
      </c>
      <c r="F39" s="6" t="s">
        <v>884</v>
      </c>
    </row>
    <row r="40" customFormat="false" ht="15" hidden="false" customHeight="false" outlineLevel="0" collapsed="false">
      <c r="A40" s="6" t="n">
        <v>34</v>
      </c>
      <c r="B40" s="6" t="s">
        <v>30</v>
      </c>
      <c r="C40" s="27" t="n">
        <f aca="false">COUNTA('Transaction States'!A7:A14)</f>
        <v>8</v>
      </c>
      <c r="D40" s="27" t="n">
        <v>8</v>
      </c>
      <c r="E40" s="6" t="str">
        <f aca="false">IF(ABS(C40-D40)&lt;0.01,"PASS","FAIL")</f>
        <v>PASS</v>
      </c>
      <c r="F40" s="6" t="s">
        <v>885</v>
      </c>
    </row>
    <row r="41" customFormat="false" ht="15" hidden="false" customHeight="false" outlineLevel="0" collapsed="false">
      <c r="A41" s="6" t="n">
        <v>35</v>
      </c>
      <c r="B41" s="6" t="s">
        <v>886</v>
      </c>
      <c r="C41" s="27" t="n">
        <f aca="false">COUNTA(Authority!A7:A16)</f>
        <v>10</v>
      </c>
      <c r="D41" s="27" t="n">
        <v>10</v>
      </c>
      <c r="E41" s="6" t="str">
        <f aca="false">IF(ABS(C41-D41)&lt;0.01,"PASS","FAIL")</f>
        <v>PASS</v>
      </c>
      <c r="F41" s="6" t="s">
        <v>887</v>
      </c>
    </row>
    <row r="42" customFormat="false" ht="15" hidden="false" customHeight="false" outlineLevel="0" collapsed="false">
      <c r="A42" s="6" t="n">
        <v>36</v>
      </c>
      <c r="B42" s="6" t="s">
        <v>553</v>
      </c>
      <c r="C42" s="27" t="n">
        <f aca="false">COUNTA('Public Rights'!A7:A18)</f>
        <v>12</v>
      </c>
      <c r="D42" s="27" t="n">
        <v>12</v>
      </c>
      <c r="E42" s="6" t="str">
        <f aca="false">IF(ABS(C42-D42)&lt;0.01,"PASS","FAIL")</f>
        <v>PASS</v>
      </c>
      <c r="F42" s="6" t="s">
        <v>888</v>
      </c>
    </row>
    <row r="43" customFormat="false" ht="15" hidden="false" customHeight="false" outlineLevel="0" collapsed="false">
      <c r="A43" s="6" t="n">
        <v>37</v>
      </c>
      <c r="B43" s="6" t="s">
        <v>889</v>
      </c>
      <c r="C43" s="27" t="n">
        <f aca="false">COUNTIFS('Stress Tests'!F7:F20,"PASS")</f>
        <v>14</v>
      </c>
      <c r="D43" s="27" t="n">
        <v>14</v>
      </c>
      <c r="E43" s="6" t="str">
        <f aca="false">IF(ABS(C43-D43)&lt;0.01,"PASS","FAIL")</f>
        <v>PASS</v>
      </c>
      <c r="F43" s="6" t="s">
        <v>890</v>
      </c>
    </row>
    <row r="44" customFormat="false" ht="15" hidden="false" customHeight="false" outlineLevel="0" collapsed="false">
      <c r="A44" s="6" t="n">
        <v>38</v>
      </c>
      <c r="B44" s="6" t="s">
        <v>891</v>
      </c>
      <c r="C44" s="27" t="n">
        <f aca="false">COUNTIFS(Mutations!E7:E16,"FAIL")</f>
        <v>10</v>
      </c>
      <c r="D44" s="27" t="n">
        <v>10</v>
      </c>
      <c r="E44" s="6" t="str">
        <f aca="false">IF(ABS(C44-D44)&lt;0.01,"PASS","FAIL")</f>
        <v>PASS</v>
      </c>
      <c r="F44" s="6" t="s">
        <v>892</v>
      </c>
    </row>
    <row r="45" customFormat="false" ht="15" hidden="false" customHeight="false" outlineLevel="0" collapsed="false">
      <c r="A45" s="6" t="n">
        <v>39</v>
      </c>
      <c r="B45" s="6" t="s">
        <v>893</v>
      </c>
      <c r="C45" s="27" t="n">
        <f aca="false">COUNTIFS(Mutations!G7:G16,"YES")</f>
        <v>10</v>
      </c>
      <c r="D45" s="27" t="n">
        <v>10</v>
      </c>
      <c r="E45" s="6" t="str">
        <f aca="false">IF(ABS(C45-D45)&lt;0.01,"PASS","FAIL")</f>
        <v>PASS</v>
      </c>
      <c r="F45" s="6" t="s">
        <v>894</v>
      </c>
    </row>
    <row r="46" customFormat="false" ht="15" hidden="false" customHeight="false" outlineLevel="0" collapsed="false">
      <c r="A46" s="6" t="n">
        <v>40</v>
      </c>
      <c r="B46" s="6" t="s">
        <v>895</v>
      </c>
      <c r="C46" s="27" t="n">
        <f aca="false">SUM(Mutations!H7:H16)</f>
        <v>0</v>
      </c>
      <c r="D46" s="27" t="n">
        <v>0</v>
      </c>
      <c r="E46" s="6" t="str">
        <f aca="false">IF(ABS(C46-D46)&lt;0.01,"PASS","FAIL")</f>
        <v>PASS</v>
      </c>
      <c r="F46" s="6" t="s">
        <v>896</v>
      </c>
    </row>
  </sheetData>
  <conditionalFormatting sqref="E7:E46">
    <cfRule type="containsText" priority="2" operator="containsText" aboveAverage="0" equalAverage="0" bottom="0" percent="0" rank="0" text="FAIL" dxfId="5">
      <formula>NOT(ISERROR(SEARCH("FAIL",E7)))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2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45"/>
    <col collapsed="false" customWidth="true" hidden="false" outlineLevel="0" max="3" min="3" style="0" width="72"/>
    <col collapsed="false" customWidth="true" hidden="false" outlineLevel="0" max="4" min="4" style="0" width="18"/>
  </cols>
  <sheetData>
    <row r="2" customFormat="false" ht="24" hidden="false" customHeight="true" outlineLevel="0" collapsed="false">
      <c r="A2" s="1" t="s">
        <v>897</v>
      </c>
    </row>
    <row r="3" customFormat="false" ht="18" hidden="false" customHeight="true" outlineLevel="0" collapsed="false">
      <c r="A3" s="2" t="s">
        <v>898</v>
      </c>
      <c r="B3" s="2"/>
      <c r="C3" s="2"/>
      <c r="D3" s="2"/>
    </row>
    <row r="6" customFormat="false" ht="15" hidden="false" customHeight="false" outlineLevel="0" collapsed="false">
      <c r="A6" s="5" t="s">
        <v>899</v>
      </c>
      <c r="B6" s="5" t="s">
        <v>900</v>
      </c>
      <c r="C6" s="5" t="s">
        <v>901</v>
      </c>
      <c r="D6" s="5" t="s">
        <v>339</v>
      </c>
    </row>
    <row r="7" customFormat="false" ht="15" hidden="false" customHeight="false" outlineLevel="0" collapsed="false">
      <c r="A7" s="6" t="s">
        <v>902</v>
      </c>
      <c r="B7" s="6" t="s">
        <v>903</v>
      </c>
      <c r="C7" s="6" t="s">
        <v>904</v>
      </c>
      <c r="D7" s="6" t="s">
        <v>905</v>
      </c>
    </row>
    <row r="8" customFormat="false" ht="15" hidden="false" customHeight="false" outlineLevel="0" collapsed="false">
      <c r="A8" s="6" t="s">
        <v>906</v>
      </c>
      <c r="B8" s="6" t="s">
        <v>907</v>
      </c>
      <c r="C8" s="6" t="s">
        <v>908</v>
      </c>
      <c r="D8" s="6" t="s">
        <v>905</v>
      </c>
    </row>
    <row r="9" customFormat="false" ht="15" hidden="false" customHeight="false" outlineLevel="0" collapsed="false">
      <c r="A9" s="6" t="s">
        <v>909</v>
      </c>
      <c r="B9" s="6" t="s">
        <v>96</v>
      </c>
      <c r="C9" s="6" t="s">
        <v>910</v>
      </c>
      <c r="D9" s="6" t="s">
        <v>905</v>
      </c>
    </row>
    <row r="10" customFormat="false" ht="15" hidden="false" customHeight="false" outlineLevel="0" collapsed="false">
      <c r="A10" s="6" t="s">
        <v>911</v>
      </c>
      <c r="B10" s="6" t="s">
        <v>912</v>
      </c>
      <c r="C10" s="6" t="s">
        <v>913</v>
      </c>
      <c r="D10" s="6" t="s">
        <v>905</v>
      </c>
    </row>
    <row r="11" customFormat="false" ht="15" hidden="false" customHeight="false" outlineLevel="0" collapsed="false">
      <c r="A11" s="6" t="s">
        <v>914</v>
      </c>
      <c r="B11" s="6" t="s">
        <v>915</v>
      </c>
      <c r="C11" s="6" t="s">
        <v>916</v>
      </c>
      <c r="D11" s="6" t="s">
        <v>905</v>
      </c>
    </row>
    <row r="12" customFormat="false" ht="15" hidden="false" customHeight="false" outlineLevel="0" collapsed="false">
      <c r="A12" s="6" t="s">
        <v>917</v>
      </c>
      <c r="B12" s="6" t="s">
        <v>918</v>
      </c>
      <c r="C12" s="6" t="s">
        <v>919</v>
      </c>
      <c r="D12" s="6" t="s">
        <v>920</v>
      </c>
    </row>
    <row r="13" customFormat="false" ht="15" hidden="false" customHeight="false" outlineLevel="0" collapsed="false">
      <c r="A13" s="6" t="s">
        <v>921</v>
      </c>
      <c r="B13" s="6" t="s">
        <v>922</v>
      </c>
      <c r="C13" s="6" t="s">
        <v>923</v>
      </c>
      <c r="D13" s="6" t="s">
        <v>905</v>
      </c>
    </row>
    <row r="14" customFormat="false" ht="15" hidden="false" customHeight="false" outlineLevel="0" collapsed="false">
      <c r="A14" s="6" t="s">
        <v>924</v>
      </c>
      <c r="B14" s="6" t="s">
        <v>925</v>
      </c>
      <c r="C14" s="6" t="s">
        <v>926</v>
      </c>
      <c r="D14" s="6" t="s">
        <v>927</v>
      </c>
    </row>
    <row r="15" customFormat="false" ht="15" hidden="false" customHeight="false" outlineLevel="0" collapsed="false">
      <c r="A15" s="6" t="s">
        <v>928</v>
      </c>
      <c r="B15" s="6" t="s">
        <v>929</v>
      </c>
      <c r="C15" s="6" t="s">
        <v>930</v>
      </c>
      <c r="D15" s="6" t="s">
        <v>931</v>
      </c>
    </row>
    <row r="16" customFormat="false" ht="15" hidden="false" customHeight="false" outlineLevel="0" collapsed="false">
      <c r="A16" s="6" t="s">
        <v>932</v>
      </c>
      <c r="B16" s="6" t="s">
        <v>933</v>
      </c>
      <c r="C16" s="6" t="s">
        <v>934</v>
      </c>
      <c r="D16" s="6" t="s">
        <v>935</v>
      </c>
    </row>
    <row r="17" customFormat="false" ht="15" hidden="false" customHeight="false" outlineLevel="0" collapsed="false">
      <c r="A17" s="6" t="s">
        <v>936</v>
      </c>
      <c r="B17" s="6" t="s">
        <v>937</v>
      </c>
      <c r="C17" s="6" t="s">
        <v>938</v>
      </c>
      <c r="D17" s="6" t="s">
        <v>939</v>
      </c>
    </row>
    <row r="18" customFormat="false" ht="15" hidden="false" customHeight="false" outlineLevel="0" collapsed="false">
      <c r="A18" s="6" t="s">
        <v>940</v>
      </c>
      <c r="B18" s="6" t="s">
        <v>941</v>
      </c>
      <c r="C18" s="6" t="s">
        <v>942</v>
      </c>
      <c r="D18" s="6" t="s">
        <v>80</v>
      </c>
    </row>
    <row r="19" customFormat="false" ht="23.85" hidden="false" customHeight="false" outlineLevel="0" collapsed="false">
      <c r="A19" s="6" t="s">
        <v>943</v>
      </c>
      <c r="B19" s="6" t="s">
        <v>944</v>
      </c>
      <c r="C19" s="6" t="s">
        <v>945</v>
      </c>
      <c r="D19" s="6" t="s">
        <v>946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