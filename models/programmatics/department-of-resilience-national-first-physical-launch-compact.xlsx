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ols" sheetId="2" state="visible" r:id="rId4"/>
    <sheet name="Architecture" sheetId="3" state="visible" r:id="rId5"/>
    <sheet name="Integration" sheetId="4" state="visible" r:id="rId6"/>
    <sheet name="Contradictions" sheetId="5" state="visible" r:id="rId7"/>
    <sheet name="Finance" sheetId="6" state="visible" r:id="rId8"/>
    <sheet name="Launch Objects" sheetId="7" state="visible" r:id="rId9"/>
    <sheet name="Warrant Ladder" sheetId="8" state="visible" r:id="rId10"/>
    <sheet name="Root Register" sheetId="9" state="visible" r:id="rId11"/>
    <sheet name="Domain Register" sheetId="10" state="visible" r:id="rId12"/>
    <sheet name="Interface Law" sheetId="11" state="visible" r:id="rId13"/>
    <sheet name="Public Estate" sheetId="12" state="visible" r:id="rId14"/>
    <sheet name="Authority" sheetId="13" state="visible" r:id="rId15"/>
    <sheet name="Failure Rollback" sheetId="14" state="visible" r:id="rId16"/>
    <sheet name="A2 Return" sheetId="15" state="visible" r:id="rId17"/>
    <sheet name="Stress Tests" sheetId="16" state="visible" r:id="rId18"/>
    <sheet name="Mutations" sheetId="17" state="visible" r:id="rId19"/>
    <sheet name="Audit" sheetId="18" state="visible" r:id="rId20"/>
    <sheet name="Sources &amp; Limits" sheetId="19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<sst xmlns="http://schemas.openxmlformats.org/spreadsheetml/2006/main" count="3214" uniqueCount="1497">
  <si>
    <t xml:space="preserve">PFP-5 National First Physical Launch Compact</t>
  </si>
  <si>
    <t xml:space="preserve">Verdict: RETURN. The warranted launch lattice is executable as a competition constitution. It authorizes no firm, article, physical event, payment, capability or exterior form.</t>
  </si>
  <si>
    <t xml:space="preserve">Decision</t>
  </si>
  <si>
    <t xml:space="preserve">Result</t>
  </si>
  <si>
    <t xml:space="preserve">Unit</t>
  </si>
  <si>
    <t xml:space="preserve">State</t>
  </si>
  <si>
    <t xml:space="preserve">Meaning</t>
  </si>
  <si>
    <t xml:space="preserve">Current authority</t>
  </si>
  <si>
    <t xml:space="preserve">Next question</t>
  </si>
  <si>
    <t xml:space="preserve">selected launch architecture</t>
  </si>
  <si>
    <t xml:space="preserve">warranted launch lattice</t>
  </si>
  <si>
    <t xml:space="preserve">architecture</t>
  </si>
  <si>
    <t xml:space="preserve">RETURN</t>
  </si>
  <si>
    <t xml:space="preserve">four prior passes integrated</t>
  </si>
  <si>
    <t xml:space="preserve">issue bounded competitions</t>
  </si>
  <si>
    <t xml:space="preserve">A2 construction portfolio</t>
  </si>
  <si>
    <t xml:space="preserve">first-tranche ceiling</t>
  </si>
  <si>
    <t xml:space="preserve">USD B</t>
  </si>
  <si>
    <t xml:space="preserve">CONSTITUTED</t>
  </si>
  <si>
    <t xml:space="preserve">five exclusive accounts</t>
  </si>
  <si>
    <t xml:space="preserve">ceiling only</t>
  </si>
  <si>
    <t xml:space="preserve">no additional money</t>
  </si>
  <si>
    <t xml:space="preserve">stageable private ceiling</t>
  </si>
  <si>
    <t xml:space="preserve">GATED</t>
  </si>
  <si>
    <t xml:space="preserve">artifact options</t>
  </si>
  <si>
    <t xml:space="preserve">no award</t>
  </si>
  <si>
    <t xml:space="preserve">control admission</t>
  </si>
  <si>
    <t xml:space="preserve">selected cohort</t>
  </si>
  <si>
    <t xml:space="preserve">FROZEN</t>
  </si>
  <si>
    <t xml:space="preserve">one field per system</t>
  </si>
  <si>
    <t xml:space="preserve">24 A1 issues</t>
  </si>
  <si>
    <t xml:space="preserve">A2 endpoints</t>
  </si>
  <si>
    <t xml:space="preserve">cohort stageable</t>
  </si>
  <si>
    <t xml:space="preserve">twenty-four root experiments</t>
  </si>
  <si>
    <t xml:space="preserve">through MAKE capped at USD 7.17B</t>
  </si>
  <si>
    <t xml:space="preserve">artifact acceptance</t>
  </si>
  <si>
    <t xml:space="preserve">public-method reservation</t>
  </si>
  <si>
    <t xml:space="preserve">RESERVED</t>
  </si>
  <si>
    <t xml:space="preserve">nested in USD 80B enabling</t>
  </si>
  <si>
    <t xml:space="preserve">no obligation</t>
  </si>
  <si>
    <t xml:space="preserve">estate construction selection</t>
  </si>
  <si>
    <t xml:space="preserve">root houses</t>
  </si>
  <si>
    <t xml:space="preserve">count</t>
  </si>
  <si>
    <t xml:space="preserve">ISSUE-READY</t>
  </si>
  <si>
    <t xml:space="preserve">one control group per root</t>
  </si>
  <si>
    <t xml:space="preserve">charter calls only</t>
  </si>
  <si>
    <t xml:space="preserve">identity admission</t>
  </si>
  <si>
    <t xml:space="preserve">root-field opportunities</t>
  </si>
  <si>
    <t xml:space="preserve">24 cohort and 72 held</t>
  </si>
  <si>
    <t xml:space="preserve">24 may issue</t>
  </si>
  <si>
    <t xml:space="preserve">later field release</t>
  </si>
  <si>
    <t xml:space="preserve">A0.1 packages</t>
  </si>
  <si>
    <t xml:space="preserve">FROZEN FOR ISSUE</t>
  </si>
  <si>
    <t xml:space="preserve">public questions</t>
  </si>
  <si>
    <t xml:space="preserve">publication</t>
  </si>
  <si>
    <t xml:space="preserve">physical realization</t>
  </si>
  <si>
    <t xml:space="preserve">method realizations</t>
  </si>
  <si>
    <t xml:space="preserve">HELD</t>
  </si>
  <si>
    <t xml:space="preserve">two unlike per method card</t>
  </si>
  <si>
    <t xml:space="preserve">none</t>
  </si>
  <si>
    <t xml:space="preserve">independence acceptance</t>
  </si>
  <si>
    <t xml:space="preserve">A1 development warrants</t>
  </si>
  <si>
    <t xml:space="preserve">ISSUE AUTHORIZED</t>
  </si>
  <si>
    <t xml:space="preserve">one per root</t>
  </si>
  <si>
    <t xml:space="preserve">competition issue</t>
  </si>
  <si>
    <t xml:space="preserve">award</t>
  </si>
  <si>
    <t xml:space="preserve">A1 execution domains</t>
  </si>
  <si>
    <t xml:space="preserve">DECLARED</t>
  </si>
  <si>
    <t xml:space="preserve">subset of 288 parent cells</t>
  </si>
  <si>
    <t xml:space="preserve">provider identities remain empty</t>
  </si>
  <si>
    <t xml:space="preserve">ancestry admission</t>
  </si>
  <si>
    <t xml:space="preserve">prospective events</t>
  </si>
  <si>
    <t xml:space="preserve">event population only</t>
  </si>
  <si>
    <t xml:space="preserve">sealed allocation</t>
  </si>
  <si>
    <t xml:space="preserve">A2 rigs selected</t>
  </si>
  <si>
    <t xml:space="preserve">RETURNED</t>
  </si>
  <si>
    <t xml:space="preserve">parent decision not taken</t>
  </si>
  <si>
    <t xml:space="preserve">first physical construction</t>
  </si>
  <si>
    <t xml:space="preserve">obligations and payments</t>
  </si>
  <si>
    <t xml:space="preserve">no accepted payable artifact</t>
  </si>
  <si>
    <t xml:space="preserve">typed acceptance</t>
  </si>
  <si>
    <t xml:space="preserve">capability and production credit</t>
  </si>
  <si>
    <t xml:space="preserve">no physical evidence</t>
  </si>
  <si>
    <t xml:space="preserve">complete-root proof</t>
  </si>
  <si>
    <t xml:space="preserve">Terminal test</t>
  </si>
  <si>
    <t xml:space="preserve">Returned parent question</t>
  </si>
  <si>
    <t xml:space="preserve">Construction authority</t>
  </si>
  <si>
    <t xml:space="preserve">architecture eligible</t>
  </si>
  <si>
    <t xml:space="preserve">balance-first rigs</t>
  </si>
  <si>
    <t xml:space="preserve">TO TEST</t>
  </si>
  <si>
    <t xml:space="preserve">financial ledgers reconcile</t>
  </si>
  <si>
    <t xml:space="preserve">causal-keystone rigs</t>
  </si>
  <si>
    <t xml:space="preserve">contradictions resolved</t>
  </si>
  <si>
    <t xml:space="preserve">receiver-state realizations</t>
  </si>
  <si>
    <t xml:space="preserve">current obligation</t>
  </si>
  <si>
    <t xml:space="preserve">compound six-system wave</t>
  </si>
  <si>
    <t xml:space="preserve">A2 authority</t>
  </si>
  <si>
    <t xml:space="preserve">full proving-estate formation</t>
  </si>
  <si>
    <t xml:space="preserve">audit failures</t>
  </si>
  <si>
    <t xml:space="preserve">Authoritative launch controls</t>
  </si>
  <si>
    <t xml:space="preserve">Blue cells are the only mutable design controls used by the audit and mutation harness. They are ceilings and counts, not awards or evidence.</t>
  </si>
  <si>
    <t xml:space="preserve">Control</t>
  </si>
  <si>
    <t xml:space="preserve">Value</t>
  </si>
  <si>
    <t xml:space="preserve">Authority</t>
  </si>
  <si>
    <t xml:space="preserve">portfolio ceiling</t>
  </si>
  <si>
    <t xml:space="preserve">PFP-1</t>
  </si>
  <si>
    <t xml:space="preserve">first tranche</t>
  </si>
  <si>
    <t xml:space="preserve">mission-system account</t>
  </si>
  <si>
    <t xml:space="preserve">six systems</t>
  </si>
  <si>
    <t xml:space="preserve">service technical bases</t>
  </si>
  <si>
    <t xml:space="preserve">public technical release</t>
  </si>
  <si>
    <t xml:space="preserve">common capacity</t>
  </si>
  <si>
    <t xml:space="preserve">shared noncandidate capacity</t>
  </si>
  <si>
    <t xml:space="preserve">sovereign technical estate</t>
  </si>
  <si>
    <t xml:space="preserve">public truth and continuity</t>
  </si>
  <si>
    <t xml:space="preserve">failure reserve</t>
  </si>
  <si>
    <t xml:space="preserve">protected</t>
  </si>
  <si>
    <t xml:space="preserve">stageable private options</t>
  </si>
  <si>
    <t xml:space="preserve">PFP-2</t>
  </si>
  <si>
    <t xml:space="preserve">ceiling after gates</t>
  </si>
  <si>
    <t xml:space="preserve">evidence-held mission authority</t>
  </si>
  <si>
    <t xml:space="preserve">held by systems</t>
  </si>
  <si>
    <t xml:space="preserve">public and enabling authority</t>
  </si>
  <si>
    <t xml:space="preserve">service, common and estate</t>
  </si>
  <si>
    <t xml:space="preserve">cohort stageable options</t>
  </si>
  <si>
    <t xml:space="preserve">PFP-3</t>
  </si>
  <si>
    <t xml:space="preserve">twenty-four experiments</t>
  </si>
  <si>
    <t xml:space="preserve">cohort evidence-held authority</t>
  </si>
  <si>
    <t xml:space="preserve">selected six fields</t>
  </si>
  <si>
    <t xml:space="preserve">PFP-4</t>
  </si>
  <si>
    <t xml:space="preserve">nested in enabling</t>
  </si>
  <si>
    <t xml:space="preserve">one per control group</t>
  </si>
  <si>
    <t xml:space="preserve">fields per root</t>
  </si>
  <si>
    <t xml:space="preserve">complete-root liability</t>
  </si>
  <si>
    <t xml:space="preserve">selected cohort assignments</t>
  </si>
  <si>
    <t xml:space="preserve">complete-root domains</t>
  </si>
  <si>
    <t xml:space="preserve">count/root</t>
  </si>
  <si>
    <t xml:space="preserve">parent ancestry register</t>
  </si>
  <si>
    <t xml:space="preserve">first-article subset</t>
  </si>
  <si>
    <t xml:space="preserve">method packages</t>
  </si>
  <si>
    <t xml:space="preserve">one per system</t>
  </si>
  <si>
    <t xml:space="preserve">receiver states per package</t>
  </si>
  <si>
    <t xml:space="preserve">state partitions</t>
  </si>
  <si>
    <t xml:space="preserve">method cards per state</t>
  </si>
  <si>
    <t xml:space="preserve">load, denial, recovery</t>
  </si>
  <si>
    <t xml:space="preserve">realizations per method card</t>
  </si>
  <si>
    <t xml:space="preserve">physically unlike</t>
  </si>
  <si>
    <t xml:space="preserve">events per A1 warrant</t>
  </si>
  <si>
    <t xml:space="preserve">prospective only</t>
  </si>
  <si>
    <t xml:space="preserve">public seams</t>
  </si>
  <si>
    <t xml:space="preserve">grammar, not execution</t>
  </si>
  <si>
    <t xml:space="preserve">directed mission interfaces</t>
  </si>
  <si>
    <t xml:space="preserve">six by five</t>
  </si>
  <si>
    <t xml:space="preserve">current obligations</t>
  </si>
  <si>
    <t xml:space="preserve">PFP-5</t>
  </si>
  <si>
    <t xml:space="preserve">must remain zero</t>
  </si>
  <si>
    <t xml:space="preserve">current payments</t>
  </si>
  <si>
    <t xml:space="preserve">valid physical events</t>
  </si>
  <si>
    <t xml:space="preserve">source-empty</t>
  </si>
  <si>
    <t xml:space="preserve">selected A2 rigs</t>
  </si>
  <si>
    <t xml:space="preserve">returned to parent</t>
  </si>
  <si>
    <t xml:space="preserve">field credit</t>
  </si>
  <si>
    <t xml:space="preserve">not inferred</t>
  </si>
  <si>
    <t xml:space="preserve">root credit</t>
  </si>
  <si>
    <t xml:space="preserve">production credit</t>
  </si>
  <si>
    <t xml:space="preserve">Launch architecture hard-gate test</t>
  </si>
  <si>
    <t xml:space="preserve">A candidate must pass all fourteen noncompensatory gates. A score cannot compensate for a failed gate.</t>
  </si>
  <si>
    <t xml:space="preserve">Architecture</t>
  </si>
  <si>
    <t xml:space="preserve">five accounts conserved</t>
  </si>
  <si>
    <t xml:space="preserve">all six systems live</t>
  </si>
  <si>
    <t xml:space="preserve">twenty-four roots separate</t>
  </si>
  <si>
    <t xml:space="preserve">compound cohort preserved</t>
  </si>
  <si>
    <t xml:space="preserve">public denominator</t>
  </si>
  <si>
    <t xml:space="preserve">plural physical truth</t>
  </si>
  <si>
    <t xml:space="preserve">independent proof</t>
  </si>
  <si>
    <t xml:space="preserve">receiver acceptance</t>
  </si>
  <si>
    <t xml:space="preserve">paid valid failure</t>
  </si>
  <si>
    <t xml:space="preserve">no production inference</t>
  </si>
  <si>
    <t xml:space="preserve">typed rollback</t>
  </si>
  <si>
    <t xml:space="preserve">zero-credit start</t>
  </si>
  <si>
    <t xml:space="preserve">executable issue path</t>
  </si>
  <si>
    <t xml:space="preserve">Passes</t>
  </si>
  <si>
    <t xml:space="preserve">Eligible</t>
  </si>
  <si>
    <t xml:space="preserve">Warranted launch lattice</t>
  </si>
  <si>
    <t xml:space="preserve">Consolidated launch office</t>
  </si>
  <si>
    <t xml:space="preserve">Six system program offices</t>
  </si>
  <si>
    <t xml:space="preserve">Twenty-four prime demonstrations</t>
  </si>
  <si>
    <t xml:space="preserve">Proving-estate-first launch</t>
  </si>
  <si>
    <t xml:space="preserve">Five-pass physical-portfolio integration</t>
  </si>
  <si>
    <t xml:space="preserve">Later passes supersede implementation ambiguity without erasing the quantities established earlier.</t>
  </si>
  <si>
    <t xml:space="preserve">Pass</t>
  </si>
  <si>
    <t xml:space="preserve">Research object</t>
  </si>
  <si>
    <t xml:space="preserve">Authoritative contribution</t>
  </si>
  <si>
    <t xml:space="preserve">Inherited quantity</t>
  </si>
  <si>
    <t xml:space="preserve">Launch interpretation</t>
  </si>
  <si>
    <t xml:space="preserve">Branch result</t>
  </si>
  <si>
    <t xml:space="preserve">PFP-1 National First Article Portfolio</t>
  </si>
  <si>
    <t xml:space="preserve">all-six build-to-learn sequence</t>
  </si>
  <si>
    <t xml:space="preserve">USD 200B; 24 fields; 96 opportunities; eight article states</t>
  </si>
  <si>
    <t xml:space="preserve">constitute portfolio without production</t>
  </si>
  <si>
    <t xml:space="preserve">CLOSE</t>
  </si>
  <si>
    <t xml:space="preserve">PFP-2 Separated option-and-proof market</t>
  </si>
  <si>
    <t xml:space="preserve">twenty-four one-root control groups and paid failure</t>
  </si>
  <si>
    <t xml:space="preserve">USD 57.4B stageable; 288 domains; 72 dependencies</t>
  </si>
  <si>
    <t xml:space="preserve">issue cancelable artifact options</t>
  </si>
  <si>
    <t xml:space="preserve">PFP-3 Compound First-Reach Cohort</t>
  </si>
  <si>
    <t xml:space="preserve">one synchronized field per system</t>
  </si>
  <si>
    <t xml:space="preserve">24 experiments; 48 vector coordinates; 30 interfaces</t>
  </si>
  <si>
    <t xml:space="preserve">open one experiment per root</t>
  </si>
  <si>
    <t xml:space="preserve">PFP-4 Federated Physical-Truth Grid</t>
  </si>
  <si>
    <t xml:space="preserve">public questions with unlike realizations</t>
  </si>
  <si>
    <t xml:space="preserve">6 methods; 72 cards; 144 realizations; 1,152 events</t>
  </si>
  <si>
    <t xml:space="preserve">freeze methods and authorize issue</t>
  </si>
  <si>
    <t xml:space="preserve">warranted launch lattice and zero-credit boundary</t>
  </si>
  <si>
    <t xml:space="preserve">nine launch objects; ten reconciliations</t>
  </si>
  <si>
    <t xml:space="preserve">return first construction choice</t>
  </si>
  <si>
    <t xml:space="preserve">Resolved inherited contradictions</t>
  </si>
  <si>
    <t xml:space="preserve">Every reconciliation preserves the stricter interpretation. None creates money, evidence or capability.</t>
  </si>
  <si>
    <t xml:space="preserve">ID</t>
  </si>
  <si>
    <t xml:space="preserve">Apparent conflict</t>
  </si>
  <si>
    <t xml:space="preserve">Resolved interpretation</t>
  </si>
  <si>
    <t xml:space="preserve">Control test</t>
  </si>
  <si>
    <t xml:space="preserve">Status</t>
  </si>
  <si>
    <t xml:space="preserve">C01</t>
  </si>
  <si>
    <t xml:space="preserve">96 opportunities / 24 A1 warrants</t>
  </si>
  <si>
    <t xml:space="preserve">24 are first cohort; 72 remain held</t>
  </si>
  <si>
    <t xml:space="preserve">96 = 24 × 4</t>
  </si>
  <si>
    <t xml:space="preserve">RESOLVED</t>
  </si>
  <si>
    <t xml:space="preserve">C02</t>
  </si>
  <si>
    <t xml:space="preserve">288 ancestry cells / 168 A1 domains</t>
  </si>
  <si>
    <t xml:space="preserve">168 are seven-domain A1 subset; 120 parent cells remain held</t>
  </si>
  <si>
    <t xml:space="preserve">288 = 168 + 120</t>
  </si>
  <si>
    <t xml:space="preserve">C03</t>
  </si>
  <si>
    <t xml:space="preserve">72 dependencies / 12 public seams</t>
  </si>
  <si>
    <t xml:space="preserve">provider exposure and public grammar are different ledgers</t>
  </si>
  <si>
    <t xml:space="preserve">neither substitutes for the other</t>
  </si>
  <si>
    <t xml:space="preserve">C04</t>
  </si>
  <si>
    <t xml:space="preserve">30 directed interfaces / 12 public seams</t>
  </si>
  <si>
    <t xml:space="preserve">operational exchanges and portable semantics remain distinct</t>
  </si>
  <si>
    <t xml:space="preserve">no common controller</t>
  </si>
  <si>
    <t xml:space="preserve">C05</t>
  </si>
  <si>
    <t xml:space="preserve">USD 80B enabling / USD 12B method reserve</t>
  </si>
  <si>
    <t xml:space="preserve">reservation is nested; USD 68B remains</t>
  </si>
  <si>
    <t xml:space="preserve">80 = 12 + 68</t>
  </si>
  <si>
    <t xml:space="preserve">C06</t>
  </si>
  <si>
    <t xml:space="preserve">USD 57.4B stageable / USD 14.3B cohort</t>
  </si>
  <si>
    <t xml:space="preserve">cohort is a subset; USD 43.1B remains outside</t>
  </si>
  <si>
    <t xml:space="preserve">57.4 = 14.3 + 43.1</t>
  </si>
  <si>
    <t xml:space="preserve">C07</t>
  </si>
  <si>
    <t xml:space="preserve">USD 200B tranche / USD 750B through year 15</t>
  </si>
  <si>
    <t xml:space="preserve">present ceiling and contingent cumulative boundary</t>
  </si>
  <si>
    <t xml:space="preserve">later tranches need new warrants</t>
  </si>
  <si>
    <t xml:space="preserve">C08</t>
  </si>
  <si>
    <t xml:space="preserve">frozen A0 / accepted method</t>
  </si>
  <si>
    <t xml:space="preserve">question frozen; implementation and calibration unaccepted</t>
  </si>
  <si>
    <t xml:space="preserve">accepted realizations = 0</t>
  </si>
  <si>
    <t xml:space="preserve">C09</t>
  </si>
  <si>
    <t xml:space="preserve">authorized A1 / awarded article</t>
  </si>
  <si>
    <t xml:space="preserve">solicitation may issue; identities, awards and serials remain zero</t>
  </si>
  <si>
    <t xml:space="preserve">current obligations = 0</t>
  </si>
  <si>
    <t xml:space="preserve">C10</t>
  </si>
  <si>
    <t xml:space="preserve">one cohort experiment / complete root</t>
  </si>
  <si>
    <t xml:space="preserve">one field proposition cannot prove four-field root</t>
  </si>
  <si>
    <t xml:space="preserve">root credit = 0</t>
  </si>
  <si>
    <t xml:space="preserve">First-tranche financial reconciliation</t>
  </si>
  <si>
    <t xml:space="preserve">All values are authority ceilings in USD billions. Current obligations and payments remain zero.</t>
  </si>
  <si>
    <t xml:space="preserve">Fiscal account</t>
  </si>
  <si>
    <t xml:space="preserve">Difference</t>
  </si>
  <si>
    <t xml:space="preserve">mission systems</t>
  </si>
  <si>
    <t xml:space="preserve">TOTAL</t>
  </si>
  <si>
    <t xml:space="preserve">Economic state</t>
  </si>
  <si>
    <t xml:space="preserve">Share</t>
  </si>
  <si>
    <t xml:space="preserve">Current obligation</t>
  </si>
  <si>
    <t xml:space="preserve">protected failure reserve</t>
  </si>
  <si>
    <t xml:space="preserve">Cohort partition</t>
  </si>
  <si>
    <t xml:space="preserve">Formula</t>
  </si>
  <si>
    <t xml:space="preserve">selected share</t>
  </si>
  <si>
    <t xml:space="preserve">STAGEABLE</t>
  </si>
  <si>
    <t xml:space="preserve">cohort evidence-held</t>
  </si>
  <si>
    <t xml:space="preserve">outside-cohort stageable</t>
  </si>
  <si>
    <t xml:space="preserve">remainder</t>
  </si>
  <si>
    <t xml:space="preserve">outside-cohort evidence-held</t>
  </si>
  <si>
    <t xml:space="preserve">nested</t>
  </si>
  <si>
    <t xml:space="preserve">enabling authority remaining</t>
  </si>
  <si>
    <t xml:space="preserve">UNASSIGNED</t>
  </si>
  <si>
    <t xml:space="preserve">FRAME</t>
  </si>
  <si>
    <t xml:space="preserve">15%</t>
  </si>
  <si>
    <t xml:space="preserve">AVAILABLE AFTER GATE</t>
  </si>
  <si>
    <t xml:space="preserve">MAKE</t>
  </si>
  <si>
    <t xml:space="preserve">35%</t>
  </si>
  <si>
    <t xml:space="preserve">through MAKE</t>
  </si>
  <si>
    <t xml:space="preserve">50%</t>
  </si>
  <si>
    <t xml:space="preserve">MAXIMUM EXPOSURE</t>
  </si>
  <si>
    <t xml:space="preserve">BREAK</t>
  </si>
  <si>
    <t xml:space="preserve">TRANSFER</t>
  </si>
  <si>
    <t xml:space="preserve">post-MAKE stageable</t>
  </si>
  <si>
    <t xml:space="preserve">System</t>
  </si>
  <si>
    <t xml:space="preserve">Selected field</t>
  </si>
  <si>
    <t xml:space="preserve">T1 field</t>
  </si>
  <si>
    <t xml:space="preserve">Stageable</t>
  </si>
  <si>
    <t xml:space="preserve">Held</t>
  </si>
  <si>
    <t xml:space="preserve">Roots</t>
  </si>
  <si>
    <t xml:space="preserve">Awarded</t>
  </si>
  <si>
    <t xml:space="preserve">Credit</t>
  </si>
  <si>
    <t xml:space="preserve">MS-ET</t>
  </si>
  <si>
    <t xml:space="preserve">No-pier heavy transfer</t>
  </si>
  <si>
    <t xml:space="preserve">MS-CT</t>
  </si>
  <si>
    <t xml:space="preserve">Building and vertical access</t>
  </si>
  <si>
    <t xml:space="preserve">MS-HC</t>
  </si>
  <si>
    <t xml:space="preserve">Persistent fire control</t>
  </si>
  <si>
    <t xml:space="preserve">MS-LF</t>
  </si>
  <si>
    <t xml:space="preserve">Strategic water-energy carriers</t>
  </si>
  <si>
    <t xml:space="preserve">MS-HU</t>
  </si>
  <si>
    <t xml:space="preserve">Distributed definitive care</t>
  </si>
  <si>
    <t xml:space="preserve">MS-RT</t>
  </si>
  <si>
    <t xml:space="preserve">Field regeneration</t>
  </si>
  <si>
    <t xml:space="preserve">Exact launch objects and current states</t>
  </si>
  <si>
    <t xml:space="preserve">A launch state records what may happen next. It does not certify that the next act occurred.</t>
  </si>
  <si>
    <t xml:space="preserve">Launch object</t>
  </si>
  <si>
    <t xml:space="preserve">Quantity</t>
  </si>
  <si>
    <t xml:space="preserve">State now</t>
  </si>
  <si>
    <t xml:space="preserve">Authority granted</t>
  </si>
  <si>
    <t xml:space="preserve">Conversion prohibited</t>
  </si>
  <si>
    <t xml:space="preserve">Next warrant</t>
  </si>
  <si>
    <t xml:space="preserve">L01</t>
  </si>
  <si>
    <t xml:space="preserve">first-tranche fiscal constitution</t>
  </si>
  <si>
    <t xml:space="preserve">USD 200B</t>
  </si>
  <si>
    <t xml:space="preserve">account structure</t>
  </si>
  <si>
    <t xml:space="preserve">ceiling to obligation or capability</t>
  </si>
  <si>
    <t xml:space="preserve">appropriation warrant</t>
  </si>
  <si>
    <t xml:space="preserve">L02</t>
  </si>
  <si>
    <t xml:space="preserve">Root House charter calls</t>
  </si>
  <si>
    <t xml:space="preserve">publish charter competition</t>
  </si>
  <si>
    <t xml:space="preserve">call to owner, firm or winner</t>
  </si>
  <si>
    <t xml:space="preserve">L03</t>
  </si>
  <si>
    <t xml:space="preserve">root-field registry</t>
  </si>
  <si>
    <t xml:space="preserve">preserve four fields per root</t>
  </si>
  <si>
    <t xml:space="preserve">held assignment to active award</t>
  </si>
  <si>
    <t xml:space="preserve">field issue</t>
  </si>
  <si>
    <t xml:space="preserve">L04</t>
  </si>
  <si>
    <t xml:space="preserve">A0.1 method packages</t>
  </si>
  <si>
    <t xml:space="preserve">publish question and law</t>
  </si>
  <si>
    <t xml:space="preserve">method text to physical truth</t>
  </si>
  <si>
    <t xml:space="preserve">realization commission</t>
  </si>
  <si>
    <t xml:space="preserve">L05</t>
  </si>
  <si>
    <t xml:space="preserve">first-cohort A1 warrants</t>
  </si>
  <si>
    <t xml:space="preserve">open development competition</t>
  </si>
  <si>
    <t xml:space="preserve">issue to award, article or evidence</t>
  </si>
  <si>
    <t xml:space="preserve">award warrant</t>
  </si>
  <si>
    <t xml:space="preserve">L06</t>
  </si>
  <si>
    <t xml:space="preserve">unlike method realizations</t>
  </si>
  <si>
    <t xml:space="preserve">plan to accepted implementation</t>
  </si>
  <si>
    <t xml:space="preserve">L07</t>
  </si>
  <si>
    <t xml:space="preserve">prospective physical events</t>
  </si>
  <si>
    <t xml:space="preserve">slot to valid event</t>
  </si>
  <si>
    <t xml:space="preserve">event allocation</t>
  </si>
  <si>
    <t xml:space="preserve">L08</t>
  </si>
  <si>
    <t xml:space="preserve">A2 endpoint rigs</t>
  </si>
  <si>
    <t xml:space="preserve">parent may select portfolio</t>
  </si>
  <si>
    <t xml:space="preserve">return to construction</t>
  </si>
  <si>
    <t xml:space="preserve">A2 construction warrant</t>
  </si>
  <si>
    <t xml:space="preserve">L09</t>
  </si>
  <si>
    <t xml:space="preserve">obligation, payment and capability</t>
  </si>
  <si>
    <t xml:space="preserve">schedule or spend to credit</t>
  </si>
  <si>
    <t xml:space="preserve">typed artifact acceptance</t>
  </si>
  <si>
    <t xml:space="preserve">Typed launch succession</t>
  </si>
  <si>
    <t xml:space="preserve">Every row requires a new warrant. No row inherits the authority of the row above it.</t>
  </si>
  <si>
    <t xml:space="preserve">Step</t>
  </si>
  <si>
    <t xml:space="preserve">State object</t>
  </si>
  <si>
    <t xml:space="preserve">Issuing authority</t>
  </si>
  <si>
    <t xml:space="preserve">Required predicate</t>
  </si>
  <si>
    <t xml:space="preserve">Current state</t>
  </si>
  <si>
    <t xml:space="preserve">May create</t>
  </si>
  <si>
    <t xml:space="preserve">Cannot create</t>
  </si>
  <si>
    <t xml:space="preserve">tranche constitution</t>
  </si>
  <si>
    <t xml:space="preserve">Congress and Comptroller</t>
  </si>
  <si>
    <t xml:space="preserve">five accounts reconcile</t>
  </si>
  <si>
    <t xml:space="preserve">bounded fiscal ceiling</t>
  </si>
  <si>
    <t xml:space="preserve">obligation</t>
  </si>
  <si>
    <t xml:space="preserve">Mission System Command</t>
  </si>
  <si>
    <t xml:space="preserve">receiver and service subject fixed</t>
  </si>
  <si>
    <t xml:space="preserve">competition question</t>
  </si>
  <si>
    <t xml:space="preserve">physical fact</t>
  </si>
  <si>
    <t xml:space="preserve">charter call</t>
  </si>
  <si>
    <t xml:space="preserve">Capital Board</t>
  </si>
  <si>
    <t xml:space="preserve">one-root control law</t>
  </si>
  <si>
    <t xml:space="preserve">control applications</t>
  </si>
  <si>
    <t xml:space="preserve">Root House identity</t>
  </si>
  <si>
    <t xml:space="preserve">independent control registrar</t>
  </si>
  <si>
    <t xml:space="preserve">beneficial control and dependencies clear</t>
  </si>
  <si>
    <t xml:space="preserve">eligible bidder</t>
  </si>
  <si>
    <t xml:space="preserve">fiscal option</t>
  </si>
  <si>
    <t xml:space="preserve">admitted control plus assignment</t>
  </si>
  <si>
    <t xml:space="preserve">artifact ceiling</t>
  </si>
  <si>
    <t xml:space="preserve">obligation or payment</t>
  </si>
  <si>
    <t xml:space="preserve">method realization</t>
  </si>
  <si>
    <t xml:space="preserve">public-method custodian</t>
  </si>
  <si>
    <t xml:space="preserve">unlike implementation and calibration accepted</t>
  </si>
  <si>
    <t xml:space="preserve">event-ready instrument</t>
  </si>
  <si>
    <t xml:space="preserve">valid event</t>
  </si>
  <si>
    <t xml:space="preserve">A1 award</t>
  </si>
  <si>
    <t xml:space="preserve">method, control and rights complete</t>
  </si>
  <si>
    <t xml:space="preserve">controlled article work</t>
  </si>
  <si>
    <t xml:space="preserve">article acceptance</t>
  </si>
  <si>
    <t xml:space="preserve">A2 construction</t>
  </si>
  <si>
    <t xml:space="preserve">technical-release authority</t>
  </si>
  <si>
    <t xml:space="preserve">selected endpoint portfolio and estate formation</t>
  </si>
  <si>
    <t xml:space="preserve">rig build authority</t>
  </si>
  <si>
    <t xml:space="preserve">endpoint evidence</t>
  </si>
  <si>
    <t xml:space="preserve">Resilience Proving Service</t>
  </si>
  <si>
    <t xml:space="preserve">sealed event and custody complete</t>
  </si>
  <si>
    <t xml:space="preserve">binding observation</t>
  </si>
  <si>
    <t xml:space="preserve">disposition</t>
  </si>
  <si>
    <t xml:space="preserve">root disposition</t>
  </si>
  <si>
    <t xml:space="preserve">Root Disposition Board</t>
  </si>
  <si>
    <t xml:space="preserve">complete valid evidence packet</t>
  </si>
  <si>
    <t xml:space="preserve">BUILD PROOF, RESIZE or KILL</t>
  </si>
  <si>
    <t xml:space="preserve">production</t>
  </si>
  <si>
    <t xml:space="preserve">artifact payment</t>
  </si>
  <si>
    <t xml:space="preserve">Program Comptroller</t>
  </si>
  <si>
    <t xml:space="preserve">accepted payable artifact</t>
  </si>
  <si>
    <t xml:space="preserve">payment</t>
  </si>
  <si>
    <t xml:space="preserve">favorable result</t>
  </si>
  <si>
    <t xml:space="preserve">capability credit</t>
  </si>
  <si>
    <t xml:space="preserve">receiver and readiness authorities</t>
  </si>
  <si>
    <t xml:space="preserve">complete-root and formation warrants</t>
  </si>
  <si>
    <t xml:space="preserve">bounded service credit</t>
  </si>
  <si>
    <t xml:space="preserve">production or readiness by inference</t>
  </si>
  <si>
    <t xml:space="preserve">Twenty-four first-cohort root-field experiments</t>
  </si>
  <si>
    <t xml:space="preserve">Opportunity</t>
  </si>
  <si>
    <t xml:space="preserve">Root</t>
  </si>
  <si>
    <t xml:space="preserve">Root thesis</t>
  </si>
  <si>
    <t xml:space="preserve">Mechanism hypothesis</t>
  </si>
  <si>
    <t xml:space="preserve">First artifact</t>
  </si>
  <si>
    <t xml:space="preserve">Stageable option</t>
  </si>
  <si>
    <t xml:space="preserve">Held option</t>
  </si>
  <si>
    <t xml:space="preserve">A1 state</t>
  </si>
  <si>
    <t xml:space="preserve">A2 state</t>
  </si>
  <si>
    <t xml:space="preserve">Spend</t>
  </si>
  <si>
    <t xml:space="preserve">Field credit</t>
  </si>
  <si>
    <t xml:space="preserve">Root credit</t>
  </si>
  <si>
    <t xml:space="preserve">C1-01</t>
  </si>
  <si>
    <t xml:space="preserve">ET-A</t>
  </si>
  <si>
    <t xml:space="preserve">Oceanic mass bridge</t>
  </si>
  <si>
    <t xml:space="preserve">Dynamically stabilized offshore exchange</t>
  </si>
  <si>
    <t xml:space="preserve">one no-pier transfer lane</t>
  </si>
  <si>
    <t xml:space="preserve">C1-02</t>
  </si>
  <si>
    <t xml:space="preserve">ET-B</t>
  </si>
  <si>
    <t xml:space="preserve">Buoyant air bridge</t>
  </si>
  <si>
    <t xml:space="preserve">Buoyant heavy carriers</t>
  </si>
  <si>
    <t xml:space="preserve">one heavy air-to-ground chain</t>
  </si>
  <si>
    <t xml:space="preserve">C1-03</t>
  </si>
  <si>
    <t xml:space="preserve">ET-C</t>
  </si>
  <si>
    <t xml:space="preserve">Austere surface bridge</t>
  </si>
  <si>
    <t xml:space="preserve">Machine-laid causeway and dry terminal</t>
  </si>
  <si>
    <t xml:space="preserve">one austere shore corridor</t>
  </si>
  <si>
    <t xml:space="preserve">C1-04</t>
  </si>
  <si>
    <t xml:space="preserve">ET-D</t>
  </si>
  <si>
    <t xml:space="preserve">Amphibious autonomous mesh</t>
  </si>
  <si>
    <t xml:space="preserve">Distributed uncrewed amphibious lighters</t>
  </si>
  <si>
    <t xml:space="preserve">one multi-path transfer mesh</t>
  </si>
  <si>
    <t xml:space="preserve">C1-05</t>
  </si>
  <si>
    <t xml:space="preserve">CT-A</t>
  </si>
  <si>
    <t xml:space="preserve">Civic edge grid</t>
  </si>
  <si>
    <t xml:space="preserve">Prepared powered refuge interfaces</t>
  </si>
  <si>
    <t xml:space="preserve">one occupied-building sector</t>
  </si>
  <si>
    <t xml:space="preserve">C1-06</t>
  </si>
  <si>
    <t xml:space="preserve">CT-B</t>
  </si>
  <si>
    <t xml:space="preserve">Air-and-skin reach</t>
  </si>
  <si>
    <t xml:space="preserve">Exterior-climbing machines</t>
  </si>
  <si>
    <t xml:space="preserve">one high-rise skin-reach system</t>
  </si>
  <si>
    <t xml:space="preserve">C1-07</t>
  </si>
  <si>
    <t xml:space="preserve">CT-C</t>
  </si>
  <si>
    <t xml:space="preserve">Building utility spine</t>
  </si>
  <si>
    <t xml:space="preserve">Temporary external lift and utility spine</t>
  </si>
  <si>
    <t xml:space="preserve">one building utility spine</t>
  </si>
  <si>
    <t xml:space="preserve">C1-08</t>
  </si>
  <si>
    <t xml:space="preserve">CT-D</t>
  </si>
  <si>
    <t xml:space="preserve">Neighborhood machine swarm</t>
  </si>
  <si>
    <t xml:space="preserve">Human-assist mobility and distributed sensing</t>
  </si>
  <si>
    <t xml:space="preserve">one neighborhood access mesh</t>
  </si>
  <si>
    <t xml:space="preserve">C1-09</t>
  </si>
  <si>
    <t xml:space="preserve">HC-A</t>
  </si>
  <si>
    <t xml:space="preserve">Atmospheric control wing</t>
  </si>
  <si>
    <t xml:space="preserve">Endurance aircraft and multi-agent delivery</t>
  </si>
  <si>
    <t xml:space="preserve">one atmospheric fire-control element</t>
  </si>
  <si>
    <t xml:space="preserve">C1-10</t>
  </si>
  <si>
    <t xml:space="preserve">HC-B</t>
  </si>
  <si>
    <t xml:space="preserve">Fluid intervention lattice</t>
  </si>
  <si>
    <t xml:space="preserve">Closed-loop hydraulic intervention</t>
  </si>
  <si>
    <t xml:space="preserve">one fluid-intervention sector</t>
  </si>
  <si>
    <t xml:space="preserve">C1-11</t>
  </si>
  <si>
    <t xml:space="preserve">HC-C</t>
  </si>
  <si>
    <t xml:space="preserve">Autonomous terrain corps</t>
  </si>
  <si>
    <t xml:space="preserve">Optionally crewed line-production machines</t>
  </si>
  <si>
    <t xml:space="preserve">one robotic line train</t>
  </si>
  <si>
    <t xml:space="preserve">C1-12</t>
  </si>
  <si>
    <t xml:space="preserve">HC-D</t>
  </si>
  <si>
    <t xml:space="preserve">Distributed control field</t>
  </si>
  <si>
    <t xml:space="preserve">Distributed sensing and actuation</t>
  </si>
  <si>
    <t xml:space="preserve">one boundary-control field</t>
  </si>
  <si>
    <t xml:space="preserve">C1-13</t>
  </si>
  <si>
    <t xml:space="preserve">LF-A</t>
  </si>
  <si>
    <t xml:space="preserve">Oceanic nuclear utility</t>
  </si>
  <si>
    <t xml:space="preserve">Nuclear-thermal coastal utility carrier</t>
  </si>
  <si>
    <t xml:space="preserve">one coastal utility sector</t>
  </si>
  <si>
    <t xml:space="preserve">C1-14</t>
  </si>
  <si>
    <t xml:space="preserve">LF-B</t>
  </si>
  <si>
    <t xml:space="preserve">Inland geothermal train</t>
  </si>
  <si>
    <t xml:space="preserve">Rapid wells and modular treatment</t>
  </si>
  <si>
    <t xml:space="preserve">one inland utility train</t>
  </si>
  <si>
    <t xml:space="preserve">C1-15</t>
  </si>
  <si>
    <t xml:space="preserve">LF-C</t>
  </si>
  <si>
    <t xml:space="preserve">Renewable electrochemical swarm</t>
  </si>
  <si>
    <t xml:space="preserve">Storage and selective separation</t>
  </si>
  <si>
    <t xml:space="preserve">one electrochemical utility mesh</t>
  </si>
  <si>
    <t xml:space="preserve">C1-16</t>
  </si>
  <si>
    <t xml:space="preserve">LF-D</t>
  </si>
  <si>
    <t xml:space="preserve">Synthetic-fuel service fleet</t>
  </si>
  <si>
    <t xml:space="preserve">Cogeneration and captured residuals</t>
  </si>
  <si>
    <t xml:space="preserve">one fuel utility fleet</t>
  </si>
  <si>
    <t xml:space="preserve">C1-17</t>
  </si>
  <si>
    <t xml:space="preserve">HU-A</t>
  </si>
  <si>
    <t xml:space="preserve">Clinical continuity campus</t>
  </si>
  <si>
    <t xml:space="preserve">Configurable clinical islands</t>
  </si>
  <si>
    <t xml:space="preserve">one definitive-care lattice</t>
  </si>
  <si>
    <t xml:space="preserve">C1-18</t>
  </si>
  <si>
    <t xml:space="preserve">HU-B</t>
  </si>
  <si>
    <t xml:space="preserve">Neighborhood care fabric</t>
  </si>
  <si>
    <t xml:space="preserve">Protected local high-acuity nodes</t>
  </si>
  <si>
    <t xml:space="preserve">one neighborhood care network</t>
  </si>
  <si>
    <t xml:space="preserve">C1-19</t>
  </si>
  <si>
    <t xml:space="preserve">HU-C</t>
  </si>
  <si>
    <t xml:space="preserve">Mobile care network</t>
  </si>
  <si>
    <t xml:space="preserve">Reconfigurable multimode care</t>
  </si>
  <si>
    <t xml:space="preserve">one mobile care lattice</t>
  </si>
  <si>
    <t xml:space="preserve">C1-20</t>
  </si>
  <si>
    <t xml:space="preserve">HU-D</t>
  </si>
  <si>
    <t xml:space="preserve">Host-building conversion</t>
  </si>
  <si>
    <t xml:space="preserve">Isolated rapid clinical retrofit</t>
  </si>
  <si>
    <t xml:space="preserve">one converted care campus</t>
  </si>
  <si>
    <t xml:space="preserve">C1-21</t>
  </si>
  <si>
    <t xml:space="preserve">RT-A</t>
  </si>
  <si>
    <t xml:space="preserve">Heavy arsenal base</t>
  </si>
  <si>
    <t xml:space="preserve">Automated exchange and deep repair</t>
  </si>
  <si>
    <t xml:space="preserve">one recovery and recertification line</t>
  </si>
  <si>
    <t xml:space="preserve">C1-22</t>
  </si>
  <si>
    <t xml:space="preserve">RT-B</t>
  </si>
  <si>
    <t xml:space="preserve">Distributed microfactory mesh</t>
  </si>
  <si>
    <t xml:space="preserve">Portable process qualification</t>
  </si>
  <si>
    <t xml:space="preserve">one disconnected repair mesh</t>
  </si>
  <si>
    <t xml:space="preserve">C1-23</t>
  </si>
  <si>
    <t xml:space="preserve">RT-C</t>
  </si>
  <si>
    <t xml:space="preserve">Exchange and remanufacture network</t>
  </si>
  <si>
    <t xml:space="preserve">Condition-based multi-route exchange</t>
  </si>
  <si>
    <t xml:space="preserve">one return-and-replacement network</t>
  </si>
  <si>
    <t xml:space="preserve">C1-24</t>
  </si>
  <si>
    <t xml:space="preserve">RT-D</t>
  </si>
  <si>
    <t xml:space="preserve">Closed-loop sustainment fleet</t>
  </si>
  <si>
    <t xml:space="preserve">Mobile decontamination and metrology</t>
  </si>
  <si>
    <t xml:space="preserve">one field-regeneration loop</t>
  </si>
  <si>
    <t xml:space="preserve">24 roots</t>
  </si>
  <si>
    <t xml:space="preserve">6 systems</t>
  </si>
  <si>
    <t xml:space="preserve">6 fields</t>
  </si>
  <si>
    <t xml:space="preserve">Complete-root and first-article ancestry register</t>
  </si>
  <si>
    <t xml:space="preserve">Every A1 declaration occupies one parent ancestry cell. The remaining five domains per root remain held for complete-root formation.</t>
  </si>
  <si>
    <t xml:space="preserve">Cell</t>
  </si>
  <si>
    <t xml:space="preserve">Parent domain</t>
  </si>
  <si>
    <t xml:space="preserve">Domain name</t>
  </si>
  <si>
    <t xml:space="preserve">In A1 subset</t>
  </si>
  <si>
    <t xml:space="preserve">A1 declaration</t>
  </si>
  <si>
    <t xml:space="preserve">Provider identity</t>
  </si>
  <si>
    <t xml:space="preserve">Collision</t>
  </si>
  <si>
    <t xml:space="preserve">AD-001</t>
  </si>
  <si>
    <t xml:space="preserve">P01</t>
  </si>
  <si>
    <t xml:space="preserve">mission control and planning</t>
  </si>
  <si>
    <t xml:space="preserve">ET-A-P01</t>
  </si>
  <si>
    <t xml:space="preserve">EXCLUSIVE DECLARATION</t>
  </si>
  <si>
    <t xml:space="preserve">AD-002</t>
  </si>
  <si>
    <t xml:space="preserve">P02</t>
  </si>
  <si>
    <t xml:space="preserve">state estimation and world model</t>
  </si>
  <si>
    <t xml:space="preserve">ET-A-P02</t>
  </si>
  <si>
    <t xml:space="preserve">AD-003</t>
  </si>
  <si>
    <t xml:space="preserve">P03</t>
  </si>
  <si>
    <t xml:space="preserve">sensing, time and calibration</t>
  </si>
  <si>
    <t xml:space="preserve">ET-A-P03</t>
  </si>
  <si>
    <t xml:space="preserve">AD-004</t>
  </si>
  <si>
    <t xml:space="preserve">P04</t>
  </si>
  <si>
    <t xml:space="preserve">actuation and low-level control</t>
  </si>
  <si>
    <t xml:space="preserve">ET-A-P04</t>
  </si>
  <si>
    <t xml:space="preserve">AD-005</t>
  </si>
  <si>
    <t xml:space="preserve">P05</t>
  </si>
  <si>
    <t xml:space="preserve">safeing and human override</t>
  </si>
  <si>
    <t xml:space="preserve">ET-A-P05</t>
  </si>
  <si>
    <t xml:space="preserve">AD-006</t>
  </si>
  <si>
    <t xml:space="preserve">P06</t>
  </si>
  <si>
    <t xml:space="preserve">energy and power management</t>
  </si>
  <si>
    <t xml:space="preserve">ET-A-P06</t>
  </si>
  <si>
    <t xml:space="preserve">AD-007</t>
  </si>
  <si>
    <t xml:space="preserve">P07</t>
  </si>
  <si>
    <t xml:space="preserve">build, repair and release</t>
  </si>
  <si>
    <t xml:space="preserve">ET-A-P07</t>
  </si>
  <si>
    <t xml:space="preserve">AD-008</t>
  </si>
  <si>
    <t xml:space="preserve">P08</t>
  </si>
  <si>
    <t xml:space="preserve">material supply</t>
  </si>
  <si>
    <t xml:space="preserve">AD-009</t>
  </si>
  <si>
    <t xml:space="preserve">P09</t>
  </si>
  <si>
    <t xml:space="preserve">workforce and license</t>
  </si>
  <si>
    <t xml:space="preserve">AD-010</t>
  </si>
  <si>
    <t xml:space="preserve">P10</t>
  </si>
  <si>
    <t xml:space="preserve">logistics and sustainment</t>
  </si>
  <si>
    <t xml:space="preserve">AD-011</t>
  </si>
  <si>
    <t xml:space="preserve">P11</t>
  </si>
  <si>
    <t xml:space="preserve">receiver integration</t>
  </si>
  <si>
    <t xml:space="preserve">AD-012</t>
  </si>
  <si>
    <t xml:space="preserve">P12</t>
  </si>
  <si>
    <t xml:space="preserve">regeneration</t>
  </si>
  <si>
    <t xml:space="preserve">AD-013</t>
  </si>
  <si>
    <t xml:space="preserve">ET-B-P01</t>
  </si>
  <si>
    <t xml:space="preserve">AD-014</t>
  </si>
  <si>
    <t xml:space="preserve">ET-B-P02</t>
  </si>
  <si>
    <t xml:space="preserve">AD-015</t>
  </si>
  <si>
    <t xml:space="preserve">ET-B-P03</t>
  </si>
  <si>
    <t xml:space="preserve">AD-016</t>
  </si>
  <si>
    <t xml:space="preserve">ET-B-P04</t>
  </si>
  <si>
    <t xml:space="preserve">AD-017</t>
  </si>
  <si>
    <t xml:space="preserve">ET-B-P05</t>
  </si>
  <si>
    <t xml:space="preserve">AD-018</t>
  </si>
  <si>
    <t xml:space="preserve">ET-B-P06</t>
  </si>
  <si>
    <t xml:space="preserve">AD-019</t>
  </si>
  <si>
    <t xml:space="preserve">ET-B-P07</t>
  </si>
  <si>
    <t xml:space="preserve">AD-020</t>
  </si>
  <si>
    <t xml:space="preserve">AD-021</t>
  </si>
  <si>
    <t xml:space="preserve">AD-022</t>
  </si>
  <si>
    <t xml:space="preserve">AD-023</t>
  </si>
  <si>
    <t xml:space="preserve">AD-024</t>
  </si>
  <si>
    <t xml:space="preserve">AD-025</t>
  </si>
  <si>
    <t xml:space="preserve">ET-C-P01</t>
  </si>
  <si>
    <t xml:space="preserve">AD-026</t>
  </si>
  <si>
    <t xml:space="preserve">ET-C-P02</t>
  </si>
  <si>
    <t xml:space="preserve">AD-027</t>
  </si>
  <si>
    <t xml:space="preserve">ET-C-P03</t>
  </si>
  <si>
    <t xml:space="preserve">AD-028</t>
  </si>
  <si>
    <t xml:space="preserve">ET-C-P04</t>
  </si>
  <si>
    <t xml:space="preserve">AD-029</t>
  </si>
  <si>
    <t xml:space="preserve">ET-C-P05</t>
  </si>
  <si>
    <t xml:space="preserve">AD-030</t>
  </si>
  <si>
    <t xml:space="preserve">ET-C-P06</t>
  </si>
  <si>
    <t xml:space="preserve">AD-031</t>
  </si>
  <si>
    <t xml:space="preserve">ET-C-P07</t>
  </si>
  <si>
    <t xml:space="preserve">AD-032</t>
  </si>
  <si>
    <t xml:space="preserve">AD-033</t>
  </si>
  <si>
    <t xml:space="preserve">AD-034</t>
  </si>
  <si>
    <t xml:space="preserve">AD-035</t>
  </si>
  <si>
    <t xml:space="preserve">AD-036</t>
  </si>
  <si>
    <t xml:space="preserve">AD-037</t>
  </si>
  <si>
    <t xml:space="preserve">ET-D-P01</t>
  </si>
  <si>
    <t xml:space="preserve">AD-038</t>
  </si>
  <si>
    <t xml:space="preserve">ET-D-P02</t>
  </si>
  <si>
    <t xml:space="preserve">AD-039</t>
  </si>
  <si>
    <t xml:space="preserve">ET-D-P03</t>
  </si>
  <si>
    <t xml:space="preserve">AD-040</t>
  </si>
  <si>
    <t xml:space="preserve">ET-D-P04</t>
  </si>
  <si>
    <t xml:space="preserve">AD-041</t>
  </si>
  <si>
    <t xml:space="preserve">ET-D-P05</t>
  </si>
  <si>
    <t xml:space="preserve">AD-042</t>
  </si>
  <si>
    <t xml:space="preserve">ET-D-P06</t>
  </si>
  <si>
    <t xml:space="preserve">AD-043</t>
  </si>
  <si>
    <t xml:space="preserve">ET-D-P07</t>
  </si>
  <si>
    <t xml:space="preserve">AD-044</t>
  </si>
  <si>
    <t xml:space="preserve">AD-045</t>
  </si>
  <si>
    <t xml:space="preserve">AD-046</t>
  </si>
  <si>
    <t xml:space="preserve">AD-047</t>
  </si>
  <si>
    <t xml:space="preserve">AD-048</t>
  </si>
  <si>
    <t xml:space="preserve">AD-049</t>
  </si>
  <si>
    <t xml:space="preserve">CT-A-P01</t>
  </si>
  <si>
    <t xml:space="preserve">AD-050</t>
  </si>
  <si>
    <t xml:space="preserve">CT-A-P02</t>
  </si>
  <si>
    <t xml:space="preserve">AD-051</t>
  </si>
  <si>
    <t xml:space="preserve">CT-A-P03</t>
  </si>
  <si>
    <t xml:space="preserve">AD-052</t>
  </si>
  <si>
    <t xml:space="preserve">CT-A-P04</t>
  </si>
  <si>
    <t xml:space="preserve">AD-053</t>
  </si>
  <si>
    <t xml:space="preserve">CT-A-P05</t>
  </si>
  <si>
    <t xml:space="preserve">AD-054</t>
  </si>
  <si>
    <t xml:space="preserve">CT-A-P06</t>
  </si>
  <si>
    <t xml:space="preserve">AD-055</t>
  </si>
  <si>
    <t xml:space="preserve">CT-A-P07</t>
  </si>
  <si>
    <t xml:space="preserve">AD-056</t>
  </si>
  <si>
    <t xml:space="preserve">AD-057</t>
  </si>
  <si>
    <t xml:space="preserve">AD-058</t>
  </si>
  <si>
    <t xml:space="preserve">AD-059</t>
  </si>
  <si>
    <t xml:space="preserve">AD-060</t>
  </si>
  <si>
    <t xml:space="preserve">AD-061</t>
  </si>
  <si>
    <t xml:space="preserve">CT-B-P01</t>
  </si>
  <si>
    <t xml:space="preserve">AD-062</t>
  </si>
  <si>
    <t xml:space="preserve">CT-B-P02</t>
  </si>
  <si>
    <t xml:space="preserve">AD-063</t>
  </si>
  <si>
    <t xml:space="preserve">CT-B-P03</t>
  </si>
  <si>
    <t xml:space="preserve">AD-064</t>
  </si>
  <si>
    <t xml:space="preserve">CT-B-P04</t>
  </si>
  <si>
    <t xml:space="preserve">AD-065</t>
  </si>
  <si>
    <t xml:space="preserve">CT-B-P05</t>
  </si>
  <si>
    <t xml:space="preserve">AD-066</t>
  </si>
  <si>
    <t xml:space="preserve">CT-B-P06</t>
  </si>
  <si>
    <t xml:space="preserve">AD-067</t>
  </si>
  <si>
    <t xml:space="preserve">CT-B-P07</t>
  </si>
  <si>
    <t xml:space="preserve">AD-068</t>
  </si>
  <si>
    <t xml:space="preserve">AD-069</t>
  </si>
  <si>
    <t xml:space="preserve">AD-070</t>
  </si>
  <si>
    <t xml:space="preserve">AD-071</t>
  </si>
  <si>
    <t xml:space="preserve">AD-072</t>
  </si>
  <si>
    <t xml:space="preserve">AD-073</t>
  </si>
  <si>
    <t xml:space="preserve">CT-C-P01</t>
  </si>
  <si>
    <t xml:space="preserve">AD-074</t>
  </si>
  <si>
    <t xml:space="preserve">CT-C-P02</t>
  </si>
  <si>
    <t xml:space="preserve">AD-075</t>
  </si>
  <si>
    <t xml:space="preserve">CT-C-P03</t>
  </si>
  <si>
    <t xml:space="preserve">AD-076</t>
  </si>
  <si>
    <t xml:space="preserve">CT-C-P04</t>
  </si>
  <si>
    <t xml:space="preserve">AD-077</t>
  </si>
  <si>
    <t xml:space="preserve">CT-C-P05</t>
  </si>
  <si>
    <t xml:space="preserve">AD-078</t>
  </si>
  <si>
    <t xml:space="preserve">CT-C-P06</t>
  </si>
  <si>
    <t xml:space="preserve">AD-079</t>
  </si>
  <si>
    <t xml:space="preserve">CT-C-P07</t>
  </si>
  <si>
    <t xml:space="preserve">AD-080</t>
  </si>
  <si>
    <t xml:space="preserve">AD-081</t>
  </si>
  <si>
    <t xml:space="preserve">AD-082</t>
  </si>
  <si>
    <t xml:space="preserve">AD-083</t>
  </si>
  <si>
    <t xml:space="preserve">AD-084</t>
  </si>
  <si>
    <t xml:space="preserve">AD-085</t>
  </si>
  <si>
    <t xml:space="preserve">CT-D-P01</t>
  </si>
  <si>
    <t xml:space="preserve">AD-086</t>
  </si>
  <si>
    <t xml:space="preserve">CT-D-P02</t>
  </si>
  <si>
    <t xml:space="preserve">AD-087</t>
  </si>
  <si>
    <t xml:space="preserve">CT-D-P03</t>
  </si>
  <si>
    <t xml:space="preserve">AD-088</t>
  </si>
  <si>
    <t xml:space="preserve">CT-D-P04</t>
  </si>
  <si>
    <t xml:space="preserve">AD-089</t>
  </si>
  <si>
    <t xml:space="preserve">CT-D-P05</t>
  </si>
  <si>
    <t xml:space="preserve">AD-090</t>
  </si>
  <si>
    <t xml:space="preserve">CT-D-P06</t>
  </si>
  <si>
    <t xml:space="preserve">AD-091</t>
  </si>
  <si>
    <t xml:space="preserve">CT-D-P07</t>
  </si>
  <si>
    <t xml:space="preserve">AD-092</t>
  </si>
  <si>
    <t xml:space="preserve">AD-093</t>
  </si>
  <si>
    <t xml:space="preserve">AD-094</t>
  </si>
  <si>
    <t xml:space="preserve">AD-095</t>
  </si>
  <si>
    <t xml:space="preserve">AD-096</t>
  </si>
  <si>
    <t xml:space="preserve">AD-097</t>
  </si>
  <si>
    <t xml:space="preserve">HC-A-P01</t>
  </si>
  <si>
    <t xml:space="preserve">AD-098</t>
  </si>
  <si>
    <t xml:space="preserve">HC-A-P02</t>
  </si>
  <si>
    <t xml:space="preserve">AD-099</t>
  </si>
  <si>
    <t xml:space="preserve">HC-A-P03</t>
  </si>
  <si>
    <t xml:space="preserve">AD-100</t>
  </si>
  <si>
    <t xml:space="preserve">HC-A-P04</t>
  </si>
  <si>
    <t xml:space="preserve">AD-101</t>
  </si>
  <si>
    <t xml:space="preserve">HC-A-P05</t>
  </si>
  <si>
    <t xml:space="preserve">AD-102</t>
  </si>
  <si>
    <t xml:space="preserve">HC-A-P06</t>
  </si>
  <si>
    <t xml:space="preserve">AD-103</t>
  </si>
  <si>
    <t xml:space="preserve">HC-A-P07</t>
  </si>
  <si>
    <t xml:space="preserve">AD-104</t>
  </si>
  <si>
    <t xml:space="preserve">AD-105</t>
  </si>
  <si>
    <t xml:space="preserve">AD-106</t>
  </si>
  <si>
    <t xml:space="preserve">AD-107</t>
  </si>
  <si>
    <t xml:space="preserve">AD-108</t>
  </si>
  <si>
    <t xml:space="preserve">AD-109</t>
  </si>
  <si>
    <t xml:space="preserve">HC-B-P01</t>
  </si>
  <si>
    <t xml:space="preserve">AD-110</t>
  </si>
  <si>
    <t xml:space="preserve">HC-B-P02</t>
  </si>
  <si>
    <t xml:space="preserve">AD-111</t>
  </si>
  <si>
    <t xml:space="preserve">HC-B-P03</t>
  </si>
  <si>
    <t xml:space="preserve">AD-112</t>
  </si>
  <si>
    <t xml:space="preserve">HC-B-P04</t>
  </si>
  <si>
    <t xml:space="preserve">AD-113</t>
  </si>
  <si>
    <t xml:space="preserve">HC-B-P05</t>
  </si>
  <si>
    <t xml:space="preserve">AD-114</t>
  </si>
  <si>
    <t xml:space="preserve">HC-B-P06</t>
  </si>
  <si>
    <t xml:space="preserve">AD-115</t>
  </si>
  <si>
    <t xml:space="preserve">HC-B-P07</t>
  </si>
  <si>
    <t xml:space="preserve">AD-116</t>
  </si>
  <si>
    <t xml:space="preserve">AD-117</t>
  </si>
  <si>
    <t xml:space="preserve">AD-118</t>
  </si>
  <si>
    <t xml:space="preserve">AD-119</t>
  </si>
  <si>
    <t xml:space="preserve">AD-120</t>
  </si>
  <si>
    <t xml:space="preserve">AD-121</t>
  </si>
  <si>
    <t xml:space="preserve">HC-C-P01</t>
  </si>
  <si>
    <t xml:space="preserve">AD-122</t>
  </si>
  <si>
    <t xml:space="preserve">HC-C-P02</t>
  </si>
  <si>
    <t xml:space="preserve">AD-123</t>
  </si>
  <si>
    <t xml:space="preserve">HC-C-P03</t>
  </si>
  <si>
    <t xml:space="preserve">AD-124</t>
  </si>
  <si>
    <t xml:space="preserve">HC-C-P04</t>
  </si>
  <si>
    <t xml:space="preserve">AD-125</t>
  </si>
  <si>
    <t xml:space="preserve">HC-C-P05</t>
  </si>
  <si>
    <t xml:space="preserve">AD-126</t>
  </si>
  <si>
    <t xml:space="preserve">HC-C-P06</t>
  </si>
  <si>
    <t xml:space="preserve">AD-127</t>
  </si>
  <si>
    <t xml:space="preserve">HC-C-P07</t>
  </si>
  <si>
    <t xml:space="preserve">AD-128</t>
  </si>
  <si>
    <t xml:space="preserve">AD-129</t>
  </si>
  <si>
    <t xml:space="preserve">AD-130</t>
  </si>
  <si>
    <t xml:space="preserve">AD-131</t>
  </si>
  <si>
    <t xml:space="preserve">AD-132</t>
  </si>
  <si>
    <t xml:space="preserve">AD-133</t>
  </si>
  <si>
    <t xml:space="preserve">HC-D-P01</t>
  </si>
  <si>
    <t xml:space="preserve">AD-134</t>
  </si>
  <si>
    <t xml:space="preserve">HC-D-P02</t>
  </si>
  <si>
    <t xml:space="preserve">AD-135</t>
  </si>
  <si>
    <t xml:space="preserve">HC-D-P03</t>
  </si>
  <si>
    <t xml:space="preserve">AD-136</t>
  </si>
  <si>
    <t xml:space="preserve">HC-D-P04</t>
  </si>
  <si>
    <t xml:space="preserve">AD-137</t>
  </si>
  <si>
    <t xml:space="preserve">HC-D-P05</t>
  </si>
  <si>
    <t xml:space="preserve">AD-138</t>
  </si>
  <si>
    <t xml:space="preserve">HC-D-P06</t>
  </si>
  <si>
    <t xml:space="preserve">AD-139</t>
  </si>
  <si>
    <t xml:space="preserve">HC-D-P07</t>
  </si>
  <si>
    <t xml:space="preserve">AD-140</t>
  </si>
  <si>
    <t xml:space="preserve">AD-141</t>
  </si>
  <si>
    <t xml:space="preserve">AD-142</t>
  </si>
  <si>
    <t xml:space="preserve">AD-143</t>
  </si>
  <si>
    <t xml:space="preserve">AD-144</t>
  </si>
  <si>
    <t xml:space="preserve">AD-145</t>
  </si>
  <si>
    <t xml:space="preserve">LF-A-P01</t>
  </si>
  <si>
    <t xml:space="preserve">AD-146</t>
  </si>
  <si>
    <t xml:space="preserve">LF-A-P02</t>
  </si>
  <si>
    <t xml:space="preserve">AD-147</t>
  </si>
  <si>
    <t xml:space="preserve">LF-A-P03</t>
  </si>
  <si>
    <t xml:space="preserve">AD-148</t>
  </si>
  <si>
    <t xml:space="preserve">LF-A-P04</t>
  </si>
  <si>
    <t xml:space="preserve">AD-149</t>
  </si>
  <si>
    <t xml:space="preserve">LF-A-P05</t>
  </si>
  <si>
    <t xml:space="preserve">AD-150</t>
  </si>
  <si>
    <t xml:space="preserve">LF-A-P06</t>
  </si>
  <si>
    <t xml:space="preserve">AD-151</t>
  </si>
  <si>
    <t xml:space="preserve">LF-A-P07</t>
  </si>
  <si>
    <t xml:space="preserve">AD-152</t>
  </si>
  <si>
    <t xml:space="preserve">AD-153</t>
  </si>
  <si>
    <t xml:space="preserve">AD-154</t>
  </si>
  <si>
    <t xml:space="preserve">AD-155</t>
  </si>
  <si>
    <t xml:space="preserve">AD-156</t>
  </si>
  <si>
    <t xml:space="preserve">AD-157</t>
  </si>
  <si>
    <t xml:space="preserve">LF-B-P01</t>
  </si>
  <si>
    <t xml:space="preserve">AD-158</t>
  </si>
  <si>
    <t xml:space="preserve">LF-B-P02</t>
  </si>
  <si>
    <t xml:space="preserve">AD-159</t>
  </si>
  <si>
    <t xml:space="preserve">LF-B-P03</t>
  </si>
  <si>
    <t xml:space="preserve">AD-160</t>
  </si>
  <si>
    <t xml:space="preserve">LF-B-P04</t>
  </si>
  <si>
    <t xml:space="preserve">AD-161</t>
  </si>
  <si>
    <t xml:space="preserve">LF-B-P05</t>
  </si>
  <si>
    <t xml:space="preserve">AD-162</t>
  </si>
  <si>
    <t xml:space="preserve">LF-B-P06</t>
  </si>
  <si>
    <t xml:space="preserve">AD-163</t>
  </si>
  <si>
    <t xml:space="preserve">LF-B-P07</t>
  </si>
  <si>
    <t xml:space="preserve">AD-164</t>
  </si>
  <si>
    <t xml:space="preserve">AD-165</t>
  </si>
  <si>
    <t xml:space="preserve">AD-166</t>
  </si>
  <si>
    <t xml:space="preserve">AD-167</t>
  </si>
  <si>
    <t xml:space="preserve">AD-168</t>
  </si>
  <si>
    <t xml:space="preserve">AD-169</t>
  </si>
  <si>
    <t xml:space="preserve">LF-C-P01</t>
  </si>
  <si>
    <t xml:space="preserve">AD-170</t>
  </si>
  <si>
    <t xml:space="preserve">LF-C-P02</t>
  </si>
  <si>
    <t xml:space="preserve">AD-171</t>
  </si>
  <si>
    <t xml:space="preserve">LF-C-P03</t>
  </si>
  <si>
    <t xml:space="preserve">AD-172</t>
  </si>
  <si>
    <t xml:space="preserve">LF-C-P04</t>
  </si>
  <si>
    <t xml:space="preserve">AD-173</t>
  </si>
  <si>
    <t xml:space="preserve">LF-C-P05</t>
  </si>
  <si>
    <t xml:space="preserve">AD-174</t>
  </si>
  <si>
    <t xml:space="preserve">LF-C-P06</t>
  </si>
  <si>
    <t xml:space="preserve">AD-175</t>
  </si>
  <si>
    <t xml:space="preserve">LF-C-P07</t>
  </si>
  <si>
    <t xml:space="preserve">AD-176</t>
  </si>
  <si>
    <t xml:space="preserve">AD-177</t>
  </si>
  <si>
    <t xml:space="preserve">AD-178</t>
  </si>
  <si>
    <t xml:space="preserve">AD-179</t>
  </si>
  <si>
    <t xml:space="preserve">AD-180</t>
  </si>
  <si>
    <t xml:space="preserve">AD-181</t>
  </si>
  <si>
    <t xml:space="preserve">LF-D-P01</t>
  </si>
  <si>
    <t xml:space="preserve">AD-182</t>
  </si>
  <si>
    <t xml:space="preserve">LF-D-P02</t>
  </si>
  <si>
    <t xml:space="preserve">AD-183</t>
  </si>
  <si>
    <t xml:space="preserve">LF-D-P03</t>
  </si>
  <si>
    <t xml:space="preserve">AD-184</t>
  </si>
  <si>
    <t xml:space="preserve">LF-D-P04</t>
  </si>
  <si>
    <t xml:space="preserve">AD-185</t>
  </si>
  <si>
    <t xml:space="preserve">LF-D-P05</t>
  </si>
  <si>
    <t xml:space="preserve">AD-186</t>
  </si>
  <si>
    <t xml:space="preserve">LF-D-P06</t>
  </si>
  <si>
    <t xml:space="preserve">AD-187</t>
  </si>
  <si>
    <t xml:space="preserve">LF-D-P07</t>
  </si>
  <si>
    <t xml:space="preserve">AD-188</t>
  </si>
  <si>
    <t xml:space="preserve">AD-189</t>
  </si>
  <si>
    <t xml:space="preserve">AD-190</t>
  </si>
  <si>
    <t xml:space="preserve">AD-191</t>
  </si>
  <si>
    <t xml:space="preserve">AD-192</t>
  </si>
  <si>
    <t xml:space="preserve">AD-193</t>
  </si>
  <si>
    <t xml:space="preserve">HU-A-P01</t>
  </si>
  <si>
    <t xml:space="preserve">AD-194</t>
  </si>
  <si>
    <t xml:space="preserve">HU-A-P02</t>
  </si>
  <si>
    <t xml:space="preserve">AD-195</t>
  </si>
  <si>
    <t xml:space="preserve">HU-A-P03</t>
  </si>
  <si>
    <t xml:space="preserve">AD-196</t>
  </si>
  <si>
    <t xml:space="preserve">HU-A-P04</t>
  </si>
  <si>
    <t xml:space="preserve">AD-197</t>
  </si>
  <si>
    <t xml:space="preserve">HU-A-P05</t>
  </si>
  <si>
    <t xml:space="preserve">AD-198</t>
  </si>
  <si>
    <t xml:space="preserve">HU-A-P06</t>
  </si>
  <si>
    <t xml:space="preserve">AD-199</t>
  </si>
  <si>
    <t xml:space="preserve">HU-A-P07</t>
  </si>
  <si>
    <t xml:space="preserve">AD-200</t>
  </si>
  <si>
    <t xml:space="preserve">AD-201</t>
  </si>
  <si>
    <t xml:space="preserve">AD-202</t>
  </si>
  <si>
    <t xml:space="preserve">AD-203</t>
  </si>
  <si>
    <t xml:space="preserve">AD-204</t>
  </si>
  <si>
    <t xml:space="preserve">AD-205</t>
  </si>
  <si>
    <t xml:space="preserve">HU-B-P01</t>
  </si>
  <si>
    <t xml:space="preserve">AD-206</t>
  </si>
  <si>
    <t xml:space="preserve">HU-B-P02</t>
  </si>
  <si>
    <t xml:space="preserve">AD-207</t>
  </si>
  <si>
    <t xml:space="preserve">HU-B-P03</t>
  </si>
  <si>
    <t xml:space="preserve">AD-208</t>
  </si>
  <si>
    <t xml:space="preserve">HU-B-P04</t>
  </si>
  <si>
    <t xml:space="preserve">AD-209</t>
  </si>
  <si>
    <t xml:space="preserve">HU-B-P05</t>
  </si>
  <si>
    <t xml:space="preserve">AD-210</t>
  </si>
  <si>
    <t xml:space="preserve">HU-B-P06</t>
  </si>
  <si>
    <t xml:space="preserve">AD-211</t>
  </si>
  <si>
    <t xml:space="preserve">HU-B-P07</t>
  </si>
  <si>
    <t xml:space="preserve">AD-212</t>
  </si>
  <si>
    <t xml:space="preserve">AD-213</t>
  </si>
  <si>
    <t xml:space="preserve">AD-214</t>
  </si>
  <si>
    <t xml:space="preserve">AD-215</t>
  </si>
  <si>
    <t xml:space="preserve">AD-216</t>
  </si>
  <si>
    <t xml:space="preserve">AD-217</t>
  </si>
  <si>
    <t xml:space="preserve">HU-C-P01</t>
  </si>
  <si>
    <t xml:space="preserve">AD-218</t>
  </si>
  <si>
    <t xml:space="preserve">HU-C-P02</t>
  </si>
  <si>
    <t xml:space="preserve">AD-219</t>
  </si>
  <si>
    <t xml:space="preserve">HU-C-P03</t>
  </si>
  <si>
    <t xml:space="preserve">AD-220</t>
  </si>
  <si>
    <t xml:space="preserve">HU-C-P04</t>
  </si>
  <si>
    <t xml:space="preserve">AD-221</t>
  </si>
  <si>
    <t xml:space="preserve">HU-C-P05</t>
  </si>
  <si>
    <t xml:space="preserve">AD-222</t>
  </si>
  <si>
    <t xml:space="preserve">HU-C-P06</t>
  </si>
  <si>
    <t xml:space="preserve">AD-223</t>
  </si>
  <si>
    <t xml:space="preserve">HU-C-P07</t>
  </si>
  <si>
    <t xml:space="preserve">AD-224</t>
  </si>
  <si>
    <t xml:space="preserve">AD-225</t>
  </si>
  <si>
    <t xml:space="preserve">AD-226</t>
  </si>
  <si>
    <t xml:space="preserve">AD-227</t>
  </si>
  <si>
    <t xml:space="preserve">AD-228</t>
  </si>
  <si>
    <t xml:space="preserve">AD-229</t>
  </si>
  <si>
    <t xml:space="preserve">HU-D-P01</t>
  </si>
  <si>
    <t xml:space="preserve">AD-230</t>
  </si>
  <si>
    <t xml:space="preserve">HU-D-P02</t>
  </si>
  <si>
    <t xml:space="preserve">AD-231</t>
  </si>
  <si>
    <t xml:space="preserve">HU-D-P03</t>
  </si>
  <si>
    <t xml:space="preserve">AD-232</t>
  </si>
  <si>
    <t xml:space="preserve">HU-D-P04</t>
  </si>
  <si>
    <t xml:space="preserve">AD-233</t>
  </si>
  <si>
    <t xml:space="preserve">HU-D-P05</t>
  </si>
  <si>
    <t xml:space="preserve">AD-234</t>
  </si>
  <si>
    <t xml:space="preserve">HU-D-P06</t>
  </si>
  <si>
    <t xml:space="preserve">AD-235</t>
  </si>
  <si>
    <t xml:space="preserve">HU-D-P07</t>
  </si>
  <si>
    <t xml:space="preserve">AD-236</t>
  </si>
  <si>
    <t xml:space="preserve">AD-237</t>
  </si>
  <si>
    <t xml:space="preserve">AD-238</t>
  </si>
  <si>
    <t xml:space="preserve">AD-239</t>
  </si>
  <si>
    <t xml:space="preserve">AD-240</t>
  </si>
  <si>
    <t xml:space="preserve">AD-241</t>
  </si>
  <si>
    <t xml:space="preserve">RT-A-P01</t>
  </si>
  <si>
    <t xml:space="preserve">AD-242</t>
  </si>
  <si>
    <t xml:space="preserve">RT-A-P02</t>
  </si>
  <si>
    <t xml:space="preserve">AD-243</t>
  </si>
  <si>
    <t xml:space="preserve">RT-A-P03</t>
  </si>
  <si>
    <t xml:space="preserve">AD-244</t>
  </si>
  <si>
    <t xml:space="preserve">RT-A-P04</t>
  </si>
  <si>
    <t xml:space="preserve">AD-245</t>
  </si>
  <si>
    <t xml:space="preserve">RT-A-P05</t>
  </si>
  <si>
    <t xml:space="preserve">AD-246</t>
  </si>
  <si>
    <t xml:space="preserve">RT-A-P06</t>
  </si>
  <si>
    <t xml:space="preserve">AD-247</t>
  </si>
  <si>
    <t xml:space="preserve">RT-A-P07</t>
  </si>
  <si>
    <t xml:space="preserve">AD-248</t>
  </si>
  <si>
    <t xml:space="preserve">AD-249</t>
  </si>
  <si>
    <t xml:space="preserve">AD-250</t>
  </si>
  <si>
    <t xml:space="preserve">AD-251</t>
  </si>
  <si>
    <t xml:space="preserve">AD-252</t>
  </si>
  <si>
    <t xml:space="preserve">AD-253</t>
  </si>
  <si>
    <t xml:space="preserve">RT-B-P01</t>
  </si>
  <si>
    <t xml:space="preserve">AD-254</t>
  </si>
  <si>
    <t xml:space="preserve">RT-B-P02</t>
  </si>
  <si>
    <t xml:space="preserve">AD-255</t>
  </si>
  <si>
    <t xml:space="preserve">RT-B-P03</t>
  </si>
  <si>
    <t xml:space="preserve">AD-256</t>
  </si>
  <si>
    <t xml:space="preserve">RT-B-P04</t>
  </si>
  <si>
    <t xml:space="preserve">AD-257</t>
  </si>
  <si>
    <t xml:space="preserve">RT-B-P05</t>
  </si>
  <si>
    <t xml:space="preserve">AD-258</t>
  </si>
  <si>
    <t xml:space="preserve">RT-B-P06</t>
  </si>
  <si>
    <t xml:space="preserve">AD-259</t>
  </si>
  <si>
    <t xml:space="preserve">RT-B-P07</t>
  </si>
  <si>
    <t xml:space="preserve">AD-260</t>
  </si>
  <si>
    <t xml:space="preserve">AD-261</t>
  </si>
  <si>
    <t xml:space="preserve">AD-262</t>
  </si>
  <si>
    <t xml:space="preserve">AD-263</t>
  </si>
  <si>
    <t xml:space="preserve">AD-264</t>
  </si>
  <si>
    <t xml:space="preserve">AD-265</t>
  </si>
  <si>
    <t xml:space="preserve">RT-C-P01</t>
  </si>
  <si>
    <t xml:space="preserve">AD-266</t>
  </si>
  <si>
    <t xml:space="preserve">RT-C-P02</t>
  </si>
  <si>
    <t xml:space="preserve">AD-267</t>
  </si>
  <si>
    <t xml:space="preserve">RT-C-P03</t>
  </si>
  <si>
    <t xml:space="preserve">AD-268</t>
  </si>
  <si>
    <t xml:space="preserve">RT-C-P04</t>
  </si>
  <si>
    <t xml:space="preserve">AD-269</t>
  </si>
  <si>
    <t xml:space="preserve">RT-C-P05</t>
  </si>
  <si>
    <t xml:space="preserve">AD-270</t>
  </si>
  <si>
    <t xml:space="preserve">RT-C-P06</t>
  </si>
  <si>
    <t xml:space="preserve">AD-271</t>
  </si>
  <si>
    <t xml:space="preserve">RT-C-P07</t>
  </si>
  <si>
    <t xml:space="preserve">AD-272</t>
  </si>
  <si>
    <t xml:space="preserve">AD-273</t>
  </si>
  <si>
    <t xml:space="preserve">AD-274</t>
  </si>
  <si>
    <t xml:space="preserve">AD-275</t>
  </si>
  <si>
    <t xml:space="preserve">AD-276</t>
  </si>
  <si>
    <t xml:space="preserve">AD-277</t>
  </si>
  <si>
    <t xml:space="preserve">RT-D-P01</t>
  </si>
  <si>
    <t xml:space="preserve">AD-278</t>
  </si>
  <si>
    <t xml:space="preserve">RT-D-P02</t>
  </si>
  <si>
    <t xml:space="preserve">AD-279</t>
  </si>
  <si>
    <t xml:space="preserve">RT-D-P03</t>
  </si>
  <si>
    <t xml:space="preserve">AD-280</t>
  </si>
  <si>
    <t xml:space="preserve">RT-D-P04</t>
  </si>
  <si>
    <t xml:space="preserve">AD-281</t>
  </si>
  <si>
    <t xml:space="preserve">RT-D-P05</t>
  </si>
  <si>
    <t xml:space="preserve">AD-282</t>
  </si>
  <si>
    <t xml:space="preserve">RT-D-P06</t>
  </si>
  <si>
    <t xml:space="preserve">AD-283</t>
  </si>
  <si>
    <t xml:space="preserve">RT-D-P07</t>
  </si>
  <si>
    <t xml:space="preserve">AD-284</t>
  </si>
  <si>
    <t xml:space="preserve">AD-285</t>
  </si>
  <si>
    <t xml:space="preserve">AD-286</t>
  </si>
  <si>
    <t xml:space="preserve">AD-287</t>
  </si>
  <si>
    <t xml:space="preserve">AD-288</t>
  </si>
  <si>
    <t xml:space="preserve">Operational interfaces and public seams</t>
  </si>
  <si>
    <t xml:space="preserve">Interface</t>
  </si>
  <si>
    <t xml:space="preserve">From</t>
  </si>
  <si>
    <t xml:space="preserve">To</t>
  </si>
  <si>
    <t xml:space="preserve">Exchange record</t>
  </si>
  <si>
    <t xml:space="preserve">Shared controller</t>
  </si>
  <si>
    <t xml:space="preserve">Observation</t>
  </si>
  <si>
    <t xml:space="preserve">accepted entry, cargo custody and delivered formation state</t>
  </si>
  <si>
    <t xml:space="preserve">No</t>
  </si>
  <si>
    <t xml:space="preserve">SOURCE EMPTY</t>
  </si>
  <si>
    <t xml:space="preserve">OPEN</t>
  </si>
  <si>
    <t xml:space="preserve">occupied-terrain access, receiver state and lawful handoff</t>
  </si>
  <si>
    <t xml:space="preserve">safe approach, controlled boundary and consequence state</t>
  </si>
  <si>
    <t xml:space="preserve">quality-released water, firm power, thermal service and residual acceptance</t>
  </si>
  <si>
    <t xml:space="preserve">clinical acceptance, workforce care and patient or household state</t>
  </si>
  <si>
    <t xml:space="preserve">sustainment, return acceptance, repair and renewed configuration</t>
  </si>
  <si>
    <t xml:space="preserve">Seam</t>
  </si>
  <si>
    <t xml:space="preserve">Public grammar</t>
  </si>
  <si>
    <t xml:space="preserve">Candidate execution allowed</t>
  </si>
  <si>
    <t xml:space="preserve">S01</t>
  </si>
  <si>
    <t xml:space="preserve">service denominator</t>
  </si>
  <si>
    <t xml:space="preserve">S02</t>
  </si>
  <si>
    <t xml:space="preserve">units and coordinate schema</t>
  </si>
  <si>
    <t xml:space="preserve">S03</t>
  </si>
  <si>
    <t xml:space="preserve">physical interface envelope</t>
  </si>
  <si>
    <t xml:space="preserve">S04</t>
  </si>
  <si>
    <t xml:space="preserve">manifest and custody identity</t>
  </si>
  <si>
    <t xml:space="preserve">S05</t>
  </si>
  <si>
    <t xml:space="preserve">receiver-state vocabulary</t>
  </si>
  <si>
    <t xml:space="preserve">S06</t>
  </si>
  <si>
    <t xml:space="preserve">calibration interface</t>
  </si>
  <si>
    <t xml:space="preserve">S07</t>
  </si>
  <si>
    <t xml:space="preserve">evidence and replay schema</t>
  </si>
  <si>
    <t xml:space="preserve">S08</t>
  </si>
  <si>
    <t xml:space="preserve">rights receipt</t>
  </si>
  <si>
    <t xml:space="preserve">S09</t>
  </si>
  <si>
    <t xml:space="preserve">stop grammar</t>
  </si>
  <si>
    <t xml:space="preserve">S10</t>
  </si>
  <si>
    <t xml:space="preserve">time, uncertainty and missingness encoding</t>
  </si>
  <si>
    <t xml:space="preserve">S11</t>
  </si>
  <si>
    <t xml:space="preserve">residual and regeneration taxonomy</t>
  </si>
  <si>
    <t xml:space="preserve">S12</t>
  </si>
  <si>
    <t xml:space="preserve">recharter and export package</t>
  </si>
  <si>
    <t xml:space="preserve">Public-method estate reservation</t>
  </si>
  <si>
    <t xml:space="preserve">The USD 12.0B reservation is nested inside the USD 80.0B enabling account and is not a cost estimate or obligation.</t>
  </si>
  <si>
    <t xml:space="preserve">Line</t>
  </si>
  <si>
    <t xml:space="preserve">Reservation</t>
  </si>
  <si>
    <t xml:space="preserve">Obligated</t>
  </si>
  <si>
    <t xml:space="preserve">Remaining</t>
  </si>
  <si>
    <t xml:space="preserve">Purpose</t>
  </si>
  <si>
    <t xml:space="preserve">six method packages</t>
  </si>
  <si>
    <t xml:space="preserve">public question, denominator and amendment law</t>
  </si>
  <si>
    <t xml:space="preserve">twenty-four receiver-state lines</t>
  </si>
  <si>
    <t xml:space="preserve">physical receiver and denial state lines</t>
  </si>
  <si>
    <t xml:space="preserve">144 method realizations</t>
  </si>
  <si>
    <t xml:space="preserve">two unlike implementations per method card</t>
  </si>
  <si>
    <t xml:space="preserve">144 calibration chains</t>
  </si>
  <si>
    <t xml:space="preserve">portable, independent calibration</t>
  </si>
  <si>
    <t xml:space="preserve">reset and forensics</t>
  </si>
  <si>
    <t xml:space="preserve">invalidity recovery and causal examination</t>
  </si>
  <si>
    <t xml:space="preserve">rights and safety fixtures</t>
  </si>
  <si>
    <t xml:space="preserve">nonwaivable stops and civil receipt</t>
  </si>
  <si>
    <t xml:space="preserve">replay and cold-run capacity</t>
  </si>
  <si>
    <t xml:space="preserve">exact-event replay and outside reconstruction</t>
  </si>
  <si>
    <t xml:space="preserve">uncertainty reserve</t>
  </si>
  <si>
    <t xml:space="preserve">bounded unknown implementation</t>
  </si>
  <si>
    <t xml:space="preserve">METHOD TOTAL</t>
  </si>
  <si>
    <t xml:space="preserve">nested reservation</t>
  </si>
  <si>
    <t xml:space="preserve">ENABLING REMAINDER</t>
  </si>
  <si>
    <t xml:space="preserve">authority outside the method reserve</t>
  </si>
  <si>
    <t xml:space="preserve">Separated launch authorities</t>
  </si>
  <si>
    <t xml:space="preserve">Authority is compositional only through typed artifacts. No actor inherits another actor's warrant.</t>
  </si>
  <si>
    <t xml:space="preserve">Authority class</t>
  </si>
  <si>
    <t xml:space="preserve">Exclusive power</t>
  </si>
  <si>
    <t xml:space="preserve">May issue now</t>
  </si>
  <si>
    <t xml:space="preserve">Cannot manufacture</t>
  </si>
  <si>
    <t xml:space="preserve">Failure response</t>
  </si>
  <si>
    <t xml:space="preserve">Congress and public budget law</t>
  </si>
  <si>
    <t xml:space="preserve">create five fiscal accounts and ceilings</t>
  </si>
  <si>
    <t xml:space="preserve">obligation, evidence or readiness</t>
  </si>
  <si>
    <t xml:space="preserve">repeal or revise prospectively</t>
  </si>
  <si>
    <t xml:space="preserve">Secretary</t>
  </si>
  <si>
    <t xml:space="preserve">priority, budget proposal, convening, disclosure and suspension</t>
  </si>
  <si>
    <t xml:space="preserve">direction inside warrants</t>
  </si>
  <si>
    <t xml:space="preserve">technical fact, acceptance or credit</t>
  </si>
  <si>
    <t xml:space="preserve">suspend unsafe work</t>
  </si>
  <si>
    <t xml:space="preserve">Mission System Commands</t>
  </si>
  <si>
    <t xml:space="preserve">complete-service denominators</t>
  </si>
  <si>
    <t xml:space="preserve">A0 questions</t>
  </si>
  <si>
    <t xml:space="preserve">technical release or receiver acceptance</t>
  </si>
  <si>
    <t xml:space="preserve">amend prospectively</t>
  </si>
  <si>
    <t xml:space="preserve">Generating Services</t>
  </si>
  <si>
    <t xml:space="preserve">system-native technical release</t>
  </si>
  <si>
    <t xml:space="preserve">bounded build standard</t>
  </si>
  <si>
    <t xml:space="preserve">mission success or evidence validity</t>
  </si>
  <si>
    <t xml:space="preserve">withdraw unsafe release</t>
  </si>
  <si>
    <t xml:space="preserve">control registrar</t>
  </si>
  <si>
    <t xml:space="preserve">beneficial-control and dependency admission</t>
  </si>
  <si>
    <t xml:space="preserve">eligibility record</t>
  </si>
  <si>
    <t xml:space="preserve">fiscal option or technical merit</t>
  </si>
  <si>
    <t xml:space="preserve">suspend collided control</t>
  </si>
  <si>
    <t xml:space="preserve">open, stage, cancel and recharter options</t>
  </si>
  <si>
    <t xml:space="preserve">evidence or capability</t>
  </si>
  <si>
    <t xml:space="preserve">cancel and return balance</t>
  </si>
  <si>
    <t xml:space="preserve">Root Houses</t>
  </si>
  <si>
    <t xml:space="preserve">design and configuration liability for one root</t>
  </si>
  <si>
    <t xml:space="preserve">propose artifacts</t>
  </si>
  <si>
    <t xml:space="preserve">public warrant or self-acceptance</t>
  </si>
  <si>
    <t xml:space="preserve">deliver transfer package</t>
  </si>
  <si>
    <t xml:space="preserve">freeze methods and accept unlike realization boundaries</t>
  </si>
  <si>
    <t xml:space="preserve">A0.1 publication</t>
  </si>
  <si>
    <t xml:space="preserve">candidate execution</t>
  </si>
  <si>
    <t xml:space="preserve">hold disagreeing method</t>
  </si>
  <si>
    <t xml:space="preserve">challenge, control, reconstruction and custody</t>
  </si>
  <si>
    <t xml:space="preserve">event protocol</t>
  </si>
  <si>
    <t xml:space="preserve">candidate design or disposition</t>
  </si>
  <si>
    <t xml:space="preserve">invalidate exact event</t>
  </si>
  <si>
    <t xml:space="preserve">none before evidence</t>
  </si>
  <si>
    <t xml:space="preserve">production or readiness</t>
  </si>
  <si>
    <t xml:space="preserve">bind adverse evidence</t>
  </si>
  <si>
    <t xml:space="preserve">pay accepted artifacts and conserve accounts</t>
  </si>
  <si>
    <t xml:space="preserve">none before acceptance</t>
  </si>
  <si>
    <t xml:space="preserve">favorable outcome</t>
  </si>
  <si>
    <t xml:space="preserve">recover or return funds</t>
  </si>
  <si>
    <t xml:space="preserve">receivers and readiness authorities</t>
  </si>
  <si>
    <t xml:space="preserve">accept service and certify formations</t>
  </si>
  <si>
    <t xml:space="preserve">none in this pass</t>
  </si>
  <si>
    <t xml:space="preserve">technical fact or production</t>
  </si>
  <si>
    <t xml:space="preserve">reject incomplete service</t>
  </si>
  <si>
    <t xml:space="preserve">Failure, rollback and retained truth</t>
  </si>
  <si>
    <t xml:space="preserve">Rollback removes authority, not history. Valid adverse evidence is never erased or averaged away.</t>
  </si>
  <si>
    <t xml:space="preserve">Trigger</t>
  </si>
  <si>
    <t xml:space="preserve">Immediate action</t>
  </si>
  <si>
    <t xml:space="preserve">State destroyed</t>
  </si>
  <si>
    <t xml:space="preserve">State retained</t>
  </si>
  <si>
    <t xml:space="preserve">Money rule</t>
  </si>
  <si>
    <t xml:space="preserve">Successor allowed</t>
  </si>
  <si>
    <t xml:space="preserve">beneficial-control collision</t>
  </si>
  <si>
    <t xml:space="preserve">suspend both affected roots</t>
  </si>
  <si>
    <t xml:space="preserve">public denominator and prior valid evidence</t>
  </si>
  <si>
    <t xml:space="preserve">unearned option returns</t>
  </si>
  <si>
    <t xml:space="preserve">clean control group</t>
  </si>
  <si>
    <t xml:space="preserve">provider touches more than two roots</t>
  </si>
  <si>
    <t xml:space="preserve">suspend affected dependency</t>
  </si>
  <si>
    <t xml:space="preserve">dependency clearance</t>
  </si>
  <si>
    <t xml:space="preserve">root identities and public seams</t>
  </si>
  <si>
    <t xml:space="preserve">no payment for cure by incumbent</t>
  </si>
  <si>
    <t xml:space="preserve">unrelated alternate</t>
  </si>
  <si>
    <t xml:space="preserve">method realizations disagree</t>
  </si>
  <si>
    <t xml:space="preserve">hold method card</t>
  </si>
  <si>
    <t xml:space="preserve">event readiness</t>
  </si>
  <si>
    <t xml:space="preserve">frozen question and both results</t>
  </si>
  <si>
    <t xml:space="preserve">public reserve only</t>
  </si>
  <si>
    <t xml:space="preserve">third unlike realization after warrant</t>
  </si>
  <si>
    <t xml:space="preserve">calibration invalid</t>
  </si>
  <si>
    <t xml:space="preserve">event validity</t>
  </si>
  <si>
    <t xml:space="preserve">article and all adverse history</t>
  </si>
  <si>
    <t xml:space="preserve">reserve may fund one exact replay</t>
  </si>
  <si>
    <t xml:space="preserve">same sealed event</t>
  </si>
  <si>
    <t xml:space="preserve">rights or safety stop</t>
  </si>
  <si>
    <t xml:space="preserve">halt and secure</t>
  </si>
  <si>
    <t xml:space="preserve">event and local release</t>
  </si>
  <si>
    <t xml:space="preserve">stop record and evidence</t>
  </si>
  <si>
    <t xml:space="preserve">accepted safety artifact payable</t>
  </si>
  <si>
    <t xml:space="preserve">fresh rights and safety warrant</t>
  </si>
  <si>
    <t xml:space="preserve">adverse balance endpoint</t>
  </si>
  <si>
    <t xml:space="preserve">RESIZE</t>
  </si>
  <si>
    <t xml:space="preserve">current configuration</t>
  </si>
  <si>
    <t xml:space="preserve">valid adverse evidence</t>
  </si>
  <si>
    <t xml:space="preserve">accepted BREAK artifact payable</t>
  </si>
  <si>
    <t xml:space="preserve">new configuration after re-entry</t>
  </si>
  <si>
    <t xml:space="preserve">adverse causal keystone</t>
  </si>
  <si>
    <t xml:space="preserve">KILL lineage</t>
  </si>
  <si>
    <t xml:space="preserve">root lineage</t>
  </si>
  <si>
    <t xml:space="preserve">valid adverse evidence and public rights</t>
  </si>
  <si>
    <t xml:space="preserve">clean replacement root</t>
  </si>
  <si>
    <t xml:space="preserve">Root House insolvency</t>
  </si>
  <si>
    <t xml:space="preserve">transfer to Continuity Receiver</t>
  </si>
  <si>
    <t xml:space="preserve">firm authority</t>
  </si>
  <si>
    <t xml:space="preserve">public foreground rights and evidence</t>
  </si>
  <si>
    <t xml:space="preserve">unearned option cancels</t>
  </si>
  <si>
    <t xml:space="preserve">clean recharter</t>
  </si>
  <si>
    <t xml:space="preserve">cost overrun</t>
  </si>
  <si>
    <t xml:space="preserve">cancel unearned option</t>
  </si>
  <si>
    <t xml:space="preserve">remaining private ceiling</t>
  </si>
  <si>
    <t xml:space="preserve">accepted artifacts</t>
  </si>
  <si>
    <t xml:space="preserve">failure reserve unavailable</t>
  </si>
  <si>
    <t xml:space="preserve">recompete bounded work</t>
  </si>
  <si>
    <t xml:space="preserve">operational emergency demand</t>
  </si>
  <si>
    <t xml:space="preserve">retain experimental status</t>
  </si>
  <si>
    <t xml:space="preserve">all test restrictions</t>
  </si>
  <si>
    <t xml:space="preserve">no readiness payment</t>
  </si>
  <si>
    <t xml:space="preserve">separate operational procurement</t>
  </si>
  <si>
    <t xml:space="preserve">favorable demonstration</t>
  </si>
  <si>
    <t xml:space="preserve">record result only</t>
  </si>
  <si>
    <t xml:space="preserve">all remaining gates</t>
  </si>
  <si>
    <t xml:space="preserve">payment only for accepted artifact</t>
  </si>
  <si>
    <t xml:space="preserve">continue evidence sequence</t>
  </si>
  <si>
    <t xml:space="preserve">site loss</t>
  </si>
  <si>
    <t xml:space="preserve">activate unlike proving path</t>
  </si>
  <si>
    <t xml:space="preserve">local schedule</t>
  </si>
  <si>
    <t xml:space="preserve">sealed protocol and custody</t>
  </si>
  <si>
    <t xml:space="preserve">estate reserve within ceiling</t>
  </si>
  <si>
    <t xml:space="preserve">different site and control chain</t>
  </si>
  <si>
    <t xml:space="preserve">Parent question returned for first physical construction</t>
  </si>
  <si>
    <t xml:space="preserve">This pass frames but does not select the A2 portfolio. Reversal of that next choice will alter the first physical estate.</t>
  </si>
  <si>
    <t xml:space="preserve">Candidate construction philosophy</t>
  </si>
  <si>
    <t xml:space="preserve">First object</t>
  </si>
  <si>
    <t xml:space="preserve">Potential advantage</t>
  </si>
  <si>
    <t xml:space="preserve">Fatal risk to test</t>
  </si>
  <si>
    <t xml:space="preserve">Required decision gates</t>
  </si>
  <si>
    <t xml:space="preserve">Authority now</t>
  </si>
  <si>
    <t xml:space="preserve">distributed balance-first wave</t>
  </si>
  <si>
    <t xml:space="preserve">one limiting-account rig per system</t>
  </si>
  <si>
    <t xml:space="preserve">broad early resizing power</t>
  </si>
  <si>
    <t xml:space="preserve">may miss causal keystones</t>
  </si>
  <si>
    <t xml:space="preserve">all-six coverage; receiver relevance; independent realization</t>
  </si>
  <si>
    <t xml:space="preserve">causal-keystone-first wave</t>
  </si>
  <si>
    <t xml:space="preserve">one kill experiment per system</t>
  </si>
  <si>
    <t xml:space="preserve">retires bad physics early</t>
  </si>
  <si>
    <t xml:space="preserve">keystone choice may be wrong</t>
  </si>
  <si>
    <t xml:space="preserve">causal specificity; safe failure; cold reconstruction</t>
  </si>
  <si>
    <t xml:space="preserve">receiver-state bootstrap</t>
  </si>
  <si>
    <t xml:space="preserve">unlike receiver-state realizations</t>
  </si>
  <si>
    <t xml:space="preserve">makes public truth physical</t>
  </si>
  <si>
    <t xml:space="preserve">estate may precede decisive claim</t>
  </si>
  <si>
    <t xml:space="preserve">method maturity; dual lineage; site-loss survival</t>
  </si>
  <si>
    <t xml:space="preserve">compound six-system falsification wave</t>
  </si>
  <si>
    <t xml:space="preserve">paired balance and keystone endpoints with receiver cells</t>
  </si>
  <si>
    <t xml:space="preserve">tests the mission chain and each root</t>
  </si>
  <si>
    <t xml:space="preserve">high integration and schedule burden</t>
  </si>
  <si>
    <t xml:space="preserve">non-substitution; cancellation; no common execution root</t>
  </si>
  <si>
    <t xml:space="preserve">complete multi-station public estate</t>
  </si>
  <si>
    <t xml:space="preserve">long-run capacity</t>
  </si>
  <si>
    <t xml:space="preserve">locks geography and apparatus too early</t>
  </si>
  <si>
    <t xml:space="preserve">portfolio selection; recovery topology; public custody</t>
  </si>
  <si>
    <t xml:space="preserve">Launch-compact stress worlds</t>
  </si>
  <si>
    <t xml:space="preserve">A passing stress result preserves action while preventing one legal or accounting state from manufacturing another.</t>
  </si>
  <si>
    <t xml:space="preserve">World</t>
  </si>
  <si>
    <t xml:space="preserve">Required response</t>
  </si>
  <si>
    <t xml:space="preserve">Forbidden conversion</t>
  </si>
  <si>
    <t xml:space="preserve">Expected state</t>
  </si>
  <si>
    <t xml:space="preserve">Congress appropriates full USD 200B</t>
  </si>
  <si>
    <t xml:space="preserve">partition five accounts</t>
  </si>
  <si>
    <t xml:space="preserve">appropriation to obligation</t>
  </si>
  <si>
    <t xml:space="preserve">PASS</t>
  </si>
  <si>
    <t xml:space="preserve">one system requests priority</t>
  </si>
  <si>
    <t xml:space="preserve">retain all-six cohort</t>
  </si>
  <si>
    <t xml:space="preserve">priority to exclusive program</t>
  </si>
  <si>
    <t xml:space="preserve">one prime offers six integrated roots</t>
  </si>
  <si>
    <t xml:space="preserve">reject cross-root control</t>
  </si>
  <si>
    <t xml:space="preserve">integration to independence</t>
  </si>
  <si>
    <t xml:space="preserve">REJECT</t>
  </si>
  <si>
    <t xml:space="preserve">public seam implementation offered to all roots</t>
  </si>
  <si>
    <t xml:space="preserve">limit seam to grammar</t>
  </si>
  <si>
    <t xml:space="preserve">common code to plural truth</t>
  </si>
  <si>
    <t xml:space="preserve">method text is complete</t>
  </si>
  <si>
    <t xml:space="preserve">retain realization acceptance at zero</t>
  </si>
  <si>
    <t xml:space="preserve">document to physical method</t>
  </si>
  <si>
    <t xml:space="preserve">A1 competition publishes</t>
  </si>
  <si>
    <t xml:space="preserve">retain award and article at zero</t>
  </si>
  <si>
    <t xml:space="preserve">issue to award</t>
  </si>
  <si>
    <t xml:space="preserve">all FRAME artifacts accepted</t>
  </si>
  <si>
    <t xml:space="preserve">pay only accepted FRAME work</t>
  </si>
  <si>
    <t xml:space="preserve">payment to favorable result</t>
  </si>
  <si>
    <t xml:space="preserve">BOUNDED</t>
  </si>
  <si>
    <t xml:space="preserve">valid adverse MAKE result</t>
  </si>
  <si>
    <t xml:space="preserve">retain and pay artifact</t>
  </si>
  <si>
    <t xml:space="preserve">failure to nonpayment</t>
  </si>
  <si>
    <t xml:space="preserve">BOUNDING EVIDENCE</t>
  </si>
  <si>
    <t xml:space="preserve">invalid event occurs</t>
  </si>
  <si>
    <t xml:space="preserve">one exact-event replay</t>
  </si>
  <si>
    <t xml:space="preserve">invalidity to adverse erasure</t>
  </si>
  <si>
    <t xml:space="preserve">REPLAY ONLY</t>
  </si>
  <si>
    <t xml:space="preserve">method lineages disagree</t>
  </si>
  <si>
    <t xml:space="preserve">hold method</t>
  </si>
  <si>
    <t xml:space="preserve">averaging to truth</t>
  </si>
  <si>
    <t xml:space="preserve">provider touches third root</t>
  </si>
  <si>
    <t xml:space="preserve">suspend dependency</t>
  </si>
  <si>
    <t xml:space="preserve">shared supplier to independence</t>
  </si>
  <si>
    <t xml:space="preserve">SUSPEND</t>
  </si>
  <si>
    <t xml:space="preserve">Root House fails financially</t>
  </si>
  <si>
    <t xml:space="preserve">recharter to clean control</t>
  </si>
  <si>
    <t xml:space="preserve">public rights to public monopoly</t>
  </si>
  <si>
    <t xml:space="preserve">RECHARTER</t>
  </si>
  <si>
    <t xml:space="preserve">S13</t>
  </si>
  <si>
    <t xml:space="preserve">one A1 succeeds</t>
  </si>
  <si>
    <t xml:space="preserve">retain other three fields open</t>
  </si>
  <si>
    <t xml:space="preserve">mechanism to root credit</t>
  </si>
  <si>
    <t xml:space="preserve">NO CREDIT</t>
  </si>
  <si>
    <t xml:space="preserve">S14</t>
  </si>
  <si>
    <t xml:space="preserve">all twenty-four A1s succeed</t>
  </si>
  <si>
    <t xml:space="preserve">retain complete-root and G4 gates</t>
  </si>
  <si>
    <t xml:space="preserve">cohort to production</t>
  </si>
  <si>
    <t xml:space="preserve">NO PRODUCTION</t>
  </si>
  <si>
    <t xml:space="preserve">S15</t>
  </si>
  <si>
    <t xml:space="preserve">catastrophe creates urgent demand</t>
  </si>
  <si>
    <t xml:space="preserve">do not deploy experimental article as ready</t>
  </si>
  <si>
    <t xml:space="preserve">urgency to readiness</t>
  </si>
  <si>
    <t xml:space="preserve">EXPERIMENTAL</t>
  </si>
  <si>
    <t xml:space="preserve">S16</t>
  </si>
  <si>
    <t xml:space="preserve">USD 12B method reserve approved</t>
  </si>
  <si>
    <t xml:space="preserve">retain obligation at zero</t>
  </si>
  <si>
    <t xml:space="preserve">reserve to spend</t>
  </si>
  <si>
    <t xml:space="preserve">S17</t>
  </si>
  <si>
    <t xml:space="preserve">A2 portfolio not selected</t>
  </si>
  <si>
    <t xml:space="preserve">return parent question</t>
  </si>
  <si>
    <t xml:space="preserve">schedule to construction</t>
  </si>
  <si>
    <t xml:space="preserve">S18</t>
  </si>
  <si>
    <t xml:space="preserve">later USD 750B boundary cited</t>
  </si>
  <si>
    <t xml:space="preserve">require later tranche warrants</t>
  </si>
  <si>
    <t xml:space="preserve">cumulative ceiling to present authority</t>
  </si>
  <si>
    <t xml:space="preserve">Live mutation and restoration log</t>
  </si>
  <si>
    <t xml:space="preserve">Each mutation changes one authoritative control, requires at least one terminal audit failure, and restores the baseline before export.</t>
  </si>
  <si>
    <t xml:space="preserve">Control cell</t>
  </si>
  <si>
    <t xml:space="preserve">Baseline</t>
  </si>
  <si>
    <t xml:space="preserve">Mutated</t>
  </si>
  <si>
    <t xml:space="preserve">Audit failures</t>
  </si>
  <si>
    <t xml:space="preserve">Mutation detected</t>
  </si>
  <si>
    <t xml:space="preserve">Baseline restored</t>
  </si>
  <si>
    <t xml:space="preserve">M01</t>
  </si>
  <si>
    <t xml:space="preserve">Controls!B7</t>
  </si>
  <si>
    <t xml:space="preserve">YES</t>
  </si>
  <si>
    <t xml:space="preserve">M02</t>
  </si>
  <si>
    <t xml:space="preserve">Controls!B8</t>
  </si>
  <si>
    <t xml:space="preserve">M03</t>
  </si>
  <si>
    <t xml:space="preserve">Controls!B12</t>
  </si>
  <si>
    <t xml:space="preserve">M04</t>
  </si>
  <si>
    <t xml:space="preserve">Controls!B13</t>
  </si>
  <si>
    <t xml:space="preserve">M05</t>
  </si>
  <si>
    <t xml:space="preserve">Controls!B16</t>
  </si>
  <si>
    <t xml:space="preserve">M06</t>
  </si>
  <si>
    <t xml:space="preserve">Controls!B18</t>
  </si>
  <si>
    <t xml:space="preserve">M07</t>
  </si>
  <si>
    <t xml:space="preserve">Controls!B19</t>
  </si>
  <si>
    <t xml:space="preserve">M08</t>
  </si>
  <si>
    <t xml:space="preserve">Controls!B20</t>
  </si>
  <si>
    <t xml:space="preserve">M09</t>
  </si>
  <si>
    <t xml:space="preserve">Controls!B22</t>
  </si>
  <si>
    <t xml:space="preserve">M10</t>
  </si>
  <si>
    <t xml:space="preserve">Controls!B23</t>
  </si>
  <si>
    <t xml:space="preserve">M11</t>
  </si>
  <si>
    <t xml:space="preserve">Controls!B24</t>
  </si>
  <si>
    <t xml:space="preserve">M12</t>
  </si>
  <si>
    <t xml:space="preserve">Controls!B28</t>
  </si>
  <si>
    <t xml:space="preserve">M13</t>
  </si>
  <si>
    <t xml:space="preserve">Controls!B31</t>
  </si>
  <si>
    <t xml:space="preserve">M14</t>
  </si>
  <si>
    <t xml:space="preserve">Controls!B34</t>
  </si>
  <si>
    <t xml:space="preserve">Terminal structural and numerical audit</t>
  </si>
  <si>
    <t xml:space="preserve">The audit is terminal. It tests the model but grants no business, technical or physical authority.</t>
  </si>
  <si>
    <t xml:space="preserve">Audit</t>
  </si>
  <si>
    <t xml:space="preserve">Observed</t>
  </si>
  <si>
    <t xml:space="preserve">Expected</t>
  </si>
  <si>
    <t xml:space="preserve">five-account total</t>
  </si>
  <si>
    <t xml:space="preserve">mission account</t>
  </si>
  <si>
    <t xml:space="preserve">public account subtotal</t>
  </si>
  <si>
    <t xml:space="preserve">economic-state total</t>
  </si>
  <si>
    <t xml:space="preserve">stageable plus held mission</t>
  </si>
  <si>
    <t xml:space="preserve">cohort total</t>
  </si>
  <si>
    <t xml:space="preserve">outside cohort total</t>
  </si>
  <si>
    <t xml:space="preserve">cohort plus outside mission</t>
  </si>
  <si>
    <t xml:space="preserve">method reserve</t>
  </si>
  <si>
    <t xml:space="preserve">enabling remainder</t>
  </si>
  <si>
    <t xml:space="preserve">public estate total</t>
  </si>
  <si>
    <t xml:space="preserve">public estate obligation</t>
  </si>
  <si>
    <t xml:space="preserve">FRAME share</t>
  </si>
  <si>
    <t xml:space="preserve">MAKE share</t>
  </si>
  <si>
    <t xml:space="preserve">through MAKE share</t>
  </si>
  <si>
    <t xml:space="preserve">post-MAKE share</t>
  </si>
  <si>
    <t xml:space="preserve">stageable conserved</t>
  </si>
  <si>
    <t xml:space="preserve">root count</t>
  </si>
  <si>
    <t xml:space="preserve">unique opportunity count</t>
  </si>
  <si>
    <t xml:space="preserve">system count</t>
  </si>
  <si>
    <t xml:space="preserve">roots per system total</t>
  </si>
  <si>
    <t xml:space="preserve">root stageable total</t>
  </si>
  <si>
    <t xml:space="preserve">root held total</t>
  </si>
  <si>
    <t xml:space="preserve">root awards</t>
  </si>
  <si>
    <t xml:space="preserve">root spend</t>
  </si>
  <si>
    <t xml:space="preserve">root-field parent assignments</t>
  </si>
  <si>
    <t xml:space="preserve">held assignments</t>
  </si>
  <si>
    <t xml:space="preserve">parent ancestry cells</t>
  </si>
  <si>
    <t xml:space="preserve">domain-register rows</t>
  </si>
  <si>
    <t xml:space="preserve">A1 domain control product</t>
  </si>
  <si>
    <t xml:space="preserve">A1 declarations</t>
  </si>
  <si>
    <t xml:space="preserve">held parent domains</t>
  </si>
  <si>
    <t xml:space="preserve">provider collisions</t>
  </si>
  <si>
    <t xml:space="preserve">receiver states</t>
  </si>
  <si>
    <t xml:space="preserve">method cards</t>
  </si>
  <si>
    <t xml:space="preserve">A1 warrants</t>
  </si>
  <si>
    <t xml:space="preserve">valid events</t>
  </si>
  <si>
    <t xml:space="preserve">directed interfaces</t>
  </si>
  <si>
    <t xml:space="preserve">shared controllers</t>
  </si>
  <si>
    <t xml:space="preserve">source-empty interfaces</t>
  </si>
  <si>
    <t xml:space="preserve">seams entering execution</t>
  </si>
  <si>
    <t xml:space="preserve">selected architecture count</t>
  </si>
  <si>
    <t xml:space="preserve">selected architecture passes</t>
  </si>
  <si>
    <t xml:space="preserve">rejected architectures</t>
  </si>
  <si>
    <t xml:space="preserve">resolved contradictions</t>
  </si>
  <si>
    <t xml:space="preserve">launch objects</t>
  </si>
  <si>
    <t xml:space="preserve">warrant steps</t>
  </si>
  <si>
    <t xml:space="preserve">A2 authority granted</t>
  </si>
  <si>
    <t xml:space="preserve">stress tests</t>
  </si>
  <si>
    <t xml:space="preserve">stress passes</t>
  </si>
  <si>
    <t xml:space="preserve">integration passes</t>
  </si>
  <si>
    <t xml:space="preserve">terminal branch returns</t>
  </si>
  <si>
    <t xml:space="preserve">Internal sources and model limits</t>
  </si>
  <si>
    <t xml:space="preserve">This workbook composes prior internal authorities. It does not claim empirical support for unbuilt systems.</t>
  </si>
  <si>
    <t xml:space="preserve">Source</t>
  </si>
  <si>
    <t xml:space="preserve">Repository artifact</t>
  </si>
  <si>
    <t xml:space="preserve">Role</t>
  </si>
  <si>
    <t xml:space="preserve">Access</t>
  </si>
  <si>
    <t xml:space="preserve">Limitation</t>
  </si>
  <si>
    <t xml:space="preserve">first physical build portfolio and release sequence</t>
  </si>
  <si>
    <t xml:space="preserve">portfolio, accounts and article ladder</t>
  </si>
  <si>
    <t xml:space="preserve">internal repository</t>
  </si>
  <si>
    <t xml:space="preserve">design authority; no observations</t>
  </si>
  <si>
    <t xml:space="preserve">first-tranche industrial transaction</t>
  </si>
  <si>
    <t xml:space="preserve">root market, payment and ancestry</t>
  </si>
  <si>
    <t xml:space="preserve">no firms, awards or providers</t>
  </si>
  <si>
    <t xml:space="preserve">first six-system requirement cohort</t>
  </si>
  <si>
    <t xml:space="preserve">selected fields, vectors and interfaces</t>
  </si>
  <si>
    <t xml:space="preserve">mechanism hypotheses only</t>
  </si>
  <si>
    <t xml:space="preserve">federated public-method grid and A1 release</t>
  </si>
  <si>
    <t xml:space="preserve">methods, realizations, events and seams</t>
  </si>
  <si>
    <t xml:space="preserve">no accepted physical implementations</t>
  </si>
  <si>
    <t xml:space="preserve">national first physical launch compact and return</t>
  </si>
  <si>
    <t xml:space="preserve">integration, reconciliation and return</t>
  </si>
  <si>
    <t xml:space="preserve">selects no A2 rig, site or formation</t>
  </si>
  <si>
    <t xml:space="preserve">Model boundary</t>
  </si>
  <si>
    <t xml:space="preserve">this workbook</t>
  </si>
  <si>
    <t xml:space="preserve">formula, structural and mutation tests</t>
  </si>
  <si>
    <t xml:space="preserve">no external sites used</t>
  </si>
  <si>
    <t xml:space="preserve">Evidence boundary</t>
  </si>
  <si>
    <t xml:space="preserve">all implementation records</t>
  </si>
  <si>
    <t xml:space="preserve">identities and observations remain source-empty</t>
  </si>
  <si>
    <t xml:space="preserve">not available</t>
  </si>
  <si>
    <t xml:space="preserve">zero is deliberate where authority requires zero</t>
  </si>
  <si>
    <t xml:space="preserve">Rendering boundary</t>
  </si>
  <si>
    <t xml:space="preserve">exterior form</t>
  </si>
  <si>
    <t xml:space="preserve">held until physical constitution</t>
  </si>
  <si>
    <t xml:space="preserve">not applicable</t>
  </si>
  <si>
    <t xml:space="preserve">no renderings in this pass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</si>
</sst>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0"/>
    <numFmt numFmtId="167" formatCode="0.0%"/>
    <numFmt numFmtId="168" formatCode="\$0\B"/>
    <numFmt numFmtId="169" formatCode="#,##0.000000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65D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000000"/>
      <name val="Arial"/>
      <family val="2"/>
    </font>
    <font>
      <sz val="7.5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2CC"/>
        <bgColor rgb="FFFCE8E6"/>
      </patternFill>
    </fill>
    <fill>
      <patternFill patternType="solid">
        <fgColor rgb="FF0F6B78"/>
        <bgColor rgb="FF008080"/>
      </patternFill>
    </fill>
    <fill>
      <patternFill patternType="solid">
        <fgColor rgb="FFFCE8E6"/>
        <bgColor rgb="FFFFF2CC"/>
      </patternFill>
    </fill>
    <fill>
      <patternFill patternType="solid">
        <fgColor rgb="FFEAF2F8"/>
        <bgColor rgb="FFE2F0D9"/>
      </patternFill>
    </fill>
    <fill>
      <patternFill patternType="solid">
        <fgColor rgb="FFE2F0D9"/>
        <bgColor rgb="FFEAF2F8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7365D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/>
      <bottom style="thin">
        <color rgb="FFD6DFEA"/>
      </bottom>
      <diagonal/>
    </border>
    <border diagonalUp="false" diagonalDown="false">
      <left/>
      <right/>
      <top style="thin">
        <color rgb="FFD6DFEA"/>
      </top>
      <bottom style="thin">
        <color rgb="FFD6DFEA"/>
      </bottom>
      <diagonal/>
    </border>
    <border diagonalUp="false" diagonalDown="false">
      <left/>
      <right/>
      <top style="thin">
        <color rgb="FFD6DFEA"/>
      </top>
      <bottom/>
      <diagonal/>
    </border>
    <border diagonalUp="false" diagonalDown="false">
      <left/>
      <right style="thin">
        <color rgb="FFFFFFFF"/>
      </right>
      <top style="thin">
        <color rgb="FFD6DFEA"/>
      </top>
      <bottom style="thin">
        <color rgb="FFD6DFEA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D6DFEA"/>
      </top>
      <bottom style="thin">
        <color rgb="FFD6DFEA"/>
      </bottom>
      <diagonal/>
    </border>
    <border diagonalUp="false" diagonalDown="false">
      <left style="thin">
        <color rgb="FFFFFFFF"/>
      </left>
      <right/>
      <top style="thin">
        <color rgb="FFD6DFEA"/>
      </top>
      <bottom style="thin">
        <color rgb="FFD6DFE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6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6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6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4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EAF2F8"/>
      <rgbColor rgb="FF660066"/>
      <rgbColor rgb="FFFF8080"/>
      <rgbColor rgb="FF0070C0"/>
      <rgbColor rgb="FFD6DF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8E6"/>
      <rgbColor rgb="FF99CCFF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First-tranche authority by state (USD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Finance!$A$16:$A$19</c:f>
              <c:strCache>
                <c:ptCount val="4"/>
                <c:pt idx="0">
                  <c:v>stageable private options</c:v>
                </c:pt>
                <c:pt idx="1">
                  <c:v>evidence-held mission authority</c:v>
                </c:pt>
                <c:pt idx="2">
                  <c:v>public and enabling authority</c:v>
                </c:pt>
                <c:pt idx="3">
                  <c:v>protected failure reserve</c:v>
                </c:pt>
              </c:strCache>
            </c:strRef>
          </c:cat>
          <c:val>
            <c:numRef>
              <c:f>Finance!$B$16:$B$19</c:f>
              <c:numCache>
                <c:formatCode>#,##0.000</c:formatCode>
                <c:ptCount val="4"/>
                <c:pt idx="0">
                  <c:v>57.4</c:v>
                </c:pt>
                <c:pt idx="1">
                  <c:v>52.6</c:v>
                </c:pt>
                <c:pt idx="2">
                  <c:v>80</c:v>
                </c:pt>
                <c:pt idx="3">
                  <c:v>10</c:v>
                </c:pt>
              </c:numCache>
            </c:numRef>
          </c:val>
        </c:ser>
        <c:gapWidth val="150"/>
        <c:overlap val="0"/>
        <c:axId val="41103536"/>
        <c:axId val="76982284"/>
      </c:barChart>
      <c:catAx>
        <c:axId val="4110353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75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6982284"/>
        <c:crosses val="autoZero"/>
        <c:auto val="1"/>
        <c:lblAlgn val="ctr"/>
        <c:lblOffset val="100"/>
        <c:noMultiLvlLbl val="0"/>
      </c:catAx>
      <c:valAx>
        <c:axId val="7698228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$0\B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75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1103536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12</xdr:col>
      <xdr:colOff>611280</xdr:colOff>
      <xdr:row>20</xdr:row>
      <xdr:rowOff>190080</xdr:rowOff>
    </xdr:to>
    <xdr:graphicFrame>
      <xdr:nvGraphicFramePr>
        <xdr:cNvPr id="1" name="Chart"/>
        <xdr:cNvGraphicFramePr/>
      </xdr:nvGraphicFramePr>
      <xdr:xfrm>
        <a:off x="8528760" y="1066680"/>
        <a:ext cx="6158520" cy="345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8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52"/>
    <col collapsed="false" customWidth="true" hidden="false" outlineLevel="0" max="6" min="6" style="0" width="39"/>
    <col collapsed="false" customWidth="true" hidden="false" outlineLevel="0" max="7" min="7" style="0" width="40"/>
  </cols>
  <sheetData>
    <row r="2" customFormat="false" ht="24" hidden="false" customHeight="true" outlineLevel="0" collapsed="false">
      <c r="A2" s="1" t="s">
        <v>0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1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</row>
    <row r="7" customFormat="false" ht="15" hidden="false" customHeight="false" outlineLevel="0" collapsed="false">
      <c r="A7" s="8" t="s">
        <v>9</v>
      </c>
      <c r="B7" s="8" t="s">
        <v>10</v>
      </c>
      <c r="C7" s="8" t="s">
        <v>11</v>
      </c>
      <c r="D7" s="8" t="s">
        <v>12</v>
      </c>
      <c r="E7" s="8" t="s">
        <v>13</v>
      </c>
      <c r="F7" s="8" t="s">
        <v>14</v>
      </c>
      <c r="G7" s="8" t="s">
        <v>15</v>
      </c>
    </row>
    <row r="8" customFormat="false" ht="15" hidden="false" customHeight="false" outlineLevel="0" collapsed="false">
      <c r="A8" s="9" t="s">
        <v>16</v>
      </c>
      <c r="B8" s="10" t="n">
        <v>200</v>
      </c>
      <c r="C8" s="9" t="s">
        <v>17</v>
      </c>
      <c r="D8" s="9" t="s">
        <v>18</v>
      </c>
      <c r="E8" s="9" t="s">
        <v>19</v>
      </c>
      <c r="F8" s="9" t="s">
        <v>20</v>
      </c>
      <c r="G8" s="9" t="s">
        <v>21</v>
      </c>
    </row>
    <row r="9" customFormat="false" ht="15" hidden="false" customHeight="false" outlineLevel="0" collapsed="false">
      <c r="A9" s="9" t="s">
        <v>22</v>
      </c>
      <c r="B9" s="10" t="n">
        <v>57.4</v>
      </c>
      <c r="C9" s="9" t="s">
        <v>17</v>
      </c>
      <c r="D9" s="9" t="s">
        <v>23</v>
      </c>
      <c r="E9" s="9" t="s">
        <v>24</v>
      </c>
      <c r="F9" s="9" t="s">
        <v>25</v>
      </c>
      <c r="G9" s="9" t="s">
        <v>26</v>
      </c>
    </row>
    <row r="10" customFormat="false" ht="15" hidden="false" customHeight="false" outlineLevel="0" collapsed="false">
      <c r="A10" s="9" t="s">
        <v>27</v>
      </c>
      <c r="B10" s="10" t="n">
        <v>27.5</v>
      </c>
      <c r="C10" s="9" t="s">
        <v>17</v>
      </c>
      <c r="D10" s="9" t="s">
        <v>28</v>
      </c>
      <c r="E10" s="9" t="s">
        <v>29</v>
      </c>
      <c r="F10" s="9" t="s">
        <v>30</v>
      </c>
      <c r="G10" s="9" t="s">
        <v>31</v>
      </c>
    </row>
    <row r="11" customFormat="false" ht="15" hidden="false" customHeight="false" outlineLevel="0" collapsed="false">
      <c r="A11" s="9" t="s">
        <v>32</v>
      </c>
      <c r="B11" s="10" t="n">
        <v>14.3476512772823</v>
      </c>
      <c r="C11" s="9" t="s">
        <v>17</v>
      </c>
      <c r="D11" s="9" t="s">
        <v>23</v>
      </c>
      <c r="E11" s="9" t="s">
        <v>33</v>
      </c>
      <c r="F11" s="9" t="s">
        <v>34</v>
      </c>
      <c r="G11" s="9" t="s">
        <v>35</v>
      </c>
    </row>
    <row r="12" customFormat="false" ht="15" hidden="false" customHeight="false" outlineLevel="0" collapsed="false">
      <c r="A12" s="9" t="s">
        <v>36</v>
      </c>
      <c r="B12" s="10" t="n">
        <v>12</v>
      </c>
      <c r="C12" s="9" t="s">
        <v>17</v>
      </c>
      <c r="D12" s="9" t="s">
        <v>37</v>
      </c>
      <c r="E12" s="9" t="s">
        <v>38</v>
      </c>
      <c r="F12" s="9" t="s">
        <v>39</v>
      </c>
      <c r="G12" s="9" t="s">
        <v>40</v>
      </c>
    </row>
    <row r="13" customFormat="false" ht="15" hidden="false" customHeight="false" outlineLevel="0" collapsed="false">
      <c r="A13" s="9" t="s">
        <v>41</v>
      </c>
      <c r="B13" s="10" t="n">
        <v>24</v>
      </c>
      <c r="C13" s="9" t="s">
        <v>42</v>
      </c>
      <c r="D13" s="9" t="s">
        <v>43</v>
      </c>
      <c r="E13" s="9" t="s">
        <v>44</v>
      </c>
      <c r="F13" s="9" t="s">
        <v>45</v>
      </c>
      <c r="G13" s="9" t="s">
        <v>46</v>
      </c>
    </row>
    <row r="14" customFormat="false" ht="15" hidden="false" customHeight="false" outlineLevel="0" collapsed="false">
      <c r="A14" s="9" t="s">
        <v>47</v>
      </c>
      <c r="B14" s="10" t="n">
        <v>96</v>
      </c>
      <c r="C14" s="9" t="s">
        <v>42</v>
      </c>
      <c r="D14" s="9" t="s">
        <v>28</v>
      </c>
      <c r="E14" s="9" t="s">
        <v>48</v>
      </c>
      <c r="F14" s="9" t="s">
        <v>49</v>
      </c>
      <c r="G14" s="9" t="s">
        <v>50</v>
      </c>
    </row>
    <row r="15" customFormat="false" ht="15" hidden="false" customHeight="false" outlineLevel="0" collapsed="false">
      <c r="A15" s="9" t="s">
        <v>51</v>
      </c>
      <c r="B15" s="10" t="n">
        <v>6</v>
      </c>
      <c r="C15" s="9" t="s">
        <v>42</v>
      </c>
      <c r="D15" s="9" t="s">
        <v>52</v>
      </c>
      <c r="E15" s="9" t="s">
        <v>53</v>
      </c>
      <c r="F15" s="9" t="s">
        <v>54</v>
      </c>
      <c r="G15" s="9" t="s">
        <v>55</v>
      </c>
    </row>
    <row r="16" customFormat="false" ht="15" hidden="false" customHeight="false" outlineLevel="0" collapsed="false">
      <c r="A16" s="9" t="s">
        <v>56</v>
      </c>
      <c r="B16" s="10" t="n">
        <v>144</v>
      </c>
      <c r="C16" s="9" t="s">
        <v>42</v>
      </c>
      <c r="D16" s="11" t="s">
        <v>57</v>
      </c>
      <c r="E16" s="9" t="s">
        <v>58</v>
      </c>
      <c r="F16" s="9" t="s">
        <v>59</v>
      </c>
      <c r="G16" s="9" t="s">
        <v>60</v>
      </c>
    </row>
    <row r="17" customFormat="false" ht="15" hidden="false" customHeight="false" outlineLevel="0" collapsed="false">
      <c r="A17" s="9" t="s">
        <v>61</v>
      </c>
      <c r="B17" s="10" t="n">
        <v>24</v>
      </c>
      <c r="C17" s="9" t="s">
        <v>42</v>
      </c>
      <c r="D17" s="11" t="s">
        <v>62</v>
      </c>
      <c r="E17" s="9" t="s">
        <v>63</v>
      </c>
      <c r="F17" s="9" t="s">
        <v>64</v>
      </c>
      <c r="G17" s="9" t="s">
        <v>65</v>
      </c>
    </row>
    <row r="18" customFormat="false" ht="15" hidden="false" customHeight="false" outlineLevel="0" collapsed="false">
      <c r="A18" s="9" t="s">
        <v>66</v>
      </c>
      <c r="B18" s="10" t="n">
        <v>168</v>
      </c>
      <c r="C18" s="9" t="s">
        <v>42</v>
      </c>
      <c r="D18" s="11" t="s">
        <v>67</v>
      </c>
      <c r="E18" s="9" t="s">
        <v>68</v>
      </c>
      <c r="F18" s="9" t="s">
        <v>69</v>
      </c>
      <c r="G18" s="9" t="s">
        <v>70</v>
      </c>
    </row>
    <row r="19" customFormat="false" ht="15" hidden="false" customHeight="false" outlineLevel="0" collapsed="false">
      <c r="A19" s="9" t="s">
        <v>71</v>
      </c>
      <c r="B19" s="10" t="n">
        <v>1152</v>
      </c>
      <c r="C19" s="9" t="s">
        <v>42</v>
      </c>
      <c r="D19" s="11" t="s">
        <v>57</v>
      </c>
      <c r="E19" s="9" t="s">
        <v>72</v>
      </c>
      <c r="F19" s="9" t="s">
        <v>59</v>
      </c>
      <c r="G19" s="9" t="s">
        <v>73</v>
      </c>
    </row>
    <row r="20" customFormat="false" ht="15" hidden="false" customHeight="false" outlineLevel="0" collapsed="false">
      <c r="A20" s="9" t="s">
        <v>74</v>
      </c>
      <c r="B20" s="10" t="n">
        <v>0</v>
      </c>
      <c r="C20" s="9" t="s">
        <v>42</v>
      </c>
      <c r="D20" s="11" t="s">
        <v>75</v>
      </c>
      <c r="E20" s="9" t="s">
        <v>76</v>
      </c>
      <c r="F20" s="9" t="s">
        <v>59</v>
      </c>
      <c r="G20" s="9" t="s">
        <v>77</v>
      </c>
    </row>
    <row r="21" customFormat="false" ht="15" hidden="false" customHeight="false" outlineLevel="0" collapsed="false">
      <c r="A21" s="9" t="s">
        <v>78</v>
      </c>
      <c r="B21" s="10" t="n">
        <v>0</v>
      </c>
      <c r="C21" s="9" t="s">
        <v>17</v>
      </c>
      <c r="D21" s="11" t="s">
        <v>57</v>
      </c>
      <c r="E21" s="9" t="s">
        <v>79</v>
      </c>
      <c r="F21" s="9" t="s">
        <v>59</v>
      </c>
      <c r="G21" s="9" t="s">
        <v>80</v>
      </c>
    </row>
    <row r="22" customFormat="false" ht="15" hidden="false" customHeight="false" outlineLevel="0" collapsed="false">
      <c r="A22" s="12" t="s">
        <v>81</v>
      </c>
      <c r="B22" s="13" t="n">
        <v>0</v>
      </c>
      <c r="C22" s="12" t="s">
        <v>42</v>
      </c>
      <c r="D22" s="14" t="s">
        <v>57</v>
      </c>
      <c r="E22" s="12" t="s">
        <v>82</v>
      </c>
      <c r="F22" s="12" t="s">
        <v>59</v>
      </c>
      <c r="G22" s="12" t="s">
        <v>83</v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</row>
    <row r="25" customFormat="false" ht="23" hidden="false" customHeight="true" outlineLevel="0" collapsed="false">
      <c r="A25" s="15" t="s">
        <v>84</v>
      </c>
      <c r="B25" s="16" t="s">
        <v>3</v>
      </c>
      <c r="C25" s="17" t="s">
        <v>5</v>
      </c>
      <c r="D25" s="4"/>
      <c r="E25" s="15" t="s">
        <v>85</v>
      </c>
      <c r="F25" s="16" t="s">
        <v>5</v>
      </c>
      <c r="G25" s="17" t="s">
        <v>86</v>
      </c>
    </row>
    <row r="26" customFormat="false" ht="15" hidden="false" customHeight="false" outlineLevel="0" collapsed="false">
      <c r="A26" s="8" t="s">
        <v>87</v>
      </c>
      <c r="B26" s="18" t="n">
        <f aca="false">COUNTIF(Architecture!R7:R11,"SELECT")</f>
        <v>1</v>
      </c>
      <c r="C26" s="18" t="str">
        <f aca="false">IF(B26=1,"PASS","FAIL")</f>
        <v>PASS</v>
      </c>
      <c r="D26" s="4"/>
      <c r="E26" s="8" t="s">
        <v>88</v>
      </c>
      <c r="F26" s="8" t="s">
        <v>89</v>
      </c>
      <c r="G26" s="19" t="n">
        <v>0</v>
      </c>
    </row>
    <row r="27" customFormat="false" ht="15" hidden="false" customHeight="false" outlineLevel="0" collapsed="false">
      <c r="A27" s="9" t="s">
        <v>90</v>
      </c>
      <c r="B27" s="20" t="n">
        <f aca="false">Finance!B20</f>
        <v>200</v>
      </c>
      <c r="C27" s="20" t="str">
        <f aca="false">IF(B27=200,"PASS","FAIL")</f>
        <v>PASS</v>
      </c>
      <c r="D27" s="4"/>
      <c r="E27" s="9" t="s">
        <v>91</v>
      </c>
      <c r="F27" s="9" t="s">
        <v>89</v>
      </c>
      <c r="G27" s="21" t="n">
        <v>0</v>
      </c>
    </row>
    <row r="28" customFormat="false" ht="15" hidden="false" customHeight="false" outlineLevel="0" collapsed="false">
      <c r="A28" s="9" t="s">
        <v>92</v>
      </c>
      <c r="B28" s="20" t="n">
        <f aca="false">COUNTIF(Contradictions!E7:E16,"RESOLVED")</f>
        <v>10</v>
      </c>
      <c r="C28" s="20" t="str">
        <f aca="false">IF(B28=10,"PASS","FAIL")</f>
        <v>PASS</v>
      </c>
      <c r="D28" s="4"/>
      <c r="E28" s="9" t="s">
        <v>93</v>
      </c>
      <c r="F28" s="9" t="s">
        <v>89</v>
      </c>
      <c r="G28" s="21" t="n">
        <v>0</v>
      </c>
    </row>
    <row r="29" customFormat="false" ht="15" hidden="false" customHeight="false" outlineLevel="0" collapsed="false">
      <c r="A29" s="9" t="s">
        <v>94</v>
      </c>
      <c r="B29" s="20" t="n">
        <f aca="false">Controls!B31</f>
        <v>0</v>
      </c>
      <c r="C29" s="20" t="str">
        <f aca="false">IF(B29=0,"PASS","FAIL")</f>
        <v>PASS</v>
      </c>
      <c r="D29" s="4"/>
      <c r="E29" s="9" t="s">
        <v>95</v>
      </c>
      <c r="F29" s="9" t="s">
        <v>89</v>
      </c>
      <c r="G29" s="21" t="n">
        <v>0</v>
      </c>
    </row>
    <row r="30" customFormat="false" ht="15" hidden="false" customHeight="false" outlineLevel="0" collapsed="false">
      <c r="A30" s="9" t="s">
        <v>96</v>
      </c>
      <c r="B30" s="20" t="n">
        <f aca="false">SUM('A2 Return'!F7:F11)</f>
        <v>0</v>
      </c>
      <c r="C30" s="20" t="str">
        <f aca="false">IF(B30=0,"PASS","FAIL")</f>
        <v>PASS</v>
      </c>
      <c r="D30" s="4"/>
      <c r="E30" s="12" t="s">
        <v>97</v>
      </c>
      <c r="F30" s="12" t="s">
        <v>89</v>
      </c>
      <c r="G30" s="22" t="n">
        <v>0</v>
      </c>
    </row>
    <row r="31" customFormat="false" ht="15" hidden="false" customHeight="false" outlineLevel="0" collapsed="false">
      <c r="A31" s="12" t="s">
        <v>98</v>
      </c>
      <c r="B31" s="23" t="n">
        <f aca="false">COUNTIF(Audit!E7:E70,"FAIL")</f>
        <v>0</v>
      </c>
      <c r="C31" s="23" t="str">
        <f aca="false">IF(B31=0,"PASS","FAIL")</f>
        <v>PASS</v>
      </c>
      <c r="D31" s="4"/>
      <c r="E31" s="4"/>
      <c r="F31" s="4"/>
      <c r="G31" s="4"/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50"/>
  </cols>
  <sheetData>
    <row r="2" customFormat="false" ht="24" hidden="false" customHeight="true" outlineLevel="0" collapsed="false">
      <c r="A2" s="1" t="s">
        <v>99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100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101</v>
      </c>
      <c r="B6" s="6" t="s">
        <v>102</v>
      </c>
      <c r="C6" s="6" t="s">
        <v>4</v>
      </c>
      <c r="D6" s="6" t="s">
        <v>103</v>
      </c>
      <c r="E6" s="7" t="s">
        <v>6</v>
      </c>
    </row>
    <row r="7" customFormat="false" ht="15" hidden="false" customHeight="false" outlineLevel="0" collapsed="false">
      <c r="A7" s="8" t="s">
        <v>104</v>
      </c>
      <c r="B7" s="24" t="n">
        <v>200</v>
      </c>
      <c r="C7" s="8" t="s">
        <v>17</v>
      </c>
      <c r="D7" s="8" t="s">
        <v>105</v>
      </c>
      <c r="E7" s="8" t="s">
        <v>106</v>
      </c>
    </row>
    <row r="8" customFormat="false" ht="15" hidden="false" customHeight="false" outlineLevel="0" collapsed="false">
      <c r="A8" s="9" t="s">
        <v>107</v>
      </c>
      <c r="B8" s="25" t="n">
        <v>110</v>
      </c>
      <c r="C8" s="9" t="s">
        <v>17</v>
      </c>
      <c r="D8" s="9" t="s">
        <v>105</v>
      </c>
      <c r="E8" s="9" t="s">
        <v>108</v>
      </c>
    </row>
    <row r="9" customFormat="false" ht="15" hidden="false" customHeight="false" outlineLevel="0" collapsed="false">
      <c r="A9" s="9" t="s">
        <v>109</v>
      </c>
      <c r="B9" s="25" t="n">
        <v>30</v>
      </c>
      <c r="C9" s="9" t="s">
        <v>17</v>
      </c>
      <c r="D9" s="9" t="s">
        <v>105</v>
      </c>
      <c r="E9" s="9" t="s">
        <v>110</v>
      </c>
    </row>
    <row r="10" customFormat="false" ht="15" hidden="false" customHeight="false" outlineLevel="0" collapsed="false">
      <c r="A10" s="9" t="s">
        <v>111</v>
      </c>
      <c r="B10" s="25" t="n">
        <v>30</v>
      </c>
      <c r="C10" s="9" t="s">
        <v>17</v>
      </c>
      <c r="D10" s="9" t="s">
        <v>105</v>
      </c>
      <c r="E10" s="9" t="s">
        <v>112</v>
      </c>
    </row>
    <row r="11" customFormat="false" ht="15" hidden="false" customHeight="false" outlineLevel="0" collapsed="false">
      <c r="A11" s="9" t="s">
        <v>113</v>
      </c>
      <c r="B11" s="25" t="n">
        <v>20</v>
      </c>
      <c r="C11" s="9" t="s">
        <v>17</v>
      </c>
      <c r="D11" s="9" t="s">
        <v>105</v>
      </c>
      <c r="E11" s="9" t="s">
        <v>114</v>
      </c>
    </row>
    <row r="12" customFormat="false" ht="15" hidden="false" customHeight="false" outlineLevel="0" collapsed="false">
      <c r="A12" s="9" t="s">
        <v>115</v>
      </c>
      <c r="B12" s="25" t="n">
        <v>10</v>
      </c>
      <c r="C12" s="9" t="s">
        <v>17</v>
      </c>
      <c r="D12" s="9" t="s">
        <v>105</v>
      </c>
      <c r="E12" s="9" t="s">
        <v>116</v>
      </c>
    </row>
    <row r="13" customFormat="false" ht="15" hidden="false" customHeight="false" outlineLevel="0" collapsed="false">
      <c r="A13" s="9" t="s">
        <v>117</v>
      </c>
      <c r="B13" s="25" t="n">
        <v>57.4</v>
      </c>
      <c r="C13" s="9" t="s">
        <v>17</v>
      </c>
      <c r="D13" s="9" t="s">
        <v>118</v>
      </c>
      <c r="E13" s="9" t="s">
        <v>119</v>
      </c>
    </row>
    <row r="14" customFormat="false" ht="15" hidden="false" customHeight="false" outlineLevel="0" collapsed="false">
      <c r="A14" s="9" t="s">
        <v>120</v>
      </c>
      <c r="B14" s="25" t="n">
        <v>52.6</v>
      </c>
      <c r="C14" s="9" t="s">
        <v>17</v>
      </c>
      <c r="D14" s="9" t="s">
        <v>118</v>
      </c>
      <c r="E14" s="9" t="s">
        <v>121</v>
      </c>
    </row>
    <row r="15" customFormat="false" ht="15" hidden="false" customHeight="false" outlineLevel="0" collapsed="false">
      <c r="A15" s="9" t="s">
        <v>122</v>
      </c>
      <c r="B15" s="25" t="n">
        <v>80</v>
      </c>
      <c r="C15" s="9" t="s">
        <v>17</v>
      </c>
      <c r="D15" s="9" t="s">
        <v>118</v>
      </c>
      <c r="E15" s="9" t="s">
        <v>123</v>
      </c>
    </row>
    <row r="16" customFormat="false" ht="15" hidden="false" customHeight="false" outlineLevel="0" collapsed="false">
      <c r="A16" s="9" t="s">
        <v>124</v>
      </c>
      <c r="B16" s="25" t="n">
        <v>14.3476512772823</v>
      </c>
      <c r="C16" s="9" t="s">
        <v>17</v>
      </c>
      <c r="D16" s="9" t="s">
        <v>125</v>
      </c>
      <c r="E16" s="9" t="s">
        <v>126</v>
      </c>
    </row>
    <row r="17" customFormat="false" ht="15" hidden="false" customHeight="false" outlineLevel="0" collapsed="false">
      <c r="A17" s="9" t="s">
        <v>127</v>
      </c>
      <c r="B17" s="25" t="n">
        <v>13.1523487227177</v>
      </c>
      <c r="C17" s="9" t="s">
        <v>17</v>
      </c>
      <c r="D17" s="9" t="s">
        <v>125</v>
      </c>
      <c r="E17" s="9" t="s">
        <v>128</v>
      </c>
    </row>
    <row r="18" customFormat="false" ht="15" hidden="false" customHeight="false" outlineLevel="0" collapsed="false">
      <c r="A18" s="9" t="s">
        <v>36</v>
      </c>
      <c r="B18" s="25" t="n">
        <v>12</v>
      </c>
      <c r="C18" s="9" t="s">
        <v>17</v>
      </c>
      <c r="D18" s="9" t="s">
        <v>129</v>
      </c>
      <c r="E18" s="9" t="s">
        <v>130</v>
      </c>
    </row>
    <row r="19" customFormat="false" ht="15" hidden="false" customHeight="false" outlineLevel="0" collapsed="false">
      <c r="A19" s="9" t="s">
        <v>41</v>
      </c>
      <c r="B19" s="25" t="n">
        <v>24</v>
      </c>
      <c r="C19" s="9" t="s">
        <v>42</v>
      </c>
      <c r="D19" s="9" t="s">
        <v>118</v>
      </c>
      <c r="E19" s="9" t="s">
        <v>131</v>
      </c>
    </row>
    <row r="20" customFormat="false" ht="15" hidden="false" customHeight="false" outlineLevel="0" collapsed="false">
      <c r="A20" s="9" t="s">
        <v>132</v>
      </c>
      <c r="B20" s="25" t="n">
        <v>4</v>
      </c>
      <c r="C20" s="9" t="s">
        <v>42</v>
      </c>
      <c r="D20" s="9" t="s">
        <v>105</v>
      </c>
      <c r="E20" s="9" t="s">
        <v>133</v>
      </c>
    </row>
    <row r="21" customFormat="false" ht="15" hidden="false" customHeight="false" outlineLevel="0" collapsed="false">
      <c r="A21" s="9" t="s">
        <v>134</v>
      </c>
      <c r="B21" s="25" t="n">
        <v>24</v>
      </c>
      <c r="C21" s="9" t="s">
        <v>42</v>
      </c>
      <c r="D21" s="9" t="s">
        <v>125</v>
      </c>
      <c r="E21" s="9" t="s">
        <v>63</v>
      </c>
    </row>
    <row r="22" customFormat="false" ht="15" hidden="false" customHeight="false" outlineLevel="0" collapsed="false">
      <c r="A22" s="9" t="s">
        <v>135</v>
      </c>
      <c r="B22" s="25" t="n">
        <v>12</v>
      </c>
      <c r="C22" s="9" t="s">
        <v>136</v>
      </c>
      <c r="D22" s="9" t="s">
        <v>118</v>
      </c>
      <c r="E22" s="9" t="s">
        <v>137</v>
      </c>
    </row>
    <row r="23" customFormat="false" ht="15" hidden="false" customHeight="false" outlineLevel="0" collapsed="false">
      <c r="A23" s="9" t="s">
        <v>66</v>
      </c>
      <c r="B23" s="25" t="n">
        <v>7</v>
      </c>
      <c r="C23" s="9" t="s">
        <v>136</v>
      </c>
      <c r="D23" s="9" t="s">
        <v>129</v>
      </c>
      <c r="E23" s="9" t="s">
        <v>138</v>
      </c>
    </row>
    <row r="24" customFormat="false" ht="15" hidden="false" customHeight="false" outlineLevel="0" collapsed="false">
      <c r="A24" s="9" t="s">
        <v>139</v>
      </c>
      <c r="B24" s="25" t="n">
        <v>6</v>
      </c>
      <c r="C24" s="9" t="s">
        <v>42</v>
      </c>
      <c r="D24" s="9" t="s">
        <v>129</v>
      </c>
      <c r="E24" s="9" t="s">
        <v>140</v>
      </c>
    </row>
    <row r="25" customFormat="false" ht="15" hidden="false" customHeight="false" outlineLevel="0" collapsed="false">
      <c r="A25" s="9" t="s">
        <v>141</v>
      </c>
      <c r="B25" s="25" t="n">
        <v>4</v>
      </c>
      <c r="C25" s="9" t="s">
        <v>42</v>
      </c>
      <c r="D25" s="9" t="s">
        <v>129</v>
      </c>
      <c r="E25" s="9" t="s">
        <v>142</v>
      </c>
    </row>
    <row r="26" customFormat="false" ht="15" hidden="false" customHeight="false" outlineLevel="0" collapsed="false">
      <c r="A26" s="9" t="s">
        <v>143</v>
      </c>
      <c r="B26" s="25" t="n">
        <v>3</v>
      </c>
      <c r="C26" s="9" t="s">
        <v>42</v>
      </c>
      <c r="D26" s="9" t="s">
        <v>129</v>
      </c>
      <c r="E26" s="9" t="s">
        <v>144</v>
      </c>
    </row>
    <row r="27" customFormat="false" ht="15" hidden="false" customHeight="false" outlineLevel="0" collapsed="false">
      <c r="A27" s="9" t="s">
        <v>145</v>
      </c>
      <c r="B27" s="25" t="n">
        <v>2</v>
      </c>
      <c r="C27" s="9" t="s">
        <v>42</v>
      </c>
      <c r="D27" s="9" t="s">
        <v>129</v>
      </c>
      <c r="E27" s="9" t="s">
        <v>146</v>
      </c>
    </row>
    <row r="28" customFormat="false" ht="15" hidden="false" customHeight="false" outlineLevel="0" collapsed="false">
      <c r="A28" s="9" t="s">
        <v>147</v>
      </c>
      <c r="B28" s="25" t="n">
        <v>48</v>
      </c>
      <c r="C28" s="9" t="s">
        <v>42</v>
      </c>
      <c r="D28" s="9" t="s">
        <v>129</v>
      </c>
      <c r="E28" s="9" t="s">
        <v>148</v>
      </c>
    </row>
    <row r="29" customFormat="false" ht="15" hidden="false" customHeight="false" outlineLevel="0" collapsed="false">
      <c r="A29" s="9" t="s">
        <v>149</v>
      </c>
      <c r="B29" s="25" t="n">
        <v>12</v>
      </c>
      <c r="C29" s="9" t="s">
        <v>42</v>
      </c>
      <c r="D29" s="9" t="s">
        <v>129</v>
      </c>
      <c r="E29" s="9" t="s">
        <v>150</v>
      </c>
    </row>
    <row r="30" customFormat="false" ht="15" hidden="false" customHeight="false" outlineLevel="0" collapsed="false">
      <c r="A30" s="9" t="s">
        <v>151</v>
      </c>
      <c r="B30" s="25" t="n">
        <v>30</v>
      </c>
      <c r="C30" s="9" t="s">
        <v>42</v>
      </c>
      <c r="D30" s="9" t="s">
        <v>125</v>
      </c>
      <c r="E30" s="9" t="s">
        <v>152</v>
      </c>
    </row>
    <row r="31" customFormat="false" ht="15" hidden="false" customHeight="false" outlineLevel="0" collapsed="false">
      <c r="A31" s="9" t="s">
        <v>153</v>
      </c>
      <c r="B31" s="25" t="n">
        <v>0</v>
      </c>
      <c r="C31" s="9" t="s">
        <v>17</v>
      </c>
      <c r="D31" s="9" t="s">
        <v>154</v>
      </c>
      <c r="E31" s="9" t="s">
        <v>155</v>
      </c>
    </row>
    <row r="32" customFormat="false" ht="15" hidden="false" customHeight="false" outlineLevel="0" collapsed="false">
      <c r="A32" s="9" t="s">
        <v>156</v>
      </c>
      <c r="B32" s="25" t="n">
        <v>0</v>
      </c>
      <c r="C32" s="9" t="s">
        <v>17</v>
      </c>
      <c r="D32" s="9" t="s">
        <v>154</v>
      </c>
      <c r="E32" s="9" t="s">
        <v>155</v>
      </c>
    </row>
    <row r="33" customFormat="false" ht="15" hidden="false" customHeight="false" outlineLevel="0" collapsed="false">
      <c r="A33" s="9" t="s">
        <v>157</v>
      </c>
      <c r="B33" s="25" t="n">
        <v>0</v>
      </c>
      <c r="C33" s="9" t="s">
        <v>42</v>
      </c>
      <c r="D33" s="9" t="s">
        <v>154</v>
      </c>
      <c r="E33" s="9" t="s">
        <v>158</v>
      </c>
    </row>
    <row r="34" customFormat="false" ht="15" hidden="false" customHeight="false" outlineLevel="0" collapsed="false">
      <c r="A34" s="9" t="s">
        <v>159</v>
      </c>
      <c r="B34" s="25" t="n">
        <v>0</v>
      </c>
      <c r="C34" s="9" t="s">
        <v>42</v>
      </c>
      <c r="D34" s="9" t="s">
        <v>154</v>
      </c>
      <c r="E34" s="9" t="s">
        <v>160</v>
      </c>
    </row>
    <row r="35" customFormat="false" ht="15" hidden="false" customHeight="false" outlineLevel="0" collapsed="false">
      <c r="A35" s="9" t="s">
        <v>161</v>
      </c>
      <c r="B35" s="25" t="n">
        <v>0</v>
      </c>
      <c r="C35" s="9" t="s">
        <v>42</v>
      </c>
      <c r="D35" s="9" t="s">
        <v>154</v>
      </c>
      <c r="E35" s="9" t="s">
        <v>162</v>
      </c>
    </row>
    <row r="36" customFormat="false" ht="15" hidden="false" customHeight="false" outlineLevel="0" collapsed="false">
      <c r="A36" s="9" t="s">
        <v>163</v>
      </c>
      <c r="B36" s="25" t="n">
        <v>0</v>
      </c>
      <c r="C36" s="9" t="s">
        <v>42</v>
      </c>
      <c r="D36" s="9" t="s">
        <v>154</v>
      </c>
      <c r="E36" s="9" t="s">
        <v>162</v>
      </c>
    </row>
    <row r="37" customFormat="false" ht="15" hidden="false" customHeight="false" outlineLevel="0" collapsed="false">
      <c r="A37" s="12" t="s">
        <v>164</v>
      </c>
      <c r="B37" s="26" t="n">
        <v>0</v>
      </c>
      <c r="C37" s="12" t="s">
        <v>42</v>
      </c>
      <c r="D37" s="12" t="s">
        <v>154</v>
      </c>
      <c r="E37" s="12" t="s">
        <v>162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7"/>
    <col collapsed="false" customWidth="true" hidden="false" outlineLevel="0" max="5" min="4" style="0" width="19"/>
    <col collapsed="false" customWidth="true" hidden="false" outlineLevel="0" max="6" min="6" style="0" width="17"/>
    <col collapsed="false" customWidth="true" hidden="false" outlineLevel="0" max="11" min="7" style="0" width="18"/>
    <col collapsed="false" customWidth="true" hidden="false" outlineLevel="0" max="12" min="12" style="0" width="19"/>
    <col collapsed="false" customWidth="true" hidden="false" outlineLevel="0" max="13" min="13" style="0" width="18"/>
    <col collapsed="false" customWidth="true" hidden="false" outlineLevel="0" max="14" min="14" style="0" width="17"/>
    <col collapsed="false" customWidth="true" hidden="false" outlineLevel="0" max="15" min="15" style="0" width="18"/>
    <col collapsed="false" customWidth="true" hidden="false" outlineLevel="0" max="16" min="16" style="0" width="12"/>
    <col collapsed="false" customWidth="true" hidden="false" outlineLevel="0" max="18" min="17" style="0" width="14"/>
  </cols>
  <sheetData>
    <row r="2" customFormat="false" ht="24" hidden="false" customHeight="true" outlineLevel="0" collapsed="false">
      <c r="A2" s="1" t="s">
        <v>165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false" outlineLevel="0" collapsed="false">
      <c r="A4" s="3" t="s">
        <v>166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customFormat="false" ht="23" hidden="false" customHeight="true" outlineLevel="0" collapsed="false">
      <c r="A6" s="5" t="s">
        <v>167</v>
      </c>
      <c r="B6" s="6" t="s">
        <v>168</v>
      </c>
      <c r="C6" s="6" t="s">
        <v>169</v>
      </c>
      <c r="D6" s="6" t="s">
        <v>170</v>
      </c>
      <c r="E6" s="6" t="s">
        <v>133</v>
      </c>
      <c r="F6" s="6" t="s">
        <v>171</v>
      </c>
      <c r="G6" s="6" t="s">
        <v>172</v>
      </c>
      <c r="H6" s="6" t="s">
        <v>173</v>
      </c>
      <c r="I6" s="6" t="s">
        <v>174</v>
      </c>
      <c r="J6" s="6" t="s">
        <v>175</v>
      </c>
      <c r="K6" s="6" t="s">
        <v>176</v>
      </c>
      <c r="L6" s="6" t="s">
        <v>177</v>
      </c>
      <c r="M6" s="6" t="s">
        <v>178</v>
      </c>
      <c r="N6" s="6" t="s">
        <v>179</v>
      </c>
      <c r="O6" s="6" t="s">
        <v>180</v>
      </c>
      <c r="P6" s="6" t="s">
        <v>181</v>
      </c>
      <c r="Q6" s="6" t="s">
        <v>182</v>
      </c>
      <c r="R6" s="7" t="s">
        <v>2</v>
      </c>
    </row>
    <row r="7" customFormat="false" ht="15" hidden="false" customHeight="false" outlineLevel="0" collapsed="false">
      <c r="A7" s="8" t="s">
        <v>183</v>
      </c>
      <c r="B7" s="27" t="n">
        <v>1</v>
      </c>
      <c r="C7" s="27" t="n">
        <v>1</v>
      </c>
      <c r="D7" s="27" t="n">
        <v>1</v>
      </c>
      <c r="E7" s="27" t="n">
        <v>1</v>
      </c>
      <c r="F7" s="27" t="n">
        <v>1</v>
      </c>
      <c r="G7" s="27" t="n">
        <v>1</v>
      </c>
      <c r="H7" s="27" t="n">
        <v>1</v>
      </c>
      <c r="I7" s="27" t="n">
        <v>1</v>
      </c>
      <c r="J7" s="27" t="n">
        <v>1</v>
      </c>
      <c r="K7" s="27" t="n">
        <v>1</v>
      </c>
      <c r="L7" s="27" t="n">
        <v>1</v>
      </c>
      <c r="M7" s="27" t="n">
        <v>1</v>
      </c>
      <c r="N7" s="27" t="n">
        <v>1</v>
      </c>
      <c r="O7" s="27" t="n">
        <v>1</v>
      </c>
      <c r="P7" s="18" t="n">
        <f aca="false">SUM(B7:O7)</f>
        <v>14</v>
      </c>
      <c r="Q7" s="28" t="str">
        <f aca="false">IF(P7=14,"YES","NO")</f>
        <v>YES</v>
      </c>
      <c r="R7" s="28" t="str">
        <f aca="false">IF(Q7="YES","SELECT","REJECT")</f>
        <v>SELECT</v>
      </c>
    </row>
    <row r="8" customFormat="false" ht="15" hidden="false" customHeight="false" outlineLevel="0" collapsed="false">
      <c r="A8" s="9" t="s">
        <v>184</v>
      </c>
      <c r="B8" s="29" t="n">
        <v>1</v>
      </c>
      <c r="C8" s="29" t="n">
        <v>1</v>
      </c>
      <c r="D8" s="29" t="n">
        <v>0</v>
      </c>
      <c r="E8" s="29" t="n">
        <v>1</v>
      </c>
      <c r="F8" s="29" t="n">
        <v>1</v>
      </c>
      <c r="G8" s="29" t="n">
        <v>1</v>
      </c>
      <c r="H8" s="29" t="n">
        <v>0</v>
      </c>
      <c r="I8" s="29" t="n">
        <v>0</v>
      </c>
      <c r="J8" s="29" t="n">
        <v>0</v>
      </c>
      <c r="K8" s="29" t="n">
        <v>1</v>
      </c>
      <c r="L8" s="29" t="n">
        <v>0</v>
      </c>
      <c r="M8" s="29" t="n">
        <v>0</v>
      </c>
      <c r="N8" s="29" t="n">
        <v>0</v>
      </c>
      <c r="O8" s="29" t="n">
        <v>1</v>
      </c>
      <c r="P8" s="20" t="n">
        <f aca="false">SUM(B8:O8)</f>
        <v>7</v>
      </c>
      <c r="Q8" s="30" t="str">
        <f aca="false">IF(P8=14,"YES","NO")</f>
        <v>NO</v>
      </c>
      <c r="R8" s="30" t="str">
        <f aca="false">IF(Q8="YES","SELECT","REJECT")</f>
        <v>REJECT</v>
      </c>
    </row>
    <row r="9" customFormat="false" ht="15" hidden="false" customHeight="false" outlineLevel="0" collapsed="false">
      <c r="A9" s="9" t="s">
        <v>185</v>
      </c>
      <c r="B9" s="29" t="n">
        <v>1</v>
      </c>
      <c r="C9" s="29" t="n">
        <v>1</v>
      </c>
      <c r="D9" s="29" t="n">
        <v>1</v>
      </c>
      <c r="E9" s="29" t="n">
        <v>1</v>
      </c>
      <c r="F9" s="29" t="n">
        <v>0</v>
      </c>
      <c r="G9" s="29" t="n">
        <v>1</v>
      </c>
      <c r="H9" s="29" t="n">
        <v>1</v>
      </c>
      <c r="I9" s="29" t="n">
        <v>0</v>
      </c>
      <c r="J9" s="29" t="n">
        <v>0</v>
      </c>
      <c r="K9" s="29" t="n">
        <v>1</v>
      </c>
      <c r="L9" s="29" t="n">
        <v>1</v>
      </c>
      <c r="M9" s="29" t="n">
        <v>0</v>
      </c>
      <c r="N9" s="29" t="n">
        <v>0</v>
      </c>
      <c r="O9" s="29" t="n">
        <v>1</v>
      </c>
      <c r="P9" s="20" t="n">
        <f aca="false">SUM(B9:O9)</f>
        <v>9</v>
      </c>
      <c r="Q9" s="30" t="str">
        <f aca="false">IF(P9=14,"YES","NO")</f>
        <v>NO</v>
      </c>
      <c r="R9" s="30" t="str">
        <f aca="false">IF(Q9="YES","SELECT","REJECT")</f>
        <v>REJECT</v>
      </c>
    </row>
    <row r="10" customFormat="false" ht="15" hidden="false" customHeight="false" outlineLevel="0" collapsed="false">
      <c r="A10" s="9" t="s">
        <v>186</v>
      </c>
      <c r="B10" s="29" t="n">
        <v>0</v>
      </c>
      <c r="C10" s="29" t="n">
        <v>1</v>
      </c>
      <c r="D10" s="29" t="n">
        <v>1</v>
      </c>
      <c r="E10" s="29" t="n">
        <v>1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1</v>
      </c>
      <c r="P10" s="20" t="n">
        <f aca="false">SUM(B10:O10)</f>
        <v>4</v>
      </c>
      <c r="Q10" s="30" t="str">
        <f aca="false">IF(P10=14,"YES","NO")</f>
        <v>NO</v>
      </c>
      <c r="R10" s="30" t="str">
        <f aca="false">IF(Q10="YES","SELECT","REJECT")</f>
        <v>REJECT</v>
      </c>
    </row>
    <row r="11" customFormat="false" ht="15" hidden="false" customHeight="false" outlineLevel="0" collapsed="false">
      <c r="A11" s="12" t="s">
        <v>187</v>
      </c>
      <c r="B11" s="31" t="n">
        <v>1</v>
      </c>
      <c r="C11" s="31" t="n">
        <v>0</v>
      </c>
      <c r="D11" s="31" t="n">
        <v>1</v>
      </c>
      <c r="E11" s="31" t="n">
        <v>0</v>
      </c>
      <c r="F11" s="31" t="n">
        <v>0</v>
      </c>
      <c r="G11" s="31" t="n">
        <v>1</v>
      </c>
      <c r="H11" s="31" t="n">
        <v>1</v>
      </c>
      <c r="I11" s="31" t="n">
        <v>1</v>
      </c>
      <c r="J11" s="31" t="n">
        <v>0</v>
      </c>
      <c r="K11" s="31" t="n">
        <v>1</v>
      </c>
      <c r="L11" s="31" t="n">
        <v>1</v>
      </c>
      <c r="M11" s="31" t="n">
        <v>1</v>
      </c>
      <c r="N11" s="31" t="n">
        <v>1</v>
      </c>
      <c r="O11" s="31" t="n">
        <v>0</v>
      </c>
      <c r="P11" s="23" t="n">
        <f aca="false">SUM(B11:O11)</f>
        <v>9</v>
      </c>
      <c r="Q11" s="32" t="str">
        <f aca="false">IF(P11=14,"YES","NO")</f>
        <v>NO</v>
      </c>
      <c r="R11" s="32" t="str">
        <f aca="false">IF(Q11="YES","SELECT","REJECT")</f>
        <v>REJECT</v>
      </c>
    </row>
  </sheetData>
  <mergeCells count="2">
    <mergeCell ref="A2:R2"/>
    <mergeCell ref="A4:R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56"/>
    <col collapsed="false" customWidth="true" hidden="false" outlineLevel="0" max="4" min="4" style="0" width="53"/>
    <col collapsed="false" customWidth="true" hidden="false" outlineLevel="0" max="5" min="5" style="0" width="42"/>
    <col collapsed="false" customWidth="true" hidden="false" outlineLevel="0" max="6" min="6" style="0" width="15"/>
  </cols>
  <sheetData>
    <row r="2" customFormat="false" ht="24" hidden="false" customHeight="true" outlineLevel="0" collapsed="false">
      <c r="A2" s="1" t="s">
        <v>188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189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23" hidden="false" customHeight="true" outlineLevel="0" collapsed="false">
      <c r="A6" s="5" t="s">
        <v>190</v>
      </c>
      <c r="B6" s="6" t="s">
        <v>191</v>
      </c>
      <c r="C6" s="6" t="s">
        <v>192</v>
      </c>
      <c r="D6" s="6" t="s">
        <v>193</v>
      </c>
      <c r="E6" s="6" t="s">
        <v>194</v>
      </c>
      <c r="F6" s="7" t="s">
        <v>195</v>
      </c>
    </row>
    <row r="7" customFormat="false" ht="15" hidden="false" customHeight="false" outlineLevel="0" collapsed="false">
      <c r="A7" s="8" t="n">
        <v>206</v>
      </c>
      <c r="B7" s="8" t="s">
        <v>196</v>
      </c>
      <c r="C7" s="8" t="s">
        <v>197</v>
      </c>
      <c r="D7" s="8" t="s">
        <v>198</v>
      </c>
      <c r="E7" s="8" t="s">
        <v>199</v>
      </c>
      <c r="F7" s="8" t="s">
        <v>200</v>
      </c>
    </row>
    <row r="8" customFormat="false" ht="15" hidden="false" customHeight="false" outlineLevel="0" collapsed="false">
      <c r="A8" s="9" t="n">
        <v>207</v>
      </c>
      <c r="B8" s="9" t="s">
        <v>201</v>
      </c>
      <c r="C8" s="9" t="s">
        <v>202</v>
      </c>
      <c r="D8" s="9" t="s">
        <v>203</v>
      </c>
      <c r="E8" s="9" t="s">
        <v>204</v>
      </c>
      <c r="F8" s="9" t="s">
        <v>200</v>
      </c>
    </row>
    <row r="9" customFormat="false" ht="15" hidden="false" customHeight="false" outlineLevel="0" collapsed="false">
      <c r="A9" s="9" t="n">
        <v>208</v>
      </c>
      <c r="B9" s="9" t="s">
        <v>205</v>
      </c>
      <c r="C9" s="9" t="s">
        <v>206</v>
      </c>
      <c r="D9" s="9" t="s">
        <v>207</v>
      </c>
      <c r="E9" s="9" t="s">
        <v>208</v>
      </c>
      <c r="F9" s="9" t="s">
        <v>200</v>
      </c>
    </row>
    <row r="10" customFormat="false" ht="15" hidden="false" customHeight="false" outlineLevel="0" collapsed="false">
      <c r="A10" s="9" t="n">
        <v>209</v>
      </c>
      <c r="B10" s="9" t="s">
        <v>209</v>
      </c>
      <c r="C10" s="9" t="s">
        <v>210</v>
      </c>
      <c r="D10" s="9" t="s">
        <v>211</v>
      </c>
      <c r="E10" s="9" t="s">
        <v>212</v>
      </c>
      <c r="F10" s="9" t="s">
        <v>200</v>
      </c>
    </row>
    <row r="11" customFormat="false" ht="15" hidden="false" customHeight="false" outlineLevel="0" collapsed="false">
      <c r="A11" s="12" t="n">
        <v>210</v>
      </c>
      <c r="B11" s="12" t="s">
        <v>0</v>
      </c>
      <c r="C11" s="12" t="s">
        <v>213</v>
      </c>
      <c r="D11" s="12" t="s">
        <v>214</v>
      </c>
      <c r="E11" s="12" t="s">
        <v>215</v>
      </c>
      <c r="F11" s="12" t="s">
        <v>12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70"/>
    <col collapsed="false" customWidth="true" hidden="false" outlineLevel="0" max="4" min="4" style="0" width="39"/>
    <col collapsed="false" customWidth="true" hidden="false" outlineLevel="0" max="5" min="5" style="0" width="17"/>
  </cols>
  <sheetData>
    <row r="2" customFormat="false" ht="24" hidden="false" customHeight="true" outlineLevel="0" collapsed="false">
      <c r="A2" s="1" t="s">
        <v>216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217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218</v>
      </c>
      <c r="B6" s="6" t="s">
        <v>219</v>
      </c>
      <c r="C6" s="6" t="s">
        <v>220</v>
      </c>
      <c r="D6" s="6" t="s">
        <v>221</v>
      </c>
      <c r="E6" s="7" t="s">
        <v>222</v>
      </c>
    </row>
    <row r="7" customFormat="false" ht="15" hidden="false" customHeight="false" outlineLevel="0" collapsed="false">
      <c r="A7" s="8" t="s">
        <v>223</v>
      </c>
      <c r="B7" s="8" t="s">
        <v>224</v>
      </c>
      <c r="C7" s="8" t="s">
        <v>225</v>
      </c>
      <c r="D7" s="8" t="s">
        <v>226</v>
      </c>
      <c r="E7" s="8" t="s">
        <v>227</v>
      </c>
    </row>
    <row r="8" customFormat="false" ht="15" hidden="false" customHeight="false" outlineLevel="0" collapsed="false">
      <c r="A8" s="9" t="s">
        <v>228</v>
      </c>
      <c r="B8" s="9" t="s">
        <v>229</v>
      </c>
      <c r="C8" s="9" t="s">
        <v>230</v>
      </c>
      <c r="D8" s="9" t="s">
        <v>231</v>
      </c>
      <c r="E8" s="9" t="s">
        <v>227</v>
      </c>
    </row>
    <row r="9" customFormat="false" ht="15" hidden="false" customHeight="false" outlineLevel="0" collapsed="false">
      <c r="A9" s="9" t="s">
        <v>232</v>
      </c>
      <c r="B9" s="9" t="s">
        <v>233</v>
      </c>
      <c r="C9" s="9" t="s">
        <v>234</v>
      </c>
      <c r="D9" s="9" t="s">
        <v>235</v>
      </c>
      <c r="E9" s="9" t="s">
        <v>227</v>
      </c>
    </row>
    <row r="10" customFormat="false" ht="15" hidden="false" customHeight="false" outlineLevel="0" collapsed="false">
      <c r="A10" s="9" t="s">
        <v>236</v>
      </c>
      <c r="B10" s="9" t="s">
        <v>237</v>
      </c>
      <c r="C10" s="9" t="s">
        <v>238</v>
      </c>
      <c r="D10" s="9" t="s">
        <v>239</v>
      </c>
      <c r="E10" s="9" t="s">
        <v>227</v>
      </c>
    </row>
    <row r="11" customFormat="false" ht="15" hidden="false" customHeight="false" outlineLevel="0" collapsed="false">
      <c r="A11" s="9" t="s">
        <v>240</v>
      </c>
      <c r="B11" s="9" t="s">
        <v>241</v>
      </c>
      <c r="C11" s="9" t="s">
        <v>242</v>
      </c>
      <c r="D11" s="9" t="s">
        <v>243</v>
      </c>
      <c r="E11" s="9" t="s">
        <v>227</v>
      </c>
    </row>
    <row r="12" customFormat="false" ht="15" hidden="false" customHeight="false" outlineLevel="0" collapsed="false">
      <c r="A12" s="9" t="s">
        <v>244</v>
      </c>
      <c r="B12" s="9" t="s">
        <v>245</v>
      </c>
      <c r="C12" s="9" t="s">
        <v>246</v>
      </c>
      <c r="D12" s="9" t="s">
        <v>247</v>
      </c>
      <c r="E12" s="9" t="s">
        <v>227</v>
      </c>
    </row>
    <row r="13" customFormat="false" ht="15" hidden="false" customHeight="false" outlineLevel="0" collapsed="false">
      <c r="A13" s="9" t="s">
        <v>248</v>
      </c>
      <c r="B13" s="9" t="s">
        <v>249</v>
      </c>
      <c r="C13" s="9" t="s">
        <v>250</v>
      </c>
      <c r="D13" s="9" t="s">
        <v>251</v>
      </c>
      <c r="E13" s="9" t="s">
        <v>227</v>
      </c>
    </row>
    <row r="14" customFormat="false" ht="15" hidden="false" customHeight="false" outlineLevel="0" collapsed="false">
      <c r="A14" s="9" t="s">
        <v>252</v>
      </c>
      <c r="B14" s="9" t="s">
        <v>253</v>
      </c>
      <c r="C14" s="9" t="s">
        <v>254</v>
      </c>
      <c r="D14" s="9" t="s">
        <v>255</v>
      </c>
      <c r="E14" s="9" t="s">
        <v>227</v>
      </c>
    </row>
    <row r="15" customFormat="false" ht="15" hidden="false" customHeight="false" outlineLevel="0" collapsed="false">
      <c r="A15" s="9" t="s">
        <v>256</v>
      </c>
      <c r="B15" s="9" t="s">
        <v>257</v>
      </c>
      <c r="C15" s="9" t="s">
        <v>258</v>
      </c>
      <c r="D15" s="9" t="s">
        <v>259</v>
      </c>
      <c r="E15" s="9" t="s">
        <v>227</v>
      </c>
    </row>
    <row r="16" customFormat="false" ht="15" hidden="false" customHeight="false" outlineLevel="0" collapsed="false">
      <c r="A16" s="12" t="s">
        <v>260</v>
      </c>
      <c r="B16" s="12" t="s">
        <v>261</v>
      </c>
      <c r="C16" s="12" t="s">
        <v>262</v>
      </c>
      <c r="D16" s="12" t="s">
        <v>263</v>
      </c>
      <c r="E16" s="12" t="s">
        <v>227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9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2" customFormat="false" ht="24" hidden="false" customHeight="true" outlineLevel="0" collapsed="false">
      <c r="A2" s="1" t="s">
        <v>264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265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266</v>
      </c>
      <c r="B6" s="6" t="s">
        <v>103</v>
      </c>
      <c r="C6" s="6" t="s">
        <v>101</v>
      </c>
      <c r="D6" s="7" t="s">
        <v>267</v>
      </c>
      <c r="E6" s="4"/>
      <c r="F6" s="4"/>
      <c r="G6" s="4"/>
      <c r="H6" s="4"/>
    </row>
    <row r="7" customFormat="false" ht="15" hidden="false" customHeight="false" outlineLevel="0" collapsed="false">
      <c r="A7" s="8" t="s">
        <v>268</v>
      </c>
      <c r="B7" s="33" t="n">
        <f aca="false">Controls!B8</f>
        <v>110</v>
      </c>
      <c r="C7" s="33" t="n">
        <v>110</v>
      </c>
      <c r="D7" s="33" t="n">
        <f aca="false">B7-C7</f>
        <v>0</v>
      </c>
      <c r="E7" s="4"/>
      <c r="F7" s="4"/>
      <c r="G7" s="4"/>
      <c r="H7" s="4"/>
    </row>
    <row r="8" customFormat="false" ht="15" hidden="false" customHeight="false" outlineLevel="0" collapsed="false">
      <c r="A8" s="9" t="s">
        <v>109</v>
      </c>
      <c r="B8" s="10" t="n">
        <f aca="false">Controls!B9</f>
        <v>30</v>
      </c>
      <c r="C8" s="10" t="n">
        <v>30</v>
      </c>
      <c r="D8" s="10" t="n">
        <f aca="false">B8-C8</f>
        <v>0</v>
      </c>
      <c r="E8" s="4"/>
      <c r="F8" s="4"/>
      <c r="G8" s="4"/>
      <c r="H8" s="4"/>
    </row>
    <row r="9" customFormat="false" ht="15" hidden="false" customHeight="false" outlineLevel="0" collapsed="false">
      <c r="A9" s="9" t="s">
        <v>111</v>
      </c>
      <c r="B9" s="10" t="n">
        <f aca="false">Controls!B10</f>
        <v>30</v>
      </c>
      <c r="C9" s="10" t="n">
        <v>30</v>
      </c>
      <c r="D9" s="10" t="n">
        <f aca="false">B9-C9</f>
        <v>0</v>
      </c>
      <c r="E9" s="4"/>
      <c r="F9" s="4"/>
      <c r="G9" s="4"/>
      <c r="H9" s="4"/>
    </row>
    <row r="10" customFormat="false" ht="15" hidden="false" customHeight="false" outlineLevel="0" collapsed="false">
      <c r="A10" s="9" t="s">
        <v>113</v>
      </c>
      <c r="B10" s="10" t="n">
        <f aca="false">Controls!B11</f>
        <v>20</v>
      </c>
      <c r="C10" s="10" t="n">
        <v>20</v>
      </c>
      <c r="D10" s="10" t="n">
        <f aca="false">B10-C10</f>
        <v>0</v>
      </c>
      <c r="E10" s="4"/>
      <c r="F10" s="4"/>
      <c r="G10" s="4"/>
      <c r="H10" s="4"/>
    </row>
    <row r="11" customFormat="false" ht="15" hidden="false" customHeight="false" outlineLevel="0" collapsed="false">
      <c r="A11" s="9" t="s">
        <v>115</v>
      </c>
      <c r="B11" s="10" t="n">
        <f aca="false">Controls!B12</f>
        <v>10</v>
      </c>
      <c r="C11" s="10" t="n">
        <v>10</v>
      </c>
      <c r="D11" s="10" t="n">
        <f aca="false">B11-C11</f>
        <v>0</v>
      </c>
      <c r="E11" s="4"/>
      <c r="F11" s="4"/>
      <c r="G11" s="4"/>
      <c r="H11" s="4"/>
    </row>
    <row r="12" customFormat="false" ht="23" hidden="false" customHeight="true" outlineLevel="0" collapsed="false">
      <c r="A12" s="34" t="s">
        <v>269</v>
      </c>
      <c r="B12" s="35" t="n">
        <f aca="false">SUM(B7:B11)</f>
        <v>200</v>
      </c>
      <c r="C12" s="35" t="n">
        <v>200</v>
      </c>
      <c r="D12" s="36" t="n">
        <f aca="false">B12-C12</f>
        <v>0</v>
      </c>
      <c r="E12" s="4"/>
      <c r="F12" s="4"/>
      <c r="G12" s="4"/>
      <c r="H12" s="4"/>
    </row>
    <row r="13" customFormat="false" ht="15" hidden="false" customHeight="false" outlineLevel="0" collapsed="false">
      <c r="A13" s="9"/>
      <c r="B13" s="10"/>
      <c r="C13" s="10"/>
      <c r="D13" s="10"/>
      <c r="E13" s="4"/>
      <c r="F13" s="4"/>
      <c r="G13" s="4"/>
      <c r="H13" s="4"/>
    </row>
    <row r="14" customFormat="false" ht="15" hidden="false" customHeight="false" outlineLevel="0" collapsed="false">
      <c r="A14" s="9"/>
      <c r="B14" s="10"/>
      <c r="C14" s="10"/>
      <c r="D14" s="10"/>
      <c r="E14" s="4"/>
      <c r="F14" s="4"/>
      <c r="G14" s="4"/>
      <c r="H14" s="4"/>
    </row>
    <row r="15" customFormat="false" ht="23" hidden="false" customHeight="true" outlineLevel="0" collapsed="false">
      <c r="A15" s="37" t="s">
        <v>270</v>
      </c>
      <c r="B15" s="38" t="s">
        <v>103</v>
      </c>
      <c r="C15" s="38" t="s">
        <v>271</v>
      </c>
      <c r="D15" s="39" t="s">
        <v>272</v>
      </c>
      <c r="E15" s="4"/>
      <c r="F15" s="4"/>
      <c r="G15" s="4"/>
      <c r="H15" s="4"/>
    </row>
    <row r="16" customFormat="false" ht="15" hidden="false" customHeight="false" outlineLevel="0" collapsed="false">
      <c r="A16" s="9" t="s">
        <v>117</v>
      </c>
      <c r="B16" s="10" t="n">
        <f aca="false">Controls!B13</f>
        <v>57.4</v>
      </c>
      <c r="C16" s="40" t="n">
        <f aca="false">B16/$B$20</f>
        <v>0.287</v>
      </c>
      <c r="D16" s="10" t="n">
        <f aca="false">Controls!B31</f>
        <v>0</v>
      </c>
      <c r="E16" s="4"/>
      <c r="F16" s="4"/>
      <c r="G16" s="4"/>
      <c r="H16" s="4"/>
    </row>
    <row r="17" customFormat="false" ht="15" hidden="false" customHeight="false" outlineLevel="0" collapsed="false">
      <c r="A17" s="9" t="s">
        <v>120</v>
      </c>
      <c r="B17" s="10" t="n">
        <f aca="false">Controls!B14</f>
        <v>52.6</v>
      </c>
      <c r="C17" s="40" t="n">
        <f aca="false">B17/$B$20</f>
        <v>0.263</v>
      </c>
      <c r="D17" s="10" t="n">
        <f aca="false">Controls!B31</f>
        <v>0</v>
      </c>
      <c r="E17" s="4"/>
      <c r="F17" s="4"/>
      <c r="G17" s="4"/>
      <c r="H17" s="4"/>
    </row>
    <row r="18" customFormat="false" ht="15" hidden="false" customHeight="false" outlineLevel="0" collapsed="false">
      <c r="A18" s="9" t="s">
        <v>122</v>
      </c>
      <c r="B18" s="10" t="n">
        <f aca="false">Controls!B15</f>
        <v>80</v>
      </c>
      <c r="C18" s="40" t="n">
        <f aca="false">B18/$B$20</f>
        <v>0.4</v>
      </c>
      <c r="D18" s="10" t="n">
        <f aca="false">Controls!B31</f>
        <v>0</v>
      </c>
      <c r="E18" s="4"/>
      <c r="F18" s="4"/>
      <c r="G18" s="4"/>
      <c r="H18" s="4"/>
    </row>
    <row r="19" customFormat="false" ht="15" hidden="false" customHeight="false" outlineLevel="0" collapsed="false">
      <c r="A19" s="9" t="s">
        <v>273</v>
      </c>
      <c r="B19" s="10" t="n">
        <f aca="false">Controls!B12</f>
        <v>10</v>
      </c>
      <c r="C19" s="40" t="n">
        <f aca="false">B19/$B$20</f>
        <v>0.05</v>
      </c>
      <c r="D19" s="10" t="n">
        <f aca="false">Controls!B31</f>
        <v>0</v>
      </c>
      <c r="E19" s="4"/>
      <c r="F19" s="4"/>
      <c r="G19" s="4"/>
      <c r="H19" s="4"/>
    </row>
    <row r="20" customFormat="false" ht="23" hidden="false" customHeight="true" outlineLevel="0" collapsed="false">
      <c r="A20" s="34" t="s">
        <v>269</v>
      </c>
      <c r="B20" s="35" t="n">
        <f aca="false">SUM(B16:B19)</f>
        <v>200</v>
      </c>
      <c r="C20" s="41" t="n">
        <f aca="false">SUM(C16:C19)</f>
        <v>1</v>
      </c>
      <c r="D20" s="36" t="n">
        <f aca="false">SUM(D16:D19)</f>
        <v>0</v>
      </c>
      <c r="E20" s="4"/>
      <c r="F20" s="4"/>
      <c r="G20" s="4"/>
      <c r="H20" s="4"/>
    </row>
    <row r="21" customFormat="false" ht="15" hidden="false" customHeight="false" outlineLevel="0" collapsed="false">
      <c r="A21" s="9"/>
      <c r="B21" s="10"/>
      <c r="C21" s="10"/>
      <c r="D21" s="10"/>
      <c r="E21" s="4"/>
      <c r="F21" s="4"/>
      <c r="G21" s="4"/>
      <c r="H21" s="4"/>
    </row>
    <row r="22" customFormat="false" ht="15" hidden="false" customHeight="false" outlineLevel="0" collapsed="false">
      <c r="A22" s="9"/>
      <c r="B22" s="10"/>
      <c r="C22" s="10"/>
      <c r="D22" s="10"/>
      <c r="E22" s="4"/>
      <c r="F22" s="4"/>
      <c r="G22" s="4"/>
      <c r="H22" s="4"/>
    </row>
    <row r="23" customFormat="false" ht="23" hidden="false" customHeight="true" outlineLevel="0" collapsed="false">
      <c r="A23" s="37" t="s">
        <v>274</v>
      </c>
      <c r="B23" s="38" t="s">
        <v>103</v>
      </c>
      <c r="C23" s="38" t="s">
        <v>275</v>
      </c>
      <c r="D23" s="39" t="s">
        <v>5</v>
      </c>
      <c r="E23" s="4"/>
      <c r="F23" s="4"/>
      <c r="G23" s="4"/>
      <c r="H23" s="4"/>
    </row>
    <row r="24" customFormat="false" ht="15" hidden="false" customHeight="false" outlineLevel="0" collapsed="false">
      <c r="A24" s="9" t="s">
        <v>32</v>
      </c>
      <c r="B24" s="42" t="n">
        <f aca="false">Controls!B16</f>
        <v>14.3476512772823</v>
      </c>
      <c r="C24" s="10" t="s">
        <v>276</v>
      </c>
      <c r="D24" s="10" t="s">
        <v>277</v>
      </c>
      <c r="E24" s="4"/>
      <c r="F24" s="4"/>
      <c r="G24" s="4"/>
      <c r="H24" s="4"/>
    </row>
    <row r="25" customFormat="false" ht="15" hidden="false" customHeight="false" outlineLevel="0" collapsed="false">
      <c r="A25" s="9" t="s">
        <v>278</v>
      </c>
      <c r="B25" s="42" t="n">
        <f aca="false">Controls!B17</f>
        <v>13.1523487227177</v>
      </c>
      <c r="C25" s="10" t="s">
        <v>276</v>
      </c>
      <c r="D25" s="43" t="s">
        <v>57</v>
      </c>
      <c r="E25" s="4"/>
      <c r="F25" s="4"/>
      <c r="G25" s="4"/>
      <c r="H25" s="4"/>
    </row>
    <row r="26" customFormat="false" ht="15" hidden="false" customHeight="false" outlineLevel="0" collapsed="false">
      <c r="A26" s="9" t="s">
        <v>279</v>
      </c>
      <c r="B26" s="42" t="n">
        <f aca="false">Controls!B13-B24</f>
        <v>43.0523487227177</v>
      </c>
      <c r="C26" s="10" t="s">
        <v>280</v>
      </c>
      <c r="D26" s="43" t="s">
        <v>57</v>
      </c>
      <c r="E26" s="4"/>
      <c r="F26" s="4"/>
      <c r="G26" s="4"/>
      <c r="H26" s="4"/>
    </row>
    <row r="27" customFormat="false" ht="15" hidden="false" customHeight="false" outlineLevel="0" collapsed="false">
      <c r="A27" s="9" t="s">
        <v>281</v>
      </c>
      <c r="B27" s="42" t="n">
        <f aca="false">Controls!B14-B25</f>
        <v>39.4476512772823</v>
      </c>
      <c r="C27" s="10" t="s">
        <v>280</v>
      </c>
      <c r="D27" s="43" t="s">
        <v>57</v>
      </c>
      <c r="E27" s="4"/>
      <c r="F27" s="4"/>
      <c r="G27" s="4"/>
      <c r="H27" s="4"/>
    </row>
    <row r="28" customFormat="false" ht="15" hidden="false" customHeight="false" outlineLevel="0" collapsed="false">
      <c r="A28" s="9" t="s">
        <v>36</v>
      </c>
      <c r="B28" s="42" t="n">
        <f aca="false">Controls!B18</f>
        <v>12</v>
      </c>
      <c r="C28" s="10" t="s">
        <v>282</v>
      </c>
      <c r="D28" s="43" t="s">
        <v>37</v>
      </c>
      <c r="E28" s="4"/>
      <c r="F28" s="4"/>
      <c r="G28" s="4"/>
      <c r="H28" s="4"/>
    </row>
    <row r="29" customFormat="false" ht="15" hidden="false" customHeight="false" outlineLevel="0" collapsed="false">
      <c r="A29" s="9" t="s">
        <v>283</v>
      </c>
      <c r="B29" s="42" t="n">
        <f aca="false">Controls!B15-B28</f>
        <v>68</v>
      </c>
      <c r="C29" s="10" t="s">
        <v>280</v>
      </c>
      <c r="D29" s="43" t="s">
        <v>284</v>
      </c>
      <c r="E29" s="4"/>
      <c r="F29" s="4"/>
      <c r="G29" s="4"/>
      <c r="H29" s="4"/>
    </row>
    <row r="30" customFormat="false" ht="15" hidden="false" customHeight="false" outlineLevel="0" collapsed="false">
      <c r="A30" s="9" t="s">
        <v>285</v>
      </c>
      <c r="B30" s="42" t="n">
        <f aca="false">B24*15%</f>
        <v>2.15214769159235</v>
      </c>
      <c r="C30" s="10" t="s">
        <v>286</v>
      </c>
      <c r="D30" s="10" t="s">
        <v>287</v>
      </c>
      <c r="E30" s="4"/>
      <c r="F30" s="4"/>
      <c r="G30" s="4"/>
      <c r="H30" s="4"/>
    </row>
    <row r="31" customFormat="false" ht="15" hidden="false" customHeight="false" outlineLevel="0" collapsed="false">
      <c r="A31" s="9" t="s">
        <v>288</v>
      </c>
      <c r="B31" s="42" t="n">
        <f aca="false">B24*35%</f>
        <v>5.0216779470488</v>
      </c>
      <c r="C31" s="10" t="s">
        <v>289</v>
      </c>
      <c r="D31" s="10" t="s">
        <v>287</v>
      </c>
      <c r="E31" s="4"/>
      <c r="F31" s="4"/>
      <c r="G31" s="4"/>
      <c r="H31" s="4"/>
    </row>
    <row r="32" customFormat="false" ht="15" hidden="false" customHeight="false" outlineLevel="0" collapsed="false">
      <c r="A32" s="9" t="s">
        <v>290</v>
      </c>
      <c r="B32" s="42" t="n">
        <f aca="false">SUM(B30:B31)</f>
        <v>7.17382563864115</v>
      </c>
      <c r="C32" s="10" t="s">
        <v>291</v>
      </c>
      <c r="D32" s="10" t="s">
        <v>292</v>
      </c>
      <c r="E32" s="4"/>
      <c r="F32" s="4"/>
      <c r="G32" s="4"/>
      <c r="H32" s="4"/>
    </row>
    <row r="33" customFormat="false" ht="15" hidden="false" customHeight="false" outlineLevel="0" collapsed="false">
      <c r="A33" s="9" t="s">
        <v>293</v>
      </c>
      <c r="B33" s="42" t="n">
        <f aca="false">B24*35%</f>
        <v>5.0216779470488</v>
      </c>
      <c r="C33" s="10" t="s">
        <v>289</v>
      </c>
      <c r="D33" s="10" t="s">
        <v>57</v>
      </c>
      <c r="E33" s="4"/>
      <c r="F33" s="4"/>
      <c r="G33" s="4"/>
      <c r="H33" s="4"/>
    </row>
    <row r="34" customFormat="false" ht="15" hidden="false" customHeight="false" outlineLevel="0" collapsed="false">
      <c r="A34" s="9" t="s">
        <v>294</v>
      </c>
      <c r="B34" s="42" t="n">
        <f aca="false">B24*15%</f>
        <v>2.15214769159235</v>
      </c>
      <c r="C34" s="10" t="s">
        <v>286</v>
      </c>
      <c r="D34" s="10" t="s">
        <v>57</v>
      </c>
      <c r="E34" s="4"/>
      <c r="F34" s="4"/>
      <c r="G34" s="4"/>
      <c r="H34" s="4"/>
    </row>
    <row r="35" customFormat="false" ht="15" hidden="false" customHeight="false" outlineLevel="0" collapsed="false">
      <c r="A35" s="12" t="s">
        <v>295</v>
      </c>
      <c r="B35" s="44" t="n">
        <f aca="false">SUM(B33:B34)</f>
        <v>7.17382563864115</v>
      </c>
      <c r="C35" s="13" t="s">
        <v>291</v>
      </c>
      <c r="D35" s="13" t="s">
        <v>57</v>
      </c>
      <c r="E35" s="4"/>
      <c r="F35" s="4"/>
      <c r="G35" s="4"/>
      <c r="H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23" hidden="false" customHeight="true" outlineLevel="0" collapsed="false">
      <c r="A39" s="5" t="s">
        <v>296</v>
      </c>
      <c r="B39" s="6" t="s">
        <v>297</v>
      </c>
      <c r="C39" s="6" t="s">
        <v>298</v>
      </c>
      <c r="D39" s="6" t="s">
        <v>299</v>
      </c>
      <c r="E39" s="6" t="s">
        <v>300</v>
      </c>
      <c r="F39" s="6" t="s">
        <v>301</v>
      </c>
      <c r="G39" s="6" t="s">
        <v>302</v>
      </c>
      <c r="H39" s="7" t="s">
        <v>303</v>
      </c>
    </row>
    <row r="40" customFormat="false" ht="15" hidden="false" customHeight="false" outlineLevel="0" collapsed="false">
      <c r="A40" s="8" t="s">
        <v>304</v>
      </c>
      <c r="B40" s="8" t="s">
        <v>305</v>
      </c>
      <c r="C40" s="33" t="n">
        <v>4.45116980400422</v>
      </c>
      <c r="D40" s="33" t="n">
        <v>2.0018984723274</v>
      </c>
      <c r="E40" s="33" t="n">
        <v>2.44927133167682</v>
      </c>
      <c r="F40" s="33" t="n">
        <v>4</v>
      </c>
      <c r="G40" s="33" t="n">
        <f aca="false">Controls!B31</f>
        <v>0</v>
      </c>
      <c r="H40" s="33" t="n">
        <f aca="false">Controls!B35</f>
        <v>0</v>
      </c>
    </row>
    <row r="41" customFormat="false" ht="15" hidden="false" customHeight="false" outlineLevel="0" collapsed="false">
      <c r="A41" s="9" t="s">
        <v>306</v>
      </c>
      <c r="B41" s="9" t="s">
        <v>307</v>
      </c>
      <c r="C41" s="10" t="n">
        <v>4.59363993092907</v>
      </c>
      <c r="D41" s="10" t="n">
        <v>2.06597392709584</v>
      </c>
      <c r="E41" s="10" t="n">
        <v>2.52766600383323</v>
      </c>
      <c r="F41" s="10" t="n">
        <v>4</v>
      </c>
      <c r="G41" s="10" t="n">
        <f aca="false">Controls!B31</f>
        <v>0</v>
      </c>
      <c r="H41" s="10" t="n">
        <f aca="false">Controls!B35</f>
        <v>0</v>
      </c>
    </row>
    <row r="42" customFormat="false" ht="15" hidden="false" customHeight="false" outlineLevel="0" collapsed="false">
      <c r="A42" s="9" t="s">
        <v>308</v>
      </c>
      <c r="B42" s="9" t="s">
        <v>309</v>
      </c>
      <c r="C42" s="10" t="n">
        <v>2.73239780862615</v>
      </c>
      <c r="D42" s="10" t="n">
        <v>1.22888661626853</v>
      </c>
      <c r="E42" s="10" t="n">
        <v>1.50351119235762</v>
      </c>
      <c r="F42" s="10" t="n">
        <v>4</v>
      </c>
      <c r="G42" s="10" t="n">
        <f aca="false">Controls!B31</f>
        <v>0</v>
      </c>
      <c r="H42" s="10" t="n">
        <f aca="false">Controls!B35</f>
        <v>0</v>
      </c>
    </row>
    <row r="43" customFormat="false" ht="15" hidden="false" customHeight="false" outlineLevel="0" collapsed="false">
      <c r="A43" s="9" t="s">
        <v>310</v>
      </c>
      <c r="B43" s="9" t="s">
        <v>311</v>
      </c>
      <c r="C43" s="10" t="n">
        <v>3.59765127728226</v>
      </c>
      <c r="D43" s="10" t="n">
        <v>3.59765127728226</v>
      </c>
      <c r="E43" s="10" t="n">
        <v>0</v>
      </c>
      <c r="F43" s="10" t="n">
        <v>4</v>
      </c>
      <c r="G43" s="10" t="n">
        <f aca="false">Controls!B31</f>
        <v>0</v>
      </c>
      <c r="H43" s="10" t="n">
        <f aca="false">Controls!B35</f>
        <v>0</v>
      </c>
    </row>
    <row r="44" customFormat="false" ht="15" hidden="false" customHeight="false" outlineLevel="0" collapsed="false">
      <c r="A44" s="9" t="s">
        <v>312</v>
      </c>
      <c r="B44" s="9" t="s">
        <v>313</v>
      </c>
      <c r="C44" s="10" t="n">
        <v>7.65508807448701</v>
      </c>
      <c r="D44" s="10" t="n">
        <v>3.44284981176438</v>
      </c>
      <c r="E44" s="10" t="n">
        <v>4.21223826272263</v>
      </c>
      <c r="F44" s="10" t="n">
        <v>4</v>
      </c>
      <c r="G44" s="10" t="n">
        <f aca="false">Controls!B31</f>
        <v>0</v>
      </c>
      <c r="H44" s="10" t="n">
        <f aca="false">Controls!B35</f>
        <v>0</v>
      </c>
    </row>
    <row r="45" customFormat="false" ht="15" hidden="false" customHeight="false" outlineLevel="0" collapsed="false">
      <c r="A45" s="12" t="s">
        <v>314</v>
      </c>
      <c r="B45" s="12" t="s">
        <v>315</v>
      </c>
      <c r="C45" s="13" t="n">
        <v>4.4700531046713</v>
      </c>
      <c r="D45" s="13" t="n">
        <v>2.01039117254385</v>
      </c>
      <c r="E45" s="13" t="n">
        <v>2.45966193212745</v>
      </c>
      <c r="F45" s="13" t="n">
        <v>4</v>
      </c>
      <c r="G45" s="13" t="n">
        <f aca="false">Controls!B31</f>
        <v>0</v>
      </c>
      <c r="H45" s="13" t="n">
        <f aca="false">Controls!B35</f>
        <v>0</v>
      </c>
    </row>
    <row r="46" customFormat="false" ht="23" hidden="false" customHeight="true" outlineLevel="0" collapsed="false">
      <c r="A46" s="15" t="s">
        <v>269</v>
      </c>
      <c r="B46" s="16" t="s">
        <v>108</v>
      </c>
      <c r="C46" s="45" t="n">
        <f aca="false">SUM(C40:C45)</f>
        <v>27.5</v>
      </c>
      <c r="D46" s="45" t="n">
        <f aca="false">SUM(D40:D45)</f>
        <v>14.3476512772823</v>
      </c>
      <c r="E46" s="45" t="n">
        <f aca="false">SUM(E40:E45)</f>
        <v>13.1523487227178</v>
      </c>
      <c r="F46" s="45" t="n">
        <f aca="false">SUM(F40:F45)</f>
        <v>24</v>
      </c>
      <c r="G46" s="45" t="n">
        <f aca="false">SUM(G40:G45)</f>
        <v>0</v>
      </c>
      <c r="H46" s="46" t="n">
        <f aca="false">SUM(H40:H45)</f>
        <v>0</v>
      </c>
    </row>
  </sheetData>
  <mergeCells count="2">
    <mergeCell ref="A2:H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9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39"/>
    <col collapsed="false" customWidth="true" hidden="false" outlineLevel="0" max="6" min="6" style="0" width="48"/>
    <col collapsed="false" customWidth="true" hidden="false" outlineLevel="0" max="7" min="7" style="0" width="31"/>
  </cols>
  <sheetData>
    <row r="2" customFormat="false" ht="24" hidden="false" customHeight="true" outlineLevel="0" collapsed="false">
      <c r="A2" s="1" t="s">
        <v>316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317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218</v>
      </c>
      <c r="B6" s="6" t="s">
        <v>318</v>
      </c>
      <c r="C6" s="6" t="s">
        <v>319</v>
      </c>
      <c r="D6" s="6" t="s">
        <v>320</v>
      </c>
      <c r="E6" s="6" t="s">
        <v>321</v>
      </c>
      <c r="F6" s="6" t="s">
        <v>322</v>
      </c>
      <c r="G6" s="7" t="s">
        <v>323</v>
      </c>
    </row>
    <row r="7" customFormat="false" ht="15" hidden="false" customHeight="false" outlineLevel="0" collapsed="false">
      <c r="A7" s="8" t="s">
        <v>324</v>
      </c>
      <c r="B7" s="8" t="s">
        <v>325</v>
      </c>
      <c r="C7" s="8" t="s">
        <v>326</v>
      </c>
      <c r="D7" s="8" t="s">
        <v>18</v>
      </c>
      <c r="E7" s="8" t="s">
        <v>327</v>
      </c>
      <c r="F7" s="19" t="s">
        <v>328</v>
      </c>
      <c r="G7" s="8" t="s">
        <v>329</v>
      </c>
    </row>
    <row r="8" customFormat="false" ht="15" hidden="false" customHeight="false" outlineLevel="0" collapsed="false">
      <c r="A8" s="9" t="s">
        <v>330</v>
      </c>
      <c r="B8" s="9" t="s">
        <v>331</v>
      </c>
      <c r="C8" s="9" t="n">
        <v>24</v>
      </c>
      <c r="D8" s="9" t="s">
        <v>43</v>
      </c>
      <c r="E8" s="9" t="s">
        <v>332</v>
      </c>
      <c r="F8" s="21" t="s">
        <v>333</v>
      </c>
      <c r="G8" s="9" t="s">
        <v>26</v>
      </c>
    </row>
    <row r="9" customFormat="false" ht="15" hidden="false" customHeight="false" outlineLevel="0" collapsed="false">
      <c r="A9" s="9" t="s">
        <v>334</v>
      </c>
      <c r="B9" s="9" t="s">
        <v>335</v>
      </c>
      <c r="C9" s="9" t="n">
        <v>96</v>
      </c>
      <c r="D9" s="9" t="s">
        <v>28</v>
      </c>
      <c r="E9" s="9" t="s">
        <v>336</v>
      </c>
      <c r="F9" s="21" t="s">
        <v>337</v>
      </c>
      <c r="G9" s="9" t="s">
        <v>338</v>
      </c>
    </row>
    <row r="10" customFormat="false" ht="15" hidden="false" customHeight="false" outlineLevel="0" collapsed="false">
      <c r="A10" s="9" t="s">
        <v>339</v>
      </c>
      <c r="B10" s="9" t="s">
        <v>340</v>
      </c>
      <c r="C10" s="9" t="n">
        <v>6</v>
      </c>
      <c r="D10" s="9" t="s">
        <v>52</v>
      </c>
      <c r="E10" s="9" t="s">
        <v>341</v>
      </c>
      <c r="F10" s="21" t="s">
        <v>342</v>
      </c>
      <c r="G10" s="9" t="s">
        <v>343</v>
      </c>
    </row>
    <row r="11" customFormat="false" ht="15" hidden="false" customHeight="false" outlineLevel="0" collapsed="false">
      <c r="A11" s="9" t="s">
        <v>344</v>
      </c>
      <c r="B11" s="9" t="s">
        <v>345</v>
      </c>
      <c r="C11" s="9" t="n">
        <v>24</v>
      </c>
      <c r="D11" s="9" t="s">
        <v>62</v>
      </c>
      <c r="E11" s="9" t="s">
        <v>346</v>
      </c>
      <c r="F11" s="21" t="s">
        <v>347</v>
      </c>
      <c r="G11" s="9" t="s">
        <v>348</v>
      </c>
    </row>
    <row r="12" customFormat="false" ht="15" hidden="false" customHeight="false" outlineLevel="0" collapsed="false">
      <c r="A12" s="9" t="s">
        <v>349</v>
      </c>
      <c r="B12" s="9" t="s">
        <v>350</v>
      </c>
      <c r="C12" s="9" t="n">
        <v>144</v>
      </c>
      <c r="D12" s="11" t="s">
        <v>57</v>
      </c>
      <c r="E12" s="9" t="s">
        <v>59</v>
      </c>
      <c r="F12" s="21" t="s">
        <v>351</v>
      </c>
      <c r="G12" s="9" t="s">
        <v>60</v>
      </c>
    </row>
    <row r="13" customFormat="false" ht="15" hidden="false" customHeight="false" outlineLevel="0" collapsed="false">
      <c r="A13" s="9" t="s">
        <v>352</v>
      </c>
      <c r="B13" s="9" t="s">
        <v>353</v>
      </c>
      <c r="C13" s="9" t="n">
        <v>1152</v>
      </c>
      <c r="D13" s="11" t="s">
        <v>57</v>
      </c>
      <c r="E13" s="9" t="s">
        <v>59</v>
      </c>
      <c r="F13" s="21" t="s">
        <v>354</v>
      </c>
      <c r="G13" s="9" t="s">
        <v>355</v>
      </c>
    </row>
    <row r="14" customFormat="false" ht="15" hidden="false" customHeight="false" outlineLevel="0" collapsed="false">
      <c r="A14" s="9" t="s">
        <v>356</v>
      </c>
      <c r="B14" s="9" t="s">
        <v>357</v>
      </c>
      <c r="C14" s="9" t="n">
        <v>0</v>
      </c>
      <c r="D14" s="11" t="s">
        <v>75</v>
      </c>
      <c r="E14" s="9" t="s">
        <v>358</v>
      </c>
      <c r="F14" s="21" t="s">
        <v>359</v>
      </c>
      <c r="G14" s="9" t="s">
        <v>360</v>
      </c>
    </row>
    <row r="15" customFormat="false" ht="15" hidden="false" customHeight="false" outlineLevel="0" collapsed="false">
      <c r="A15" s="12" t="s">
        <v>361</v>
      </c>
      <c r="B15" s="12" t="s">
        <v>362</v>
      </c>
      <c r="C15" s="12" t="n">
        <v>0</v>
      </c>
      <c r="D15" s="14" t="s">
        <v>57</v>
      </c>
      <c r="E15" s="12" t="s">
        <v>59</v>
      </c>
      <c r="F15" s="22" t="s">
        <v>363</v>
      </c>
      <c r="G15" s="12" t="s">
        <v>364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1"/>
    <col collapsed="false" customWidth="true" hidden="false" outlineLevel="0" max="3" min="3" style="0" width="32"/>
    <col collapsed="false" customWidth="true" hidden="false" outlineLevel="0" max="4" min="4" style="0" width="53"/>
    <col collapsed="false" customWidth="true" hidden="false" outlineLevel="0" max="5" min="5" style="0" width="19"/>
    <col collapsed="false" customWidth="true" hidden="false" outlineLevel="0" max="6" min="6" style="0" width="35"/>
    <col collapsed="false" customWidth="true" hidden="false" outlineLevel="0" max="7" min="7" style="0" width="43"/>
  </cols>
  <sheetData>
    <row r="2" customFormat="false" ht="24" hidden="false" customHeight="true" outlineLevel="0" collapsed="false">
      <c r="A2" s="1" t="s">
        <v>365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366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367</v>
      </c>
      <c r="B6" s="6" t="s">
        <v>368</v>
      </c>
      <c r="C6" s="6" t="s">
        <v>369</v>
      </c>
      <c r="D6" s="6" t="s">
        <v>370</v>
      </c>
      <c r="E6" s="6" t="s">
        <v>371</v>
      </c>
      <c r="F6" s="6" t="s">
        <v>372</v>
      </c>
      <c r="G6" s="7" t="s">
        <v>373</v>
      </c>
    </row>
    <row r="7" customFormat="false" ht="15" hidden="false" customHeight="false" outlineLevel="0" collapsed="false">
      <c r="A7" s="8" t="n">
        <v>0</v>
      </c>
      <c r="B7" s="8" t="s">
        <v>374</v>
      </c>
      <c r="C7" s="8" t="s">
        <v>375</v>
      </c>
      <c r="D7" s="8" t="s">
        <v>376</v>
      </c>
      <c r="E7" s="8" t="s">
        <v>18</v>
      </c>
      <c r="F7" s="8" t="s">
        <v>377</v>
      </c>
      <c r="G7" s="8" t="s">
        <v>378</v>
      </c>
    </row>
    <row r="8" customFormat="false" ht="15" hidden="false" customHeight="false" outlineLevel="0" collapsed="false">
      <c r="A8" s="9" t="n">
        <v>1</v>
      </c>
      <c r="B8" s="9" t="s">
        <v>172</v>
      </c>
      <c r="C8" s="9" t="s">
        <v>379</v>
      </c>
      <c r="D8" s="9" t="s">
        <v>380</v>
      </c>
      <c r="E8" s="9" t="s">
        <v>28</v>
      </c>
      <c r="F8" s="9" t="s">
        <v>381</v>
      </c>
      <c r="G8" s="9" t="s">
        <v>382</v>
      </c>
    </row>
    <row r="9" customFormat="false" ht="15" hidden="false" customHeight="false" outlineLevel="0" collapsed="false">
      <c r="A9" s="9" t="n">
        <v>2</v>
      </c>
      <c r="B9" s="9" t="s">
        <v>383</v>
      </c>
      <c r="C9" s="9" t="s">
        <v>384</v>
      </c>
      <c r="D9" s="9" t="s">
        <v>385</v>
      </c>
      <c r="E9" s="9" t="s">
        <v>43</v>
      </c>
      <c r="F9" s="9" t="s">
        <v>386</v>
      </c>
      <c r="G9" s="9" t="s">
        <v>387</v>
      </c>
    </row>
    <row r="10" customFormat="false" ht="15" hidden="false" customHeight="false" outlineLevel="0" collapsed="false">
      <c r="A10" s="9" t="n">
        <v>3</v>
      </c>
      <c r="B10" s="9" t="s">
        <v>26</v>
      </c>
      <c r="C10" s="9" t="s">
        <v>388</v>
      </c>
      <c r="D10" s="9" t="s">
        <v>389</v>
      </c>
      <c r="E10" s="11" t="s">
        <v>57</v>
      </c>
      <c r="F10" s="9" t="s">
        <v>390</v>
      </c>
      <c r="G10" s="9" t="s">
        <v>391</v>
      </c>
    </row>
    <row r="11" customFormat="false" ht="15" hidden="false" customHeight="false" outlineLevel="0" collapsed="false">
      <c r="A11" s="9" t="n">
        <v>4</v>
      </c>
      <c r="B11" s="9" t="s">
        <v>391</v>
      </c>
      <c r="C11" s="9" t="s">
        <v>384</v>
      </c>
      <c r="D11" s="9" t="s">
        <v>392</v>
      </c>
      <c r="E11" s="11" t="s">
        <v>57</v>
      </c>
      <c r="F11" s="9" t="s">
        <v>393</v>
      </c>
      <c r="G11" s="9" t="s">
        <v>394</v>
      </c>
    </row>
    <row r="12" customFormat="false" ht="15" hidden="false" customHeight="false" outlineLevel="0" collapsed="false">
      <c r="A12" s="9" t="n">
        <v>5</v>
      </c>
      <c r="B12" s="9" t="s">
        <v>395</v>
      </c>
      <c r="C12" s="9" t="s">
        <v>396</v>
      </c>
      <c r="D12" s="9" t="s">
        <v>397</v>
      </c>
      <c r="E12" s="11" t="s">
        <v>57</v>
      </c>
      <c r="F12" s="9" t="s">
        <v>398</v>
      </c>
      <c r="G12" s="9" t="s">
        <v>399</v>
      </c>
    </row>
    <row r="13" customFormat="false" ht="15" hidden="false" customHeight="false" outlineLevel="0" collapsed="false">
      <c r="A13" s="9" t="n">
        <v>6</v>
      </c>
      <c r="B13" s="9" t="s">
        <v>400</v>
      </c>
      <c r="C13" s="9" t="s">
        <v>384</v>
      </c>
      <c r="D13" s="9" t="s">
        <v>401</v>
      </c>
      <c r="E13" s="11" t="s">
        <v>57</v>
      </c>
      <c r="F13" s="9" t="s">
        <v>402</v>
      </c>
      <c r="G13" s="9" t="s">
        <v>403</v>
      </c>
    </row>
    <row r="14" customFormat="false" ht="15" hidden="false" customHeight="false" outlineLevel="0" collapsed="false">
      <c r="A14" s="9" t="n">
        <v>7</v>
      </c>
      <c r="B14" s="9" t="s">
        <v>404</v>
      </c>
      <c r="C14" s="9" t="s">
        <v>405</v>
      </c>
      <c r="D14" s="9" t="s">
        <v>406</v>
      </c>
      <c r="E14" s="11" t="s">
        <v>75</v>
      </c>
      <c r="F14" s="9" t="s">
        <v>407</v>
      </c>
      <c r="G14" s="9" t="s">
        <v>408</v>
      </c>
    </row>
    <row r="15" customFormat="false" ht="15" hidden="false" customHeight="false" outlineLevel="0" collapsed="false">
      <c r="A15" s="9" t="n">
        <v>8</v>
      </c>
      <c r="B15" s="9" t="s">
        <v>399</v>
      </c>
      <c r="C15" s="9" t="s">
        <v>409</v>
      </c>
      <c r="D15" s="9" t="s">
        <v>410</v>
      </c>
      <c r="E15" s="11" t="s">
        <v>57</v>
      </c>
      <c r="F15" s="9" t="s">
        <v>411</v>
      </c>
      <c r="G15" s="9" t="s">
        <v>412</v>
      </c>
    </row>
    <row r="16" customFormat="false" ht="15" hidden="false" customHeight="false" outlineLevel="0" collapsed="false">
      <c r="A16" s="9" t="n">
        <v>9</v>
      </c>
      <c r="B16" s="9" t="s">
        <v>413</v>
      </c>
      <c r="C16" s="9" t="s">
        <v>414</v>
      </c>
      <c r="D16" s="9" t="s">
        <v>415</v>
      </c>
      <c r="E16" s="11" t="s">
        <v>57</v>
      </c>
      <c r="F16" s="9" t="s">
        <v>416</v>
      </c>
      <c r="G16" s="9" t="s">
        <v>417</v>
      </c>
    </row>
    <row r="17" customFormat="false" ht="15" hidden="false" customHeight="false" outlineLevel="0" collapsed="false">
      <c r="A17" s="9" t="n">
        <v>10</v>
      </c>
      <c r="B17" s="9" t="s">
        <v>418</v>
      </c>
      <c r="C17" s="9" t="s">
        <v>419</v>
      </c>
      <c r="D17" s="9" t="s">
        <v>420</v>
      </c>
      <c r="E17" s="11" t="s">
        <v>57</v>
      </c>
      <c r="F17" s="9" t="s">
        <v>421</v>
      </c>
      <c r="G17" s="9" t="s">
        <v>422</v>
      </c>
    </row>
    <row r="18" customFormat="false" ht="15" hidden="false" customHeight="false" outlineLevel="0" collapsed="false">
      <c r="A18" s="12" t="n">
        <v>11</v>
      </c>
      <c r="B18" s="12" t="s">
        <v>423</v>
      </c>
      <c r="C18" s="12" t="s">
        <v>424</v>
      </c>
      <c r="D18" s="12" t="s">
        <v>425</v>
      </c>
      <c r="E18" s="14" t="s">
        <v>57</v>
      </c>
      <c r="F18" s="12" t="s">
        <v>426</v>
      </c>
      <c r="G18" s="12" t="s">
        <v>427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31"/>
    <col collapsed="false" customWidth="true" hidden="false" outlineLevel="0" max="5" min="5" style="0" width="29"/>
    <col collapsed="false" customWidth="true" hidden="false" outlineLevel="0" max="6" min="6" style="0" width="43"/>
    <col collapsed="false" customWidth="true" hidden="false" outlineLevel="0" max="7" min="7" style="0" width="36"/>
    <col collapsed="false" customWidth="true" hidden="false" outlineLevel="0" max="8" min="8" style="0" width="18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15"/>
    <col collapsed="false" customWidth="true" hidden="false" outlineLevel="0" max="13" min="12" style="0" width="13"/>
    <col collapsed="false" customWidth="true" hidden="false" outlineLevel="0" max="15" min="14" style="0" width="14"/>
  </cols>
  <sheetData>
    <row r="2" customFormat="false" ht="24" hidden="false" customHeight="true" outlineLevel="0" collapsed="false">
      <c r="A2" s="1" t="s">
        <v>428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23" hidden="false" customHeight="true" outlineLevel="0" collapsed="false">
      <c r="A6" s="5" t="s">
        <v>429</v>
      </c>
      <c r="B6" s="6" t="s">
        <v>430</v>
      </c>
      <c r="C6" s="6" t="s">
        <v>296</v>
      </c>
      <c r="D6" s="6" t="s">
        <v>297</v>
      </c>
      <c r="E6" s="6" t="s">
        <v>431</v>
      </c>
      <c r="F6" s="6" t="s">
        <v>432</v>
      </c>
      <c r="G6" s="6" t="s">
        <v>433</v>
      </c>
      <c r="H6" s="6" t="s">
        <v>434</v>
      </c>
      <c r="I6" s="6" t="s">
        <v>435</v>
      </c>
      <c r="J6" s="6" t="s">
        <v>436</v>
      </c>
      <c r="K6" s="6" t="s">
        <v>437</v>
      </c>
      <c r="L6" s="6" t="s">
        <v>302</v>
      </c>
      <c r="M6" s="6" t="s">
        <v>438</v>
      </c>
      <c r="N6" s="6" t="s">
        <v>439</v>
      </c>
      <c r="O6" s="7" t="s">
        <v>440</v>
      </c>
    </row>
    <row r="7" customFormat="false" ht="15" hidden="false" customHeight="false" outlineLevel="0" collapsed="false">
      <c r="A7" s="8" t="s">
        <v>441</v>
      </c>
      <c r="B7" s="8" t="s">
        <v>442</v>
      </c>
      <c r="C7" s="8" t="s">
        <v>304</v>
      </c>
      <c r="D7" s="8" t="s">
        <v>305</v>
      </c>
      <c r="E7" s="8" t="s">
        <v>443</v>
      </c>
      <c r="F7" s="8" t="s">
        <v>444</v>
      </c>
      <c r="G7" s="8" t="s">
        <v>445</v>
      </c>
      <c r="H7" s="47" t="n">
        <f aca="false">INDEX(Finance!$D$40:$D$45,MATCH(C7,Finance!$A$40:$A$45,0))/4</f>
        <v>0.50047461808185</v>
      </c>
      <c r="I7" s="47" t="n">
        <f aca="false">INDEX(Finance!$E$40:$E$45,MATCH(C7,Finance!$A$40:$A$45,0))/4</f>
        <v>0.612317832919205</v>
      </c>
      <c r="J7" s="33" t="s">
        <v>62</v>
      </c>
      <c r="K7" s="48" t="s">
        <v>75</v>
      </c>
      <c r="L7" s="33" t="n">
        <v>0</v>
      </c>
      <c r="M7" s="33" t="n">
        <v>0</v>
      </c>
      <c r="N7" s="33" t="n">
        <v>0</v>
      </c>
      <c r="O7" s="33" t="n">
        <v>0</v>
      </c>
    </row>
    <row r="8" customFormat="false" ht="15" hidden="false" customHeight="false" outlineLevel="0" collapsed="false">
      <c r="A8" s="9" t="s">
        <v>446</v>
      </c>
      <c r="B8" s="9" t="s">
        <v>447</v>
      </c>
      <c r="C8" s="9" t="s">
        <v>304</v>
      </c>
      <c r="D8" s="9" t="s">
        <v>305</v>
      </c>
      <c r="E8" s="9" t="s">
        <v>448</v>
      </c>
      <c r="F8" s="9" t="s">
        <v>449</v>
      </c>
      <c r="G8" s="9" t="s">
        <v>450</v>
      </c>
      <c r="H8" s="42" t="n">
        <f aca="false">INDEX(Finance!$D$40:$D$45,MATCH(C8,Finance!$A$40:$A$45,0))/4</f>
        <v>0.50047461808185</v>
      </c>
      <c r="I8" s="42" t="n">
        <f aca="false">INDEX(Finance!$E$40:$E$45,MATCH(C8,Finance!$A$40:$A$45,0))/4</f>
        <v>0.612317832919205</v>
      </c>
      <c r="J8" s="10" t="s">
        <v>62</v>
      </c>
      <c r="K8" s="43" t="s">
        <v>75</v>
      </c>
      <c r="L8" s="10" t="n">
        <v>0</v>
      </c>
      <c r="M8" s="10" t="n">
        <v>0</v>
      </c>
      <c r="N8" s="10" t="n">
        <v>0</v>
      </c>
      <c r="O8" s="10" t="n">
        <v>0</v>
      </c>
    </row>
    <row r="9" customFormat="false" ht="15" hidden="false" customHeight="false" outlineLevel="0" collapsed="false">
      <c r="A9" s="9" t="s">
        <v>451</v>
      </c>
      <c r="B9" s="9" t="s">
        <v>452</v>
      </c>
      <c r="C9" s="9" t="s">
        <v>304</v>
      </c>
      <c r="D9" s="9" t="s">
        <v>305</v>
      </c>
      <c r="E9" s="9" t="s">
        <v>453</v>
      </c>
      <c r="F9" s="9" t="s">
        <v>454</v>
      </c>
      <c r="G9" s="9" t="s">
        <v>455</v>
      </c>
      <c r="H9" s="42" t="n">
        <f aca="false">INDEX(Finance!$D$40:$D$45,MATCH(C9,Finance!$A$40:$A$45,0))/4</f>
        <v>0.50047461808185</v>
      </c>
      <c r="I9" s="42" t="n">
        <f aca="false">INDEX(Finance!$E$40:$E$45,MATCH(C9,Finance!$A$40:$A$45,0))/4</f>
        <v>0.612317832919205</v>
      </c>
      <c r="J9" s="10" t="s">
        <v>62</v>
      </c>
      <c r="K9" s="43" t="s">
        <v>75</v>
      </c>
      <c r="L9" s="10" t="n">
        <v>0</v>
      </c>
      <c r="M9" s="10" t="n">
        <v>0</v>
      </c>
      <c r="N9" s="10" t="n">
        <v>0</v>
      </c>
      <c r="O9" s="10" t="n">
        <v>0</v>
      </c>
    </row>
    <row r="10" customFormat="false" ht="15" hidden="false" customHeight="false" outlineLevel="0" collapsed="false">
      <c r="A10" s="9" t="s">
        <v>456</v>
      </c>
      <c r="B10" s="9" t="s">
        <v>457</v>
      </c>
      <c r="C10" s="9" t="s">
        <v>304</v>
      </c>
      <c r="D10" s="9" t="s">
        <v>305</v>
      </c>
      <c r="E10" s="9" t="s">
        <v>458</v>
      </c>
      <c r="F10" s="9" t="s">
        <v>459</v>
      </c>
      <c r="G10" s="9" t="s">
        <v>460</v>
      </c>
      <c r="H10" s="42" t="n">
        <f aca="false">INDEX(Finance!$D$40:$D$45,MATCH(C10,Finance!$A$40:$A$45,0))/4</f>
        <v>0.50047461808185</v>
      </c>
      <c r="I10" s="42" t="n">
        <f aca="false">INDEX(Finance!$E$40:$E$45,MATCH(C10,Finance!$A$40:$A$45,0))/4</f>
        <v>0.612317832919205</v>
      </c>
      <c r="J10" s="10" t="s">
        <v>62</v>
      </c>
      <c r="K10" s="43" t="s">
        <v>75</v>
      </c>
      <c r="L10" s="10" t="n">
        <v>0</v>
      </c>
      <c r="M10" s="10" t="n">
        <v>0</v>
      </c>
      <c r="N10" s="10" t="n">
        <v>0</v>
      </c>
      <c r="O10" s="10" t="n">
        <v>0</v>
      </c>
    </row>
    <row r="11" customFormat="false" ht="15" hidden="false" customHeight="false" outlineLevel="0" collapsed="false">
      <c r="A11" s="9" t="s">
        <v>461</v>
      </c>
      <c r="B11" s="9" t="s">
        <v>462</v>
      </c>
      <c r="C11" s="9" t="s">
        <v>306</v>
      </c>
      <c r="D11" s="9" t="s">
        <v>307</v>
      </c>
      <c r="E11" s="9" t="s">
        <v>463</v>
      </c>
      <c r="F11" s="9" t="s">
        <v>464</v>
      </c>
      <c r="G11" s="9" t="s">
        <v>465</v>
      </c>
      <c r="H11" s="42" t="n">
        <f aca="false">INDEX(Finance!$D$40:$D$45,MATCH(C11,Finance!$A$40:$A$45,0))/4</f>
        <v>0.51649348177396</v>
      </c>
      <c r="I11" s="42" t="n">
        <f aca="false">INDEX(Finance!$E$40:$E$45,MATCH(C11,Finance!$A$40:$A$45,0))/4</f>
        <v>0.631916500958308</v>
      </c>
      <c r="J11" s="10" t="s">
        <v>62</v>
      </c>
      <c r="K11" s="43" t="s">
        <v>75</v>
      </c>
      <c r="L11" s="10" t="n">
        <v>0</v>
      </c>
      <c r="M11" s="10" t="n">
        <v>0</v>
      </c>
      <c r="N11" s="10" t="n">
        <v>0</v>
      </c>
      <c r="O11" s="10" t="n">
        <v>0</v>
      </c>
    </row>
    <row r="12" customFormat="false" ht="15" hidden="false" customHeight="false" outlineLevel="0" collapsed="false">
      <c r="A12" s="9" t="s">
        <v>466</v>
      </c>
      <c r="B12" s="9" t="s">
        <v>467</v>
      </c>
      <c r="C12" s="9" t="s">
        <v>306</v>
      </c>
      <c r="D12" s="9" t="s">
        <v>307</v>
      </c>
      <c r="E12" s="9" t="s">
        <v>468</v>
      </c>
      <c r="F12" s="9" t="s">
        <v>469</v>
      </c>
      <c r="G12" s="9" t="s">
        <v>470</v>
      </c>
      <c r="H12" s="42" t="n">
        <f aca="false">INDEX(Finance!$D$40:$D$45,MATCH(C12,Finance!$A$40:$A$45,0))/4</f>
        <v>0.51649348177396</v>
      </c>
      <c r="I12" s="42" t="n">
        <f aca="false">INDEX(Finance!$E$40:$E$45,MATCH(C12,Finance!$A$40:$A$45,0))/4</f>
        <v>0.631916500958308</v>
      </c>
      <c r="J12" s="10" t="s">
        <v>62</v>
      </c>
      <c r="K12" s="43" t="s">
        <v>75</v>
      </c>
      <c r="L12" s="10" t="n">
        <v>0</v>
      </c>
      <c r="M12" s="10" t="n">
        <v>0</v>
      </c>
      <c r="N12" s="10" t="n">
        <v>0</v>
      </c>
      <c r="O12" s="10" t="n">
        <v>0</v>
      </c>
    </row>
    <row r="13" customFormat="false" ht="15" hidden="false" customHeight="false" outlineLevel="0" collapsed="false">
      <c r="A13" s="9" t="s">
        <v>471</v>
      </c>
      <c r="B13" s="9" t="s">
        <v>472</v>
      </c>
      <c r="C13" s="9" t="s">
        <v>306</v>
      </c>
      <c r="D13" s="9" t="s">
        <v>307</v>
      </c>
      <c r="E13" s="9" t="s">
        <v>473</v>
      </c>
      <c r="F13" s="9" t="s">
        <v>474</v>
      </c>
      <c r="G13" s="9" t="s">
        <v>475</v>
      </c>
      <c r="H13" s="42" t="n">
        <f aca="false">INDEX(Finance!$D$40:$D$45,MATCH(C13,Finance!$A$40:$A$45,0))/4</f>
        <v>0.51649348177396</v>
      </c>
      <c r="I13" s="42" t="n">
        <f aca="false">INDEX(Finance!$E$40:$E$45,MATCH(C13,Finance!$A$40:$A$45,0))/4</f>
        <v>0.631916500958308</v>
      </c>
      <c r="J13" s="10" t="s">
        <v>62</v>
      </c>
      <c r="K13" s="43" t="s">
        <v>75</v>
      </c>
      <c r="L13" s="10" t="n">
        <v>0</v>
      </c>
      <c r="M13" s="10" t="n">
        <v>0</v>
      </c>
      <c r="N13" s="10" t="n">
        <v>0</v>
      </c>
      <c r="O13" s="10" t="n">
        <v>0</v>
      </c>
    </row>
    <row r="14" customFormat="false" ht="15" hidden="false" customHeight="false" outlineLevel="0" collapsed="false">
      <c r="A14" s="9" t="s">
        <v>476</v>
      </c>
      <c r="B14" s="9" t="s">
        <v>477</v>
      </c>
      <c r="C14" s="9" t="s">
        <v>306</v>
      </c>
      <c r="D14" s="9" t="s">
        <v>307</v>
      </c>
      <c r="E14" s="9" t="s">
        <v>478</v>
      </c>
      <c r="F14" s="9" t="s">
        <v>479</v>
      </c>
      <c r="G14" s="9" t="s">
        <v>480</v>
      </c>
      <c r="H14" s="42" t="n">
        <f aca="false">INDEX(Finance!$D$40:$D$45,MATCH(C14,Finance!$A$40:$A$45,0))/4</f>
        <v>0.51649348177396</v>
      </c>
      <c r="I14" s="42" t="n">
        <f aca="false">INDEX(Finance!$E$40:$E$45,MATCH(C14,Finance!$A$40:$A$45,0))/4</f>
        <v>0.631916500958308</v>
      </c>
      <c r="J14" s="10" t="s">
        <v>62</v>
      </c>
      <c r="K14" s="43" t="s">
        <v>75</v>
      </c>
      <c r="L14" s="10" t="n">
        <v>0</v>
      </c>
      <c r="M14" s="10" t="n">
        <v>0</v>
      </c>
      <c r="N14" s="10" t="n">
        <v>0</v>
      </c>
      <c r="O14" s="10" t="n">
        <v>0</v>
      </c>
    </row>
    <row r="15" customFormat="false" ht="15" hidden="false" customHeight="false" outlineLevel="0" collapsed="false">
      <c r="A15" s="9" t="s">
        <v>481</v>
      </c>
      <c r="B15" s="9" t="s">
        <v>482</v>
      </c>
      <c r="C15" s="9" t="s">
        <v>308</v>
      </c>
      <c r="D15" s="9" t="s">
        <v>309</v>
      </c>
      <c r="E15" s="9" t="s">
        <v>483</v>
      </c>
      <c r="F15" s="9" t="s">
        <v>484</v>
      </c>
      <c r="G15" s="9" t="s">
        <v>485</v>
      </c>
      <c r="H15" s="42" t="n">
        <f aca="false">INDEX(Finance!$D$40:$D$45,MATCH(C15,Finance!$A$40:$A$45,0))/4</f>
        <v>0.307221654067133</v>
      </c>
      <c r="I15" s="42" t="n">
        <f aca="false">INDEX(Finance!$E$40:$E$45,MATCH(C15,Finance!$A$40:$A$45,0))/4</f>
        <v>0.375877798089405</v>
      </c>
      <c r="J15" s="10" t="s">
        <v>62</v>
      </c>
      <c r="K15" s="43" t="s">
        <v>75</v>
      </c>
      <c r="L15" s="10" t="n">
        <v>0</v>
      </c>
      <c r="M15" s="10" t="n">
        <v>0</v>
      </c>
      <c r="N15" s="10" t="n">
        <v>0</v>
      </c>
      <c r="O15" s="10" t="n">
        <v>0</v>
      </c>
    </row>
    <row r="16" customFormat="false" ht="15" hidden="false" customHeight="false" outlineLevel="0" collapsed="false">
      <c r="A16" s="9" t="s">
        <v>486</v>
      </c>
      <c r="B16" s="9" t="s">
        <v>487</v>
      </c>
      <c r="C16" s="9" t="s">
        <v>308</v>
      </c>
      <c r="D16" s="9" t="s">
        <v>309</v>
      </c>
      <c r="E16" s="9" t="s">
        <v>488</v>
      </c>
      <c r="F16" s="9" t="s">
        <v>489</v>
      </c>
      <c r="G16" s="9" t="s">
        <v>490</v>
      </c>
      <c r="H16" s="42" t="n">
        <f aca="false">INDEX(Finance!$D$40:$D$45,MATCH(C16,Finance!$A$40:$A$45,0))/4</f>
        <v>0.307221654067133</v>
      </c>
      <c r="I16" s="42" t="n">
        <f aca="false">INDEX(Finance!$E$40:$E$45,MATCH(C16,Finance!$A$40:$A$45,0))/4</f>
        <v>0.375877798089405</v>
      </c>
      <c r="J16" s="10" t="s">
        <v>62</v>
      </c>
      <c r="K16" s="43" t="s">
        <v>75</v>
      </c>
      <c r="L16" s="10" t="n">
        <v>0</v>
      </c>
      <c r="M16" s="10" t="n">
        <v>0</v>
      </c>
      <c r="N16" s="10" t="n">
        <v>0</v>
      </c>
      <c r="O16" s="10" t="n">
        <v>0</v>
      </c>
    </row>
    <row r="17" customFormat="false" ht="15" hidden="false" customHeight="false" outlineLevel="0" collapsed="false">
      <c r="A17" s="9" t="s">
        <v>491</v>
      </c>
      <c r="B17" s="9" t="s">
        <v>492</v>
      </c>
      <c r="C17" s="9" t="s">
        <v>308</v>
      </c>
      <c r="D17" s="9" t="s">
        <v>309</v>
      </c>
      <c r="E17" s="9" t="s">
        <v>493</v>
      </c>
      <c r="F17" s="9" t="s">
        <v>494</v>
      </c>
      <c r="G17" s="9" t="s">
        <v>495</v>
      </c>
      <c r="H17" s="42" t="n">
        <f aca="false">INDEX(Finance!$D$40:$D$45,MATCH(C17,Finance!$A$40:$A$45,0))/4</f>
        <v>0.307221654067133</v>
      </c>
      <c r="I17" s="42" t="n">
        <f aca="false">INDEX(Finance!$E$40:$E$45,MATCH(C17,Finance!$A$40:$A$45,0))/4</f>
        <v>0.375877798089405</v>
      </c>
      <c r="J17" s="10" t="s">
        <v>62</v>
      </c>
      <c r="K17" s="43" t="s">
        <v>75</v>
      </c>
      <c r="L17" s="10" t="n">
        <v>0</v>
      </c>
      <c r="M17" s="10" t="n">
        <v>0</v>
      </c>
      <c r="N17" s="10" t="n">
        <v>0</v>
      </c>
      <c r="O17" s="10" t="n">
        <v>0</v>
      </c>
    </row>
    <row r="18" customFormat="false" ht="15" hidden="false" customHeight="false" outlineLevel="0" collapsed="false">
      <c r="A18" s="9" t="s">
        <v>496</v>
      </c>
      <c r="B18" s="9" t="s">
        <v>497</v>
      </c>
      <c r="C18" s="9" t="s">
        <v>308</v>
      </c>
      <c r="D18" s="9" t="s">
        <v>309</v>
      </c>
      <c r="E18" s="9" t="s">
        <v>498</v>
      </c>
      <c r="F18" s="9" t="s">
        <v>499</v>
      </c>
      <c r="G18" s="9" t="s">
        <v>500</v>
      </c>
      <c r="H18" s="42" t="n">
        <f aca="false">INDEX(Finance!$D$40:$D$45,MATCH(C18,Finance!$A$40:$A$45,0))/4</f>
        <v>0.307221654067133</v>
      </c>
      <c r="I18" s="42" t="n">
        <f aca="false">INDEX(Finance!$E$40:$E$45,MATCH(C18,Finance!$A$40:$A$45,0))/4</f>
        <v>0.375877798089405</v>
      </c>
      <c r="J18" s="10" t="s">
        <v>62</v>
      </c>
      <c r="K18" s="43" t="s">
        <v>75</v>
      </c>
      <c r="L18" s="10" t="n">
        <v>0</v>
      </c>
      <c r="M18" s="10" t="n">
        <v>0</v>
      </c>
      <c r="N18" s="10" t="n">
        <v>0</v>
      </c>
      <c r="O18" s="10" t="n">
        <v>0</v>
      </c>
    </row>
    <row r="19" customFormat="false" ht="15" hidden="false" customHeight="false" outlineLevel="0" collapsed="false">
      <c r="A19" s="9" t="s">
        <v>501</v>
      </c>
      <c r="B19" s="9" t="s">
        <v>502</v>
      </c>
      <c r="C19" s="9" t="s">
        <v>310</v>
      </c>
      <c r="D19" s="9" t="s">
        <v>311</v>
      </c>
      <c r="E19" s="9" t="s">
        <v>503</v>
      </c>
      <c r="F19" s="9" t="s">
        <v>504</v>
      </c>
      <c r="G19" s="9" t="s">
        <v>505</v>
      </c>
      <c r="H19" s="42" t="n">
        <f aca="false">INDEX(Finance!$D$40:$D$45,MATCH(C19,Finance!$A$40:$A$45,0))/4</f>
        <v>0.899412819320565</v>
      </c>
      <c r="I19" s="42" t="n">
        <f aca="false">INDEX(Finance!$E$40:$E$45,MATCH(C19,Finance!$A$40:$A$45,0))/4</f>
        <v>0</v>
      </c>
      <c r="J19" s="10" t="s">
        <v>62</v>
      </c>
      <c r="K19" s="43" t="s">
        <v>75</v>
      </c>
      <c r="L19" s="10" t="n">
        <v>0</v>
      </c>
      <c r="M19" s="10" t="n">
        <v>0</v>
      </c>
      <c r="N19" s="10" t="n">
        <v>0</v>
      </c>
      <c r="O19" s="10" t="n">
        <v>0</v>
      </c>
    </row>
    <row r="20" customFormat="false" ht="15" hidden="false" customHeight="false" outlineLevel="0" collapsed="false">
      <c r="A20" s="9" t="s">
        <v>506</v>
      </c>
      <c r="B20" s="9" t="s">
        <v>507</v>
      </c>
      <c r="C20" s="9" t="s">
        <v>310</v>
      </c>
      <c r="D20" s="9" t="s">
        <v>311</v>
      </c>
      <c r="E20" s="9" t="s">
        <v>508</v>
      </c>
      <c r="F20" s="9" t="s">
        <v>509</v>
      </c>
      <c r="G20" s="9" t="s">
        <v>510</v>
      </c>
      <c r="H20" s="42" t="n">
        <f aca="false">INDEX(Finance!$D$40:$D$45,MATCH(C20,Finance!$A$40:$A$45,0))/4</f>
        <v>0.899412819320565</v>
      </c>
      <c r="I20" s="42" t="n">
        <f aca="false">INDEX(Finance!$E$40:$E$45,MATCH(C20,Finance!$A$40:$A$45,0))/4</f>
        <v>0</v>
      </c>
      <c r="J20" s="10" t="s">
        <v>62</v>
      </c>
      <c r="K20" s="43" t="s">
        <v>75</v>
      </c>
      <c r="L20" s="10" t="n">
        <v>0</v>
      </c>
      <c r="M20" s="10" t="n">
        <v>0</v>
      </c>
      <c r="N20" s="10" t="n">
        <v>0</v>
      </c>
      <c r="O20" s="10" t="n">
        <v>0</v>
      </c>
    </row>
    <row r="21" customFormat="false" ht="15" hidden="false" customHeight="false" outlineLevel="0" collapsed="false">
      <c r="A21" s="9" t="s">
        <v>511</v>
      </c>
      <c r="B21" s="9" t="s">
        <v>512</v>
      </c>
      <c r="C21" s="9" t="s">
        <v>310</v>
      </c>
      <c r="D21" s="9" t="s">
        <v>311</v>
      </c>
      <c r="E21" s="9" t="s">
        <v>513</v>
      </c>
      <c r="F21" s="9" t="s">
        <v>514</v>
      </c>
      <c r="G21" s="9" t="s">
        <v>515</v>
      </c>
      <c r="H21" s="42" t="n">
        <f aca="false">INDEX(Finance!$D$40:$D$45,MATCH(C21,Finance!$A$40:$A$45,0))/4</f>
        <v>0.899412819320565</v>
      </c>
      <c r="I21" s="42" t="n">
        <f aca="false">INDEX(Finance!$E$40:$E$45,MATCH(C21,Finance!$A$40:$A$45,0))/4</f>
        <v>0</v>
      </c>
      <c r="J21" s="10" t="s">
        <v>62</v>
      </c>
      <c r="K21" s="43" t="s">
        <v>75</v>
      </c>
      <c r="L21" s="10" t="n">
        <v>0</v>
      </c>
      <c r="M21" s="10" t="n">
        <v>0</v>
      </c>
      <c r="N21" s="10" t="n">
        <v>0</v>
      </c>
      <c r="O21" s="10" t="n">
        <v>0</v>
      </c>
    </row>
    <row r="22" customFormat="false" ht="15" hidden="false" customHeight="false" outlineLevel="0" collapsed="false">
      <c r="A22" s="9" t="s">
        <v>516</v>
      </c>
      <c r="B22" s="9" t="s">
        <v>517</v>
      </c>
      <c r="C22" s="9" t="s">
        <v>310</v>
      </c>
      <c r="D22" s="9" t="s">
        <v>311</v>
      </c>
      <c r="E22" s="9" t="s">
        <v>518</v>
      </c>
      <c r="F22" s="9" t="s">
        <v>519</v>
      </c>
      <c r="G22" s="9" t="s">
        <v>520</v>
      </c>
      <c r="H22" s="42" t="n">
        <f aca="false">INDEX(Finance!$D$40:$D$45,MATCH(C22,Finance!$A$40:$A$45,0))/4</f>
        <v>0.899412819320565</v>
      </c>
      <c r="I22" s="42" t="n">
        <f aca="false">INDEX(Finance!$E$40:$E$45,MATCH(C22,Finance!$A$40:$A$45,0))/4</f>
        <v>0</v>
      </c>
      <c r="J22" s="10" t="s">
        <v>62</v>
      </c>
      <c r="K22" s="43" t="s">
        <v>75</v>
      </c>
      <c r="L22" s="10" t="n">
        <v>0</v>
      </c>
      <c r="M22" s="10" t="n">
        <v>0</v>
      </c>
      <c r="N22" s="10" t="n">
        <v>0</v>
      </c>
      <c r="O22" s="10" t="n">
        <v>0</v>
      </c>
    </row>
    <row r="23" customFormat="false" ht="15" hidden="false" customHeight="false" outlineLevel="0" collapsed="false">
      <c r="A23" s="9" t="s">
        <v>521</v>
      </c>
      <c r="B23" s="9" t="s">
        <v>522</v>
      </c>
      <c r="C23" s="9" t="s">
        <v>312</v>
      </c>
      <c r="D23" s="9" t="s">
        <v>313</v>
      </c>
      <c r="E23" s="9" t="s">
        <v>523</v>
      </c>
      <c r="F23" s="9" t="s">
        <v>524</v>
      </c>
      <c r="G23" s="9" t="s">
        <v>525</v>
      </c>
      <c r="H23" s="42" t="n">
        <f aca="false">INDEX(Finance!$D$40:$D$45,MATCH(C23,Finance!$A$40:$A$45,0))/4</f>
        <v>0.860712452941095</v>
      </c>
      <c r="I23" s="42" t="n">
        <f aca="false">INDEX(Finance!$E$40:$E$45,MATCH(C23,Finance!$A$40:$A$45,0))/4</f>
        <v>1.05305956568066</v>
      </c>
      <c r="J23" s="10" t="s">
        <v>62</v>
      </c>
      <c r="K23" s="43" t="s">
        <v>75</v>
      </c>
      <c r="L23" s="10" t="n">
        <v>0</v>
      </c>
      <c r="M23" s="10" t="n">
        <v>0</v>
      </c>
      <c r="N23" s="10" t="n">
        <v>0</v>
      </c>
      <c r="O23" s="10" t="n">
        <v>0</v>
      </c>
    </row>
    <row r="24" customFormat="false" ht="15" hidden="false" customHeight="false" outlineLevel="0" collapsed="false">
      <c r="A24" s="9" t="s">
        <v>526</v>
      </c>
      <c r="B24" s="9" t="s">
        <v>527</v>
      </c>
      <c r="C24" s="9" t="s">
        <v>312</v>
      </c>
      <c r="D24" s="9" t="s">
        <v>313</v>
      </c>
      <c r="E24" s="9" t="s">
        <v>528</v>
      </c>
      <c r="F24" s="9" t="s">
        <v>529</v>
      </c>
      <c r="G24" s="9" t="s">
        <v>530</v>
      </c>
      <c r="H24" s="42" t="n">
        <f aca="false">INDEX(Finance!$D$40:$D$45,MATCH(C24,Finance!$A$40:$A$45,0))/4</f>
        <v>0.860712452941095</v>
      </c>
      <c r="I24" s="42" t="n">
        <f aca="false">INDEX(Finance!$E$40:$E$45,MATCH(C24,Finance!$A$40:$A$45,0))/4</f>
        <v>1.05305956568066</v>
      </c>
      <c r="J24" s="10" t="s">
        <v>62</v>
      </c>
      <c r="K24" s="43" t="s">
        <v>75</v>
      </c>
      <c r="L24" s="10" t="n">
        <v>0</v>
      </c>
      <c r="M24" s="10" t="n">
        <v>0</v>
      </c>
      <c r="N24" s="10" t="n">
        <v>0</v>
      </c>
      <c r="O24" s="10" t="n">
        <v>0</v>
      </c>
    </row>
    <row r="25" customFormat="false" ht="15" hidden="false" customHeight="false" outlineLevel="0" collapsed="false">
      <c r="A25" s="9" t="s">
        <v>531</v>
      </c>
      <c r="B25" s="9" t="s">
        <v>532</v>
      </c>
      <c r="C25" s="9" t="s">
        <v>312</v>
      </c>
      <c r="D25" s="9" t="s">
        <v>313</v>
      </c>
      <c r="E25" s="9" t="s">
        <v>533</v>
      </c>
      <c r="F25" s="9" t="s">
        <v>534</v>
      </c>
      <c r="G25" s="9" t="s">
        <v>535</v>
      </c>
      <c r="H25" s="42" t="n">
        <f aca="false">INDEX(Finance!$D$40:$D$45,MATCH(C25,Finance!$A$40:$A$45,0))/4</f>
        <v>0.860712452941095</v>
      </c>
      <c r="I25" s="42" t="n">
        <f aca="false">INDEX(Finance!$E$40:$E$45,MATCH(C25,Finance!$A$40:$A$45,0))/4</f>
        <v>1.05305956568066</v>
      </c>
      <c r="J25" s="10" t="s">
        <v>62</v>
      </c>
      <c r="K25" s="43" t="s">
        <v>75</v>
      </c>
      <c r="L25" s="10" t="n">
        <v>0</v>
      </c>
      <c r="M25" s="10" t="n">
        <v>0</v>
      </c>
      <c r="N25" s="10" t="n">
        <v>0</v>
      </c>
      <c r="O25" s="10" t="n">
        <v>0</v>
      </c>
    </row>
    <row r="26" customFormat="false" ht="15" hidden="false" customHeight="false" outlineLevel="0" collapsed="false">
      <c r="A26" s="9" t="s">
        <v>536</v>
      </c>
      <c r="B26" s="9" t="s">
        <v>537</v>
      </c>
      <c r="C26" s="9" t="s">
        <v>312</v>
      </c>
      <c r="D26" s="9" t="s">
        <v>313</v>
      </c>
      <c r="E26" s="9" t="s">
        <v>538</v>
      </c>
      <c r="F26" s="9" t="s">
        <v>539</v>
      </c>
      <c r="G26" s="9" t="s">
        <v>540</v>
      </c>
      <c r="H26" s="42" t="n">
        <f aca="false">INDEX(Finance!$D$40:$D$45,MATCH(C26,Finance!$A$40:$A$45,0))/4</f>
        <v>0.860712452941095</v>
      </c>
      <c r="I26" s="42" t="n">
        <f aca="false">INDEX(Finance!$E$40:$E$45,MATCH(C26,Finance!$A$40:$A$45,0))/4</f>
        <v>1.05305956568066</v>
      </c>
      <c r="J26" s="10" t="s">
        <v>62</v>
      </c>
      <c r="K26" s="43" t="s">
        <v>75</v>
      </c>
      <c r="L26" s="10" t="n">
        <v>0</v>
      </c>
      <c r="M26" s="10" t="n">
        <v>0</v>
      </c>
      <c r="N26" s="10" t="n">
        <v>0</v>
      </c>
      <c r="O26" s="10" t="n">
        <v>0</v>
      </c>
    </row>
    <row r="27" customFormat="false" ht="15" hidden="false" customHeight="false" outlineLevel="0" collapsed="false">
      <c r="A27" s="9" t="s">
        <v>541</v>
      </c>
      <c r="B27" s="9" t="s">
        <v>542</v>
      </c>
      <c r="C27" s="9" t="s">
        <v>314</v>
      </c>
      <c r="D27" s="9" t="s">
        <v>315</v>
      </c>
      <c r="E27" s="9" t="s">
        <v>543</v>
      </c>
      <c r="F27" s="9" t="s">
        <v>544</v>
      </c>
      <c r="G27" s="9" t="s">
        <v>545</v>
      </c>
      <c r="H27" s="42" t="n">
        <f aca="false">INDEX(Finance!$D$40:$D$45,MATCH(C27,Finance!$A$40:$A$45,0))/4</f>
        <v>0.502597793135963</v>
      </c>
      <c r="I27" s="42" t="n">
        <f aca="false">INDEX(Finance!$E$40:$E$45,MATCH(C27,Finance!$A$40:$A$45,0))/4</f>
        <v>0.614915483031863</v>
      </c>
      <c r="J27" s="10" t="s">
        <v>62</v>
      </c>
      <c r="K27" s="43" t="s">
        <v>75</v>
      </c>
      <c r="L27" s="10" t="n">
        <v>0</v>
      </c>
      <c r="M27" s="10" t="n">
        <v>0</v>
      </c>
      <c r="N27" s="10" t="n">
        <v>0</v>
      </c>
      <c r="O27" s="10" t="n">
        <v>0</v>
      </c>
    </row>
    <row r="28" customFormat="false" ht="15" hidden="false" customHeight="false" outlineLevel="0" collapsed="false">
      <c r="A28" s="9" t="s">
        <v>546</v>
      </c>
      <c r="B28" s="9" t="s">
        <v>547</v>
      </c>
      <c r="C28" s="9" t="s">
        <v>314</v>
      </c>
      <c r="D28" s="9" t="s">
        <v>315</v>
      </c>
      <c r="E28" s="9" t="s">
        <v>548</v>
      </c>
      <c r="F28" s="9" t="s">
        <v>549</v>
      </c>
      <c r="G28" s="9" t="s">
        <v>550</v>
      </c>
      <c r="H28" s="42" t="n">
        <f aca="false">INDEX(Finance!$D$40:$D$45,MATCH(C28,Finance!$A$40:$A$45,0))/4</f>
        <v>0.502597793135963</v>
      </c>
      <c r="I28" s="42" t="n">
        <f aca="false">INDEX(Finance!$E$40:$E$45,MATCH(C28,Finance!$A$40:$A$45,0))/4</f>
        <v>0.614915483031863</v>
      </c>
      <c r="J28" s="10" t="s">
        <v>62</v>
      </c>
      <c r="K28" s="43" t="s">
        <v>75</v>
      </c>
      <c r="L28" s="10" t="n">
        <v>0</v>
      </c>
      <c r="M28" s="10" t="n">
        <v>0</v>
      </c>
      <c r="N28" s="10" t="n">
        <v>0</v>
      </c>
      <c r="O28" s="10" t="n">
        <v>0</v>
      </c>
    </row>
    <row r="29" customFormat="false" ht="15" hidden="false" customHeight="false" outlineLevel="0" collapsed="false">
      <c r="A29" s="9" t="s">
        <v>551</v>
      </c>
      <c r="B29" s="9" t="s">
        <v>552</v>
      </c>
      <c r="C29" s="9" t="s">
        <v>314</v>
      </c>
      <c r="D29" s="9" t="s">
        <v>315</v>
      </c>
      <c r="E29" s="9" t="s">
        <v>553</v>
      </c>
      <c r="F29" s="9" t="s">
        <v>554</v>
      </c>
      <c r="G29" s="9" t="s">
        <v>555</v>
      </c>
      <c r="H29" s="42" t="n">
        <f aca="false">INDEX(Finance!$D$40:$D$45,MATCH(C29,Finance!$A$40:$A$45,0))/4</f>
        <v>0.502597793135963</v>
      </c>
      <c r="I29" s="42" t="n">
        <f aca="false">INDEX(Finance!$E$40:$E$45,MATCH(C29,Finance!$A$40:$A$45,0))/4</f>
        <v>0.614915483031863</v>
      </c>
      <c r="J29" s="10" t="s">
        <v>62</v>
      </c>
      <c r="K29" s="43" t="s">
        <v>75</v>
      </c>
      <c r="L29" s="10" t="n">
        <v>0</v>
      </c>
      <c r="M29" s="10" t="n">
        <v>0</v>
      </c>
      <c r="N29" s="10" t="n">
        <v>0</v>
      </c>
      <c r="O29" s="10" t="n">
        <v>0</v>
      </c>
    </row>
    <row r="30" customFormat="false" ht="15" hidden="false" customHeight="false" outlineLevel="0" collapsed="false">
      <c r="A30" s="12" t="s">
        <v>556</v>
      </c>
      <c r="B30" s="12" t="s">
        <v>557</v>
      </c>
      <c r="C30" s="12" t="s">
        <v>314</v>
      </c>
      <c r="D30" s="12" t="s">
        <v>315</v>
      </c>
      <c r="E30" s="12" t="s">
        <v>558</v>
      </c>
      <c r="F30" s="12" t="s">
        <v>559</v>
      </c>
      <c r="G30" s="12" t="s">
        <v>560</v>
      </c>
      <c r="H30" s="44" t="n">
        <f aca="false">INDEX(Finance!$D$40:$D$45,MATCH(C30,Finance!$A$40:$A$45,0))/4</f>
        <v>0.502597793135963</v>
      </c>
      <c r="I30" s="44" t="n">
        <f aca="false">INDEX(Finance!$E$40:$E$45,MATCH(C30,Finance!$A$40:$A$45,0))/4</f>
        <v>0.614915483031863</v>
      </c>
      <c r="J30" s="13" t="s">
        <v>62</v>
      </c>
      <c r="K30" s="49" t="s">
        <v>75</v>
      </c>
      <c r="L30" s="13" t="n">
        <v>0</v>
      </c>
      <c r="M30" s="13" t="n">
        <v>0</v>
      </c>
      <c r="N30" s="13" t="n">
        <v>0</v>
      </c>
      <c r="O30" s="13" t="n">
        <v>0</v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customFormat="false" ht="23" hidden="false" customHeight="true" outlineLevel="0" collapsed="false">
      <c r="A33" s="15" t="s">
        <v>269</v>
      </c>
      <c r="B33" s="16" t="s">
        <v>561</v>
      </c>
      <c r="C33" s="16" t="s">
        <v>562</v>
      </c>
      <c r="D33" s="16" t="s">
        <v>563</v>
      </c>
      <c r="E33" s="16"/>
      <c r="F33" s="16"/>
      <c r="G33" s="16"/>
      <c r="H33" s="50" t="n">
        <f aca="false">SUM(H7:H30)</f>
        <v>14.3476512772823</v>
      </c>
      <c r="I33" s="50" t="n">
        <f aca="false">SUM(I7:I30)</f>
        <v>13.1523487227178</v>
      </c>
      <c r="J33" s="50"/>
      <c r="K33" s="50"/>
      <c r="L33" s="50" t="n">
        <f aca="false">SUM(L7:L30)</f>
        <v>0</v>
      </c>
      <c r="M33" s="50" t="n">
        <f aca="false">SUM(M7:M30)</f>
        <v>0</v>
      </c>
      <c r="N33" s="50" t="n">
        <f aca="false">SUM(N7:N30)</f>
        <v>0</v>
      </c>
      <c r="O33" s="51" t="n">
        <f aca="false">SUM(O7:O30)</f>
        <v>0</v>
      </c>
    </row>
  </sheetData>
  <mergeCells count="1">
    <mergeCell ref="A2:O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24"/>
  </cols>
  <sheetData>
    <row r="2" customFormat="false" ht="24" hidden="false" customHeight="true" outlineLevel="0" collapsed="false">
      <c r="A2" s="1" t="s">
        <v>564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3" t="s">
        <v>565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23" hidden="false" customHeight="true" outlineLevel="0" collapsed="false">
      <c r="A6" s="5" t="s">
        <v>566</v>
      </c>
      <c r="B6" s="6" t="s">
        <v>430</v>
      </c>
      <c r="C6" s="6" t="s">
        <v>567</v>
      </c>
      <c r="D6" s="6" t="s">
        <v>568</v>
      </c>
      <c r="E6" s="6" t="s">
        <v>569</v>
      </c>
      <c r="F6" s="6" t="s">
        <v>570</v>
      </c>
      <c r="G6" s="6" t="s">
        <v>571</v>
      </c>
      <c r="H6" s="6" t="s">
        <v>572</v>
      </c>
      <c r="I6" s="7" t="s">
        <v>5</v>
      </c>
    </row>
    <row r="7" customFormat="false" ht="15" hidden="false" customHeight="false" outlineLevel="0" collapsed="false">
      <c r="A7" s="8" t="s">
        <v>573</v>
      </c>
      <c r="B7" s="8" t="s">
        <v>442</v>
      </c>
      <c r="C7" s="8" t="s">
        <v>574</v>
      </c>
      <c r="D7" s="8" t="s">
        <v>575</v>
      </c>
      <c r="E7" s="27" t="n">
        <v>1</v>
      </c>
      <c r="F7" s="8" t="s">
        <v>576</v>
      </c>
      <c r="G7" s="52"/>
      <c r="H7" s="27" t="n">
        <v>0</v>
      </c>
      <c r="I7" s="8" t="s">
        <v>577</v>
      </c>
    </row>
    <row r="8" customFormat="false" ht="15" hidden="false" customHeight="false" outlineLevel="0" collapsed="false">
      <c r="A8" s="9" t="s">
        <v>578</v>
      </c>
      <c r="B8" s="9" t="s">
        <v>442</v>
      </c>
      <c r="C8" s="9" t="s">
        <v>579</v>
      </c>
      <c r="D8" s="9" t="s">
        <v>580</v>
      </c>
      <c r="E8" s="29" t="n">
        <v>1</v>
      </c>
      <c r="F8" s="9" t="s">
        <v>581</v>
      </c>
      <c r="G8" s="11"/>
      <c r="H8" s="29" t="n">
        <v>0</v>
      </c>
      <c r="I8" s="9" t="s">
        <v>577</v>
      </c>
    </row>
    <row r="9" customFormat="false" ht="15" hidden="false" customHeight="false" outlineLevel="0" collapsed="false">
      <c r="A9" s="9" t="s">
        <v>582</v>
      </c>
      <c r="B9" s="9" t="s">
        <v>442</v>
      </c>
      <c r="C9" s="9" t="s">
        <v>583</v>
      </c>
      <c r="D9" s="9" t="s">
        <v>584</v>
      </c>
      <c r="E9" s="29" t="n">
        <v>1</v>
      </c>
      <c r="F9" s="9" t="s">
        <v>585</v>
      </c>
      <c r="G9" s="11"/>
      <c r="H9" s="29" t="n">
        <v>0</v>
      </c>
      <c r="I9" s="9" t="s">
        <v>577</v>
      </c>
    </row>
    <row r="10" customFormat="false" ht="15" hidden="false" customHeight="false" outlineLevel="0" collapsed="false">
      <c r="A10" s="9" t="s">
        <v>586</v>
      </c>
      <c r="B10" s="9" t="s">
        <v>442</v>
      </c>
      <c r="C10" s="9" t="s">
        <v>587</v>
      </c>
      <c r="D10" s="9" t="s">
        <v>588</v>
      </c>
      <c r="E10" s="29" t="n">
        <v>1</v>
      </c>
      <c r="F10" s="9" t="s">
        <v>589</v>
      </c>
      <c r="G10" s="11"/>
      <c r="H10" s="29" t="n">
        <v>0</v>
      </c>
      <c r="I10" s="9" t="s">
        <v>577</v>
      </c>
    </row>
    <row r="11" customFormat="false" ht="15" hidden="false" customHeight="false" outlineLevel="0" collapsed="false">
      <c r="A11" s="9" t="s">
        <v>590</v>
      </c>
      <c r="B11" s="9" t="s">
        <v>442</v>
      </c>
      <c r="C11" s="9" t="s">
        <v>591</v>
      </c>
      <c r="D11" s="9" t="s">
        <v>592</v>
      </c>
      <c r="E11" s="29" t="n">
        <v>1</v>
      </c>
      <c r="F11" s="9" t="s">
        <v>593</v>
      </c>
      <c r="G11" s="11"/>
      <c r="H11" s="29" t="n">
        <v>0</v>
      </c>
      <c r="I11" s="9" t="s">
        <v>577</v>
      </c>
    </row>
    <row r="12" customFormat="false" ht="15" hidden="false" customHeight="false" outlineLevel="0" collapsed="false">
      <c r="A12" s="9" t="s">
        <v>594</v>
      </c>
      <c r="B12" s="9" t="s">
        <v>442</v>
      </c>
      <c r="C12" s="9" t="s">
        <v>595</v>
      </c>
      <c r="D12" s="9" t="s">
        <v>596</v>
      </c>
      <c r="E12" s="29" t="n">
        <v>1</v>
      </c>
      <c r="F12" s="9" t="s">
        <v>597</v>
      </c>
      <c r="G12" s="11"/>
      <c r="H12" s="29" t="n">
        <v>0</v>
      </c>
      <c r="I12" s="9" t="s">
        <v>577</v>
      </c>
    </row>
    <row r="13" customFormat="false" ht="15" hidden="false" customHeight="false" outlineLevel="0" collapsed="false">
      <c r="A13" s="9" t="s">
        <v>598</v>
      </c>
      <c r="B13" s="9" t="s">
        <v>442</v>
      </c>
      <c r="C13" s="9" t="s">
        <v>599</v>
      </c>
      <c r="D13" s="9" t="s">
        <v>600</v>
      </c>
      <c r="E13" s="29" t="n">
        <v>1</v>
      </c>
      <c r="F13" s="9" t="s">
        <v>601</v>
      </c>
      <c r="G13" s="11"/>
      <c r="H13" s="29" t="n">
        <v>0</v>
      </c>
      <c r="I13" s="9" t="s">
        <v>577</v>
      </c>
    </row>
    <row r="14" customFormat="false" ht="15" hidden="false" customHeight="false" outlineLevel="0" collapsed="false">
      <c r="A14" s="9" t="s">
        <v>602</v>
      </c>
      <c r="B14" s="9" t="s">
        <v>442</v>
      </c>
      <c r="C14" s="9" t="s">
        <v>603</v>
      </c>
      <c r="D14" s="9" t="s">
        <v>604</v>
      </c>
      <c r="E14" s="29" t="n">
        <v>0</v>
      </c>
      <c r="F14" s="9"/>
      <c r="G14" s="11"/>
      <c r="H14" s="29" t="n">
        <v>0</v>
      </c>
      <c r="I14" s="9" t="s">
        <v>57</v>
      </c>
    </row>
    <row r="15" customFormat="false" ht="15" hidden="false" customHeight="false" outlineLevel="0" collapsed="false">
      <c r="A15" s="9" t="s">
        <v>605</v>
      </c>
      <c r="B15" s="9" t="s">
        <v>442</v>
      </c>
      <c r="C15" s="9" t="s">
        <v>606</v>
      </c>
      <c r="D15" s="9" t="s">
        <v>607</v>
      </c>
      <c r="E15" s="29" t="n">
        <v>0</v>
      </c>
      <c r="F15" s="9"/>
      <c r="G15" s="11"/>
      <c r="H15" s="29" t="n">
        <v>0</v>
      </c>
      <c r="I15" s="9" t="s">
        <v>57</v>
      </c>
    </row>
    <row r="16" customFormat="false" ht="15" hidden="false" customHeight="false" outlineLevel="0" collapsed="false">
      <c r="A16" s="9" t="s">
        <v>608</v>
      </c>
      <c r="B16" s="9" t="s">
        <v>442</v>
      </c>
      <c r="C16" s="9" t="s">
        <v>609</v>
      </c>
      <c r="D16" s="9" t="s">
        <v>610</v>
      </c>
      <c r="E16" s="29" t="n">
        <v>0</v>
      </c>
      <c r="F16" s="9"/>
      <c r="G16" s="11"/>
      <c r="H16" s="29" t="n">
        <v>0</v>
      </c>
      <c r="I16" s="9" t="s">
        <v>57</v>
      </c>
    </row>
    <row r="17" customFormat="false" ht="15" hidden="false" customHeight="false" outlineLevel="0" collapsed="false">
      <c r="A17" s="9" t="s">
        <v>611</v>
      </c>
      <c r="B17" s="9" t="s">
        <v>442</v>
      </c>
      <c r="C17" s="9" t="s">
        <v>612</v>
      </c>
      <c r="D17" s="9" t="s">
        <v>613</v>
      </c>
      <c r="E17" s="29" t="n">
        <v>0</v>
      </c>
      <c r="F17" s="9"/>
      <c r="G17" s="11"/>
      <c r="H17" s="29" t="n">
        <v>0</v>
      </c>
      <c r="I17" s="9" t="s">
        <v>57</v>
      </c>
    </row>
    <row r="18" customFormat="false" ht="15" hidden="false" customHeight="false" outlineLevel="0" collapsed="false">
      <c r="A18" s="9" t="s">
        <v>614</v>
      </c>
      <c r="B18" s="9" t="s">
        <v>442</v>
      </c>
      <c r="C18" s="9" t="s">
        <v>615</v>
      </c>
      <c r="D18" s="9" t="s">
        <v>616</v>
      </c>
      <c r="E18" s="29" t="n">
        <v>0</v>
      </c>
      <c r="F18" s="9"/>
      <c r="G18" s="11"/>
      <c r="H18" s="29" t="n">
        <v>0</v>
      </c>
      <c r="I18" s="9" t="s">
        <v>57</v>
      </c>
    </row>
    <row r="19" customFormat="false" ht="15" hidden="false" customHeight="false" outlineLevel="0" collapsed="false">
      <c r="A19" s="9" t="s">
        <v>617</v>
      </c>
      <c r="B19" s="9" t="s">
        <v>447</v>
      </c>
      <c r="C19" s="9" t="s">
        <v>574</v>
      </c>
      <c r="D19" s="9" t="s">
        <v>575</v>
      </c>
      <c r="E19" s="29" t="n">
        <v>1</v>
      </c>
      <c r="F19" s="9" t="s">
        <v>618</v>
      </c>
      <c r="G19" s="11"/>
      <c r="H19" s="29" t="n">
        <v>0</v>
      </c>
      <c r="I19" s="9" t="s">
        <v>577</v>
      </c>
    </row>
    <row r="20" customFormat="false" ht="15" hidden="false" customHeight="false" outlineLevel="0" collapsed="false">
      <c r="A20" s="9" t="s">
        <v>619</v>
      </c>
      <c r="B20" s="9" t="s">
        <v>447</v>
      </c>
      <c r="C20" s="9" t="s">
        <v>579</v>
      </c>
      <c r="D20" s="9" t="s">
        <v>580</v>
      </c>
      <c r="E20" s="29" t="n">
        <v>1</v>
      </c>
      <c r="F20" s="9" t="s">
        <v>620</v>
      </c>
      <c r="G20" s="11"/>
      <c r="H20" s="29" t="n">
        <v>0</v>
      </c>
      <c r="I20" s="9" t="s">
        <v>577</v>
      </c>
    </row>
    <row r="21" customFormat="false" ht="15" hidden="false" customHeight="false" outlineLevel="0" collapsed="false">
      <c r="A21" s="9" t="s">
        <v>621</v>
      </c>
      <c r="B21" s="9" t="s">
        <v>447</v>
      </c>
      <c r="C21" s="9" t="s">
        <v>583</v>
      </c>
      <c r="D21" s="9" t="s">
        <v>584</v>
      </c>
      <c r="E21" s="29" t="n">
        <v>1</v>
      </c>
      <c r="F21" s="9" t="s">
        <v>622</v>
      </c>
      <c r="G21" s="11"/>
      <c r="H21" s="29" t="n">
        <v>0</v>
      </c>
      <c r="I21" s="9" t="s">
        <v>577</v>
      </c>
    </row>
    <row r="22" customFormat="false" ht="15" hidden="false" customHeight="false" outlineLevel="0" collapsed="false">
      <c r="A22" s="9" t="s">
        <v>623</v>
      </c>
      <c r="B22" s="9" t="s">
        <v>447</v>
      </c>
      <c r="C22" s="9" t="s">
        <v>587</v>
      </c>
      <c r="D22" s="9" t="s">
        <v>588</v>
      </c>
      <c r="E22" s="29" t="n">
        <v>1</v>
      </c>
      <c r="F22" s="9" t="s">
        <v>624</v>
      </c>
      <c r="G22" s="11"/>
      <c r="H22" s="29" t="n">
        <v>0</v>
      </c>
      <c r="I22" s="9" t="s">
        <v>577</v>
      </c>
    </row>
    <row r="23" customFormat="false" ht="15" hidden="false" customHeight="false" outlineLevel="0" collapsed="false">
      <c r="A23" s="9" t="s">
        <v>625</v>
      </c>
      <c r="B23" s="9" t="s">
        <v>447</v>
      </c>
      <c r="C23" s="9" t="s">
        <v>591</v>
      </c>
      <c r="D23" s="9" t="s">
        <v>592</v>
      </c>
      <c r="E23" s="29" t="n">
        <v>1</v>
      </c>
      <c r="F23" s="9" t="s">
        <v>626</v>
      </c>
      <c r="G23" s="11"/>
      <c r="H23" s="29" t="n">
        <v>0</v>
      </c>
      <c r="I23" s="9" t="s">
        <v>577</v>
      </c>
    </row>
    <row r="24" customFormat="false" ht="15" hidden="false" customHeight="false" outlineLevel="0" collapsed="false">
      <c r="A24" s="9" t="s">
        <v>627</v>
      </c>
      <c r="B24" s="9" t="s">
        <v>447</v>
      </c>
      <c r="C24" s="9" t="s">
        <v>595</v>
      </c>
      <c r="D24" s="9" t="s">
        <v>596</v>
      </c>
      <c r="E24" s="29" t="n">
        <v>1</v>
      </c>
      <c r="F24" s="9" t="s">
        <v>628</v>
      </c>
      <c r="G24" s="11"/>
      <c r="H24" s="29" t="n">
        <v>0</v>
      </c>
      <c r="I24" s="9" t="s">
        <v>577</v>
      </c>
    </row>
    <row r="25" customFormat="false" ht="15" hidden="false" customHeight="false" outlineLevel="0" collapsed="false">
      <c r="A25" s="9" t="s">
        <v>629</v>
      </c>
      <c r="B25" s="9" t="s">
        <v>447</v>
      </c>
      <c r="C25" s="9" t="s">
        <v>599</v>
      </c>
      <c r="D25" s="9" t="s">
        <v>600</v>
      </c>
      <c r="E25" s="29" t="n">
        <v>1</v>
      </c>
      <c r="F25" s="9" t="s">
        <v>630</v>
      </c>
      <c r="G25" s="11"/>
      <c r="H25" s="29" t="n">
        <v>0</v>
      </c>
      <c r="I25" s="9" t="s">
        <v>577</v>
      </c>
    </row>
    <row r="26" customFormat="false" ht="15" hidden="false" customHeight="false" outlineLevel="0" collapsed="false">
      <c r="A26" s="9" t="s">
        <v>631</v>
      </c>
      <c r="B26" s="9" t="s">
        <v>447</v>
      </c>
      <c r="C26" s="9" t="s">
        <v>603</v>
      </c>
      <c r="D26" s="9" t="s">
        <v>604</v>
      </c>
      <c r="E26" s="29" t="n">
        <v>0</v>
      </c>
      <c r="F26" s="9"/>
      <c r="G26" s="11"/>
      <c r="H26" s="29" t="n">
        <v>0</v>
      </c>
      <c r="I26" s="9" t="s">
        <v>57</v>
      </c>
    </row>
    <row r="27" customFormat="false" ht="15" hidden="false" customHeight="false" outlineLevel="0" collapsed="false">
      <c r="A27" s="9" t="s">
        <v>632</v>
      </c>
      <c r="B27" s="9" t="s">
        <v>447</v>
      </c>
      <c r="C27" s="9" t="s">
        <v>606</v>
      </c>
      <c r="D27" s="9" t="s">
        <v>607</v>
      </c>
      <c r="E27" s="29" t="n">
        <v>0</v>
      </c>
      <c r="F27" s="9"/>
      <c r="G27" s="11"/>
      <c r="H27" s="29" t="n">
        <v>0</v>
      </c>
      <c r="I27" s="9" t="s">
        <v>57</v>
      </c>
    </row>
    <row r="28" customFormat="false" ht="15" hidden="false" customHeight="false" outlineLevel="0" collapsed="false">
      <c r="A28" s="9" t="s">
        <v>633</v>
      </c>
      <c r="B28" s="9" t="s">
        <v>447</v>
      </c>
      <c r="C28" s="9" t="s">
        <v>609</v>
      </c>
      <c r="D28" s="9" t="s">
        <v>610</v>
      </c>
      <c r="E28" s="29" t="n">
        <v>0</v>
      </c>
      <c r="F28" s="9"/>
      <c r="G28" s="11"/>
      <c r="H28" s="29" t="n">
        <v>0</v>
      </c>
      <c r="I28" s="9" t="s">
        <v>57</v>
      </c>
    </row>
    <row r="29" customFormat="false" ht="15" hidden="false" customHeight="false" outlineLevel="0" collapsed="false">
      <c r="A29" s="9" t="s">
        <v>634</v>
      </c>
      <c r="B29" s="9" t="s">
        <v>447</v>
      </c>
      <c r="C29" s="9" t="s">
        <v>612</v>
      </c>
      <c r="D29" s="9" t="s">
        <v>613</v>
      </c>
      <c r="E29" s="29" t="n">
        <v>0</v>
      </c>
      <c r="F29" s="9"/>
      <c r="G29" s="11"/>
      <c r="H29" s="29" t="n">
        <v>0</v>
      </c>
      <c r="I29" s="9" t="s">
        <v>57</v>
      </c>
    </row>
    <row r="30" customFormat="false" ht="15" hidden="false" customHeight="false" outlineLevel="0" collapsed="false">
      <c r="A30" s="9" t="s">
        <v>635</v>
      </c>
      <c r="B30" s="9" t="s">
        <v>447</v>
      </c>
      <c r="C30" s="9" t="s">
        <v>615</v>
      </c>
      <c r="D30" s="9" t="s">
        <v>616</v>
      </c>
      <c r="E30" s="29" t="n">
        <v>0</v>
      </c>
      <c r="F30" s="9"/>
      <c r="G30" s="11"/>
      <c r="H30" s="29" t="n">
        <v>0</v>
      </c>
      <c r="I30" s="9" t="s">
        <v>57</v>
      </c>
    </row>
    <row r="31" customFormat="false" ht="15" hidden="false" customHeight="false" outlineLevel="0" collapsed="false">
      <c r="A31" s="9" t="s">
        <v>636</v>
      </c>
      <c r="B31" s="9" t="s">
        <v>452</v>
      </c>
      <c r="C31" s="9" t="s">
        <v>574</v>
      </c>
      <c r="D31" s="9" t="s">
        <v>575</v>
      </c>
      <c r="E31" s="29" t="n">
        <v>1</v>
      </c>
      <c r="F31" s="9" t="s">
        <v>637</v>
      </c>
      <c r="G31" s="11"/>
      <c r="H31" s="29" t="n">
        <v>0</v>
      </c>
      <c r="I31" s="9" t="s">
        <v>577</v>
      </c>
    </row>
    <row r="32" customFormat="false" ht="15" hidden="false" customHeight="false" outlineLevel="0" collapsed="false">
      <c r="A32" s="9" t="s">
        <v>638</v>
      </c>
      <c r="B32" s="9" t="s">
        <v>452</v>
      </c>
      <c r="C32" s="9" t="s">
        <v>579</v>
      </c>
      <c r="D32" s="9" t="s">
        <v>580</v>
      </c>
      <c r="E32" s="29" t="n">
        <v>1</v>
      </c>
      <c r="F32" s="9" t="s">
        <v>639</v>
      </c>
      <c r="G32" s="11"/>
      <c r="H32" s="29" t="n">
        <v>0</v>
      </c>
      <c r="I32" s="9" t="s">
        <v>577</v>
      </c>
    </row>
    <row r="33" customFormat="false" ht="15" hidden="false" customHeight="false" outlineLevel="0" collapsed="false">
      <c r="A33" s="9" t="s">
        <v>640</v>
      </c>
      <c r="B33" s="9" t="s">
        <v>452</v>
      </c>
      <c r="C33" s="9" t="s">
        <v>583</v>
      </c>
      <c r="D33" s="9" t="s">
        <v>584</v>
      </c>
      <c r="E33" s="29" t="n">
        <v>1</v>
      </c>
      <c r="F33" s="9" t="s">
        <v>641</v>
      </c>
      <c r="G33" s="11"/>
      <c r="H33" s="29" t="n">
        <v>0</v>
      </c>
      <c r="I33" s="9" t="s">
        <v>577</v>
      </c>
    </row>
    <row r="34" customFormat="false" ht="15" hidden="false" customHeight="false" outlineLevel="0" collapsed="false">
      <c r="A34" s="9" t="s">
        <v>642</v>
      </c>
      <c r="B34" s="9" t="s">
        <v>452</v>
      </c>
      <c r="C34" s="9" t="s">
        <v>587</v>
      </c>
      <c r="D34" s="9" t="s">
        <v>588</v>
      </c>
      <c r="E34" s="29" t="n">
        <v>1</v>
      </c>
      <c r="F34" s="9" t="s">
        <v>643</v>
      </c>
      <c r="G34" s="11"/>
      <c r="H34" s="29" t="n">
        <v>0</v>
      </c>
      <c r="I34" s="9" t="s">
        <v>577</v>
      </c>
    </row>
    <row r="35" customFormat="false" ht="15" hidden="false" customHeight="false" outlineLevel="0" collapsed="false">
      <c r="A35" s="9" t="s">
        <v>644</v>
      </c>
      <c r="B35" s="9" t="s">
        <v>452</v>
      </c>
      <c r="C35" s="9" t="s">
        <v>591</v>
      </c>
      <c r="D35" s="9" t="s">
        <v>592</v>
      </c>
      <c r="E35" s="29" t="n">
        <v>1</v>
      </c>
      <c r="F35" s="9" t="s">
        <v>645</v>
      </c>
      <c r="G35" s="11"/>
      <c r="H35" s="29" t="n">
        <v>0</v>
      </c>
      <c r="I35" s="9" t="s">
        <v>577</v>
      </c>
    </row>
    <row r="36" customFormat="false" ht="15" hidden="false" customHeight="false" outlineLevel="0" collapsed="false">
      <c r="A36" s="9" t="s">
        <v>646</v>
      </c>
      <c r="B36" s="9" t="s">
        <v>452</v>
      </c>
      <c r="C36" s="9" t="s">
        <v>595</v>
      </c>
      <c r="D36" s="9" t="s">
        <v>596</v>
      </c>
      <c r="E36" s="29" t="n">
        <v>1</v>
      </c>
      <c r="F36" s="9" t="s">
        <v>647</v>
      </c>
      <c r="G36" s="11"/>
      <c r="H36" s="29" t="n">
        <v>0</v>
      </c>
      <c r="I36" s="9" t="s">
        <v>577</v>
      </c>
    </row>
    <row r="37" customFormat="false" ht="15" hidden="false" customHeight="false" outlineLevel="0" collapsed="false">
      <c r="A37" s="9" t="s">
        <v>648</v>
      </c>
      <c r="B37" s="9" t="s">
        <v>452</v>
      </c>
      <c r="C37" s="9" t="s">
        <v>599</v>
      </c>
      <c r="D37" s="9" t="s">
        <v>600</v>
      </c>
      <c r="E37" s="29" t="n">
        <v>1</v>
      </c>
      <c r="F37" s="9" t="s">
        <v>649</v>
      </c>
      <c r="G37" s="11"/>
      <c r="H37" s="29" t="n">
        <v>0</v>
      </c>
      <c r="I37" s="9" t="s">
        <v>577</v>
      </c>
    </row>
    <row r="38" customFormat="false" ht="15" hidden="false" customHeight="false" outlineLevel="0" collapsed="false">
      <c r="A38" s="9" t="s">
        <v>650</v>
      </c>
      <c r="B38" s="9" t="s">
        <v>452</v>
      </c>
      <c r="C38" s="9" t="s">
        <v>603</v>
      </c>
      <c r="D38" s="9" t="s">
        <v>604</v>
      </c>
      <c r="E38" s="29" t="n">
        <v>0</v>
      </c>
      <c r="F38" s="9"/>
      <c r="G38" s="11"/>
      <c r="H38" s="29" t="n">
        <v>0</v>
      </c>
      <c r="I38" s="9" t="s">
        <v>57</v>
      </c>
    </row>
    <row r="39" customFormat="false" ht="15" hidden="false" customHeight="false" outlineLevel="0" collapsed="false">
      <c r="A39" s="9" t="s">
        <v>651</v>
      </c>
      <c r="B39" s="9" t="s">
        <v>452</v>
      </c>
      <c r="C39" s="9" t="s">
        <v>606</v>
      </c>
      <c r="D39" s="9" t="s">
        <v>607</v>
      </c>
      <c r="E39" s="29" t="n">
        <v>0</v>
      </c>
      <c r="F39" s="9"/>
      <c r="G39" s="11"/>
      <c r="H39" s="29" t="n">
        <v>0</v>
      </c>
      <c r="I39" s="9" t="s">
        <v>57</v>
      </c>
    </row>
    <row r="40" customFormat="false" ht="15" hidden="false" customHeight="false" outlineLevel="0" collapsed="false">
      <c r="A40" s="9" t="s">
        <v>652</v>
      </c>
      <c r="B40" s="9" t="s">
        <v>452</v>
      </c>
      <c r="C40" s="9" t="s">
        <v>609</v>
      </c>
      <c r="D40" s="9" t="s">
        <v>610</v>
      </c>
      <c r="E40" s="29" t="n">
        <v>0</v>
      </c>
      <c r="F40" s="9"/>
      <c r="G40" s="11"/>
      <c r="H40" s="29" t="n">
        <v>0</v>
      </c>
      <c r="I40" s="9" t="s">
        <v>57</v>
      </c>
    </row>
    <row r="41" customFormat="false" ht="15" hidden="false" customHeight="false" outlineLevel="0" collapsed="false">
      <c r="A41" s="9" t="s">
        <v>653</v>
      </c>
      <c r="B41" s="9" t="s">
        <v>452</v>
      </c>
      <c r="C41" s="9" t="s">
        <v>612</v>
      </c>
      <c r="D41" s="9" t="s">
        <v>613</v>
      </c>
      <c r="E41" s="29" t="n">
        <v>0</v>
      </c>
      <c r="F41" s="9"/>
      <c r="G41" s="11"/>
      <c r="H41" s="29" t="n">
        <v>0</v>
      </c>
      <c r="I41" s="9" t="s">
        <v>57</v>
      </c>
    </row>
    <row r="42" customFormat="false" ht="15" hidden="false" customHeight="false" outlineLevel="0" collapsed="false">
      <c r="A42" s="9" t="s">
        <v>654</v>
      </c>
      <c r="B42" s="9" t="s">
        <v>452</v>
      </c>
      <c r="C42" s="9" t="s">
        <v>615</v>
      </c>
      <c r="D42" s="9" t="s">
        <v>616</v>
      </c>
      <c r="E42" s="29" t="n">
        <v>0</v>
      </c>
      <c r="F42" s="9"/>
      <c r="G42" s="11"/>
      <c r="H42" s="29" t="n">
        <v>0</v>
      </c>
      <c r="I42" s="9" t="s">
        <v>57</v>
      </c>
    </row>
    <row r="43" customFormat="false" ht="15" hidden="false" customHeight="false" outlineLevel="0" collapsed="false">
      <c r="A43" s="9" t="s">
        <v>655</v>
      </c>
      <c r="B43" s="9" t="s">
        <v>457</v>
      </c>
      <c r="C43" s="9" t="s">
        <v>574</v>
      </c>
      <c r="D43" s="9" t="s">
        <v>575</v>
      </c>
      <c r="E43" s="29" t="n">
        <v>1</v>
      </c>
      <c r="F43" s="9" t="s">
        <v>656</v>
      </c>
      <c r="G43" s="11"/>
      <c r="H43" s="29" t="n">
        <v>0</v>
      </c>
      <c r="I43" s="9" t="s">
        <v>577</v>
      </c>
    </row>
    <row r="44" customFormat="false" ht="15" hidden="false" customHeight="false" outlineLevel="0" collapsed="false">
      <c r="A44" s="9" t="s">
        <v>657</v>
      </c>
      <c r="B44" s="9" t="s">
        <v>457</v>
      </c>
      <c r="C44" s="9" t="s">
        <v>579</v>
      </c>
      <c r="D44" s="9" t="s">
        <v>580</v>
      </c>
      <c r="E44" s="29" t="n">
        <v>1</v>
      </c>
      <c r="F44" s="9" t="s">
        <v>658</v>
      </c>
      <c r="G44" s="11"/>
      <c r="H44" s="29" t="n">
        <v>0</v>
      </c>
      <c r="I44" s="9" t="s">
        <v>577</v>
      </c>
    </row>
    <row r="45" customFormat="false" ht="15" hidden="false" customHeight="false" outlineLevel="0" collapsed="false">
      <c r="A45" s="9" t="s">
        <v>659</v>
      </c>
      <c r="B45" s="9" t="s">
        <v>457</v>
      </c>
      <c r="C45" s="9" t="s">
        <v>583</v>
      </c>
      <c r="D45" s="9" t="s">
        <v>584</v>
      </c>
      <c r="E45" s="29" t="n">
        <v>1</v>
      </c>
      <c r="F45" s="9" t="s">
        <v>660</v>
      </c>
      <c r="G45" s="11"/>
      <c r="H45" s="29" t="n">
        <v>0</v>
      </c>
      <c r="I45" s="9" t="s">
        <v>577</v>
      </c>
    </row>
    <row r="46" customFormat="false" ht="15" hidden="false" customHeight="false" outlineLevel="0" collapsed="false">
      <c r="A46" s="9" t="s">
        <v>661</v>
      </c>
      <c r="B46" s="9" t="s">
        <v>457</v>
      </c>
      <c r="C46" s="9" t="s">
        <v>587</v>
      </c>
      <c r="D46" s="9" t="s">
        <v>588</v>
      </c>
      <c r="E46" s="29" t="n">
        <v>1</v>
      </c>
      <c r="F46" s="9" t="s">
        <v>662</v>
      </c>
      <c r="G46" s="11"/>
      <c r="H46" s="29" t="n">
        <v>0</v>
      </c>
      <c r="I46" s="9" t="s">
        <v>577</v>
      </c>
    </row>
    <row r="47" customFormat="false" ht="15" hidden="false" customHeight="false" outlineLevel="0" collapsed="false">
      <c r="A47" s="9" t="s">
        <v>663</v>
      </c>
      <c r="B47" s="9" t="s">
        <v>457</v>
      </c>
      <c r="C47" s="9" t="s">
        <v>591</v>
      </c>
      <c r="D47" s="9" t="s">
        <v>592</v>
      </c>
      <c r="E47" s="29" t="n">
        <v>1</v>
      </c>
      <c r="F47" s="9" t="s">
        <v>664</v>
      </c>
      <c r="G47" s="11"/>
      <c r="H47" s="29" t="n">
        <v>0</v>
      </c>
      <c r="I47" s="9" t="s">
        <v>577</v>
      </c>
    </row>
    <row r="48" customFormat="false" ht="15" hidden="false" customHeight="false" outlineLevel="0" collapsed="false">
      <c r="A48" s="9" t="s">
        <v>665</v>
      </c>
      <c r="B48" s="9" t="s">
        <v>457</v>
      </c>
      <c r="C48" s="9" t="s">
        <v>595</v>
      </c>
      <c r="D48" s="9" t="s">
        <v>596</v>
      </c>
      <c r="E48" s="29" t="n">
        <v>1</v>
      </c>
      <c r="F48" s="9" t="s">
        <v>666</v>
      </c>
      <c r="G48" s="11"/>
      <c r="H48" s="29" t="n">
        <v>0</v>
      </c>
      <c r="I48" s="9" t="s">
        <v>577</v>
      </c>
    </row>
    <row r="49" customFormat="false" ht="15" hidden="false" customHeight="false" outlineLevel="0" collapsed="false">
      <c r="A49" s="9" t="s">
        <v>667</v>
      </c>
      <c r="B49" s="9" t="s">
        <v>457</v>
      </c>
      <c r="C49" s="9" t="s">
        <v>599</v>
      </c>
      <c r="D49" s="9" t="s">
        <v>600</v>
      </c>
      <c r="E49" s="29" t="n">
        <v>1</v>
      </c>
      <c r="F49" s="9" t="s">
        <v>668</v>
      </c>
      <c r="G49" s="11"/>
      <c r="H49" s="29" t="n">
        <v>0</v>
      </c>
      <c r="I49" s="9" t="s">
        <v>577</v>
      </c>
    </row>
    <row r="50" customFormat="false" ht="15" hidden="false" customHeight="false" outlineLevel="0" collapsed="false">
      <c r="A50" s="9" t="s">
        <v>669</v>
      </c>
      <c r="B50" s="9" t="s">
        <v>457</v>
      </c>
      <c r="C50" s="9" t="s">
        <v>603</v>
      </c>
      <c r="D50" s="9" t="s">
        <v>604</v>
      </c>
      <c r="E50" s="29" t="n">
        <v>0</v>
      </c>
      <c r="F50" s="9"/>
      <c r="G50" s="11"/>
      <c r="H50" s="29" t="n">
        <v>0</v>
      </c>
      <c r="I50" s="9" t="s">
        <v>57</v>
      </c>
    </row>
    <row r="51" customFormat="false" ht="15" hidden="false" customHeight="false" outlineLevel="0" collapsed="false">
      <c r="A51" s="9" t="s">
        <v>670</v>
      </c>
      <c r="B51" s="9" t="s">
        <v>457</v>
      </c>
      <c r="C51" s="9" t="s">
        <v>606</v>
      </c>
      <c r="D51" s="9" t="s">
        <v>607</v>
      </c>
      <c r="E51" s="29" t="n">
        <v>0</v>
      </c>
      <c r="F51" s="9"/>
      <c r="G51" s="11"/>
      <c r="H51" s="29" t="n">
        <v>0</v>
      </c>
      <c r="I51" s="9" t="s">
        <v>57</v>
      </c>
    </row>
    <row r="52" customFormat="false" ht="15" hidden="false" customHeight="false" outlineLevel="0" collapsed="false">
      <c r="A52" s="9" t="s">
        <v>671</v>
      </c>
      <c r="B52" s="9" t="s">
        <v>457</v>
      </c>
      <c r="C52" s="9" t="s">
        <v>609</v>
      </c>
      <c r="D52" s="9" t="s">
        <v>610</v>
      </c>
      <c r="E52" s="29" t="n">
        <v>0</v>
      </c>
      <c r="F52" s="9"/>
      <c r="G52" s="11"/>
      <c r="H52" s="29" t="n">
        <v>0</v>
      </c>
      <c r="I52" s="9" t="s">
        <v>57</v>
      </c>
    </row>
    <row r="53" customFormat="false" ht="15" hidden="false" customHeight="false" outlineLevel="0" collapsed="false">
      <c r="A53" s="9" t="s">
        <v>672</v>
      </c>
      <c r="B53" s="9" t="s">
        <v>457</v>
      </c>
      <c r="C53" s="9" t="s">
        <v>612</v>
      </c>
      <c r="D53" s="9" t="s">
        <v>613</v>
      </c>
      <c r="E53" s="29" t="n">
        <v>0</v>
      </c>
      <c r="F53" s="9"/>
      <c r="G53" s="11"/>
      <c r="H53" s="29" t="n">
        <v>0</v>
      </c>
      <c r="I53" s="9" t="s">
        <v>57</v>
      </c>
    </row>
    <row r="54" customFormat="false" ht="15" hidden="false" customHeight="false" outlineLevel="0" collapsed="false">
      <c r="A54" s="9" t="s">
        <v>673</v>
      </c>
      <c r="B54" s="9" t="s">
        <v>457</v>
      </c>
      <c r="C54" s="9" t="s">
        <v>615</v>
      </c>
      <c r="D54" s="9" t="s">
        <v>616</v>
      </c>
      <c r="E54" s="29" t="n">
        <v>0</v>
      </c>
      <c r="F54" s="9"/>
      <c r="G54" s="11"/>
      <c r="H54" s="29" t="n">
        <v>0</v>
      </c>
      <c r="I54" s="9" t="s">
        <v>57</v>
      </c>
    </row>
    <row r="55" customFormat="false" ht="15" hidden="false" customHeight="false" outlineLevel="0" collapsed="false">
      <c r="A55" s="9" t="s">
        <v>674</v>
      </c>
      <c r="B55" s="9" t="s">
        <v>462</v>
      </c>
      <c r="C55" s="9" t="s">
        <v>574</v>
      </c>
      <c r="D55" s="9" t="s">
        <v>575</v>
      </c>
      <c r="E55" s="29" t="n">
        <v>1</v>
      </c>
      <c r="F55" s="9" t="s">
        <v>675</v>
      </c>
      <c r="G55" s="11"/>
      <c r="H55" s="29" t="n">
        <v>0</v>
      </c>
      <c r="I55" s="9" t="s">
        <v>577</v>
      </c>
    </row>
    <row r="56" customFormat="false" ht="15" hidden="false" customHeight="false" outlineLevel="0" collapsed="false">
      <c r="A56" s="9" t="s">
        <v>676</v>
      </c>
      <c r="B56" s="9" t="s">
        <v>462</v>
      </c>
      <c r="C56" s="9" t="s">
        <v>579</v>
      </c>
      <c r="D56" s="9" t="s">
        <v>580</v>
      </c>
      <c r="E56" s="29" t="n">
        <v>1</v>
      </c>
      <c r="F56" s="9" t="s">
        <v>677</v>
      </c>
      <c r="G56" s="11"/>
      <c r="H56" s="29" t="n">
        <v>0</v>
      </c>
      <c r="I56" s="9" t="s">
        <v>577</v>
      </c>
    </row>
    <row r="57" customFormat="false" ht="15" hidden="false" customHeight="false" outlineLevel="0" collapsed="false">
      <c r="A57" s="9" t="s">
        <v>678</v>
      </c>
      <c r="B57" s="9" t="s">
        <v>462</v>
      </c>
      <c r="C57" s="9" t="s">
        <v>583</v>
      </c>
      <c r="D57" s="9" t="s">
        <v>584</v>
      </c>
      <c r="E57" s="29" t="n">
        <v>1</v>
      </c>
      <c r="F57" s="9" t="s">
        <v>679</v>
      </c>
      <c r="G57" s="11"/>
      <c r="H57" s="29" t="n">
        <v>0</v>
      </c>
      <c r="I57" s="9" t="s">
        <v>577</v>
      </c>
    </row>
    <row r="58" customFormat="false" ht="15" hidden="false" customHeight="false" outlineLevel="0" collapsed="false">
      <c r="A58" s="9" t="s">
        <v>680</v>
      </c>
      <c r="B58" s="9" t="s">
        <v>462</v>
      </c>
      <c r="C58" s="9" t="s">
        <v>587</v>
      </c>
      <c r="D58" s="9" t="s">
        <v>588</v>
      </c>
      <c r="E58" s="29" t="n">
        <v>1</v>
      </c>
      <c r="F58" s="9" t="s">
        <v>681</v>
      </c>
      <c r="G58" s="11"/>
      <c r="H58" s="29" t="n">
        <v>0</v>
      </c>
      <c r="I58" s="9" t="s">
        <v>577</v>
      </c>
    </row>
    <row r="59" customFormat="false" ht="15" hidden="false" customHeight="false" outlineLevel="0" collapsed="false">
      <c r="A59" s="9" t="s">
        <v>682</v>
      </c>
      <c r="B59" s="9" t="s">
        <v>462</v>
      </c>
      <c r="C59" s="9" t="s">
        <v>591</v>
      </c>
      <c r="D59" s="9" t="s">
        <v>592</v>
      </c>
      <c r="E59" s="29" t="n">
        <v>1</v>
      </c>
      <c r="F59" s="9" t="s">
        <v>683</v>
      </c>
      <c r="G59" s="11"/>
      <c r="H59" s="29" t="n">
        <v>0</v>
      </c>
      <c r="I59" s="9" t="s">
        <v>577</v>
      </c>
    </row>
    <row r="60" customFormat="false" ht="15" hidden="false" customHeight="false" outlineLevel="0" collapsed="false">
      <c r="A60" s="9" t="s">
        <v>684</v>
      </c>
      <c r="B60" s="9" t="s">
        <v>462</v>
      </c>
      <c r="C60" s="9" t="s">
        <v>595</v>
      </c>
      <c r="D60" s="9" t="s">
        <v>596</v>
      </c>
      <c r="E60" s="29" t="n">
        <v>1</v>
      </c>
      <c r="F60" s="9" t="s">
        <v>685</v>
      </c>
      <c r="G60" s="11"/>
      <c r="H60" s="29" t="n">
        <v>0</v>
      </c>
      <c r="I60" s="9" t="s">
        <v>577</v>
      </c>
    </row>
    <row r="61" customFormat="false" ht="15" hidden="false" customHeight="false" outlineLevel="0" collapsed="false">
      <c r="A61" s="9" t="s">
        <v>686</v>
      </c>
      <c r="B61" s="9" t="s">
        <v>462</v>
      </c>
      <c r="C61" s="9" t="s">
        <v>599</v>
      </c>
      <c r="D61" s="9" t="s">
        <v>600</v>
      </c>
      <c r="E61" s="29" t="n">
        <v>1</v>
      </c>
      <c r="F61" s="9" t="s">
        <v>687</v>
      </c>
      <c r="G61" s="11"/>
      <c r="H61" s="29" t="n">
        <v>0</v>
      </c>
      <c r="I61" s="9" t="s">
        <v>577</v>
      </c>
    </row>
    <row r="62" customFormat="false" ht="15" hidden="false" customHeight="false" outlineLevel="0" collapsed="false">
      <c r="A62" s="9" t="s">
        <v>688</v>
      </c>
      <c r="B62" s="9" t="s">
        <v>462</v>
      </c>
      <c r="C62" s="9" t="s">
        <v>603</v>
      </c>
      <c r="D62" s="9" t="s">
        <v>604</v>
      </c>
      <c r="E62" s="29" t="n">
        <v>0</v>
      </c>
      <c r="F62" s="9"/>
      <c r="G62" s="11"/>
      <c r="H62" s="29" t="n">
        <v>0</v>
      </c>
      <c r="I62" s="9" t="s">
        <v>57</v>
      </c>
    </row>
    <row r="63" customFormat="false" ht="15" hidden="false" customHeight="false" outlineLevel="0" collapsed="false">
      <c r="A63" s="9" t="s">
        <v>689</v>
      </c>
      <c r="B63" s="9" t="s">
        <v>462</v>
      </c>
      <c r="C63" s="9" t="s">
        <v>606</v>
      </c>
      <c r="D63" s="9" t="s">
        <v>607</v>
      </c>
      <c r="E63" s="29" t="n">
        <v>0</v>
      </c>
      <c r="F63" s="9"/>
      <c r="G63" s="11"/>
      <c r="H63" s="29" t="n">
        <v>0</v>
      </c>
      <c r="I63" s="9" t="s">
        <v>57</v>
      </c>
    </row>
    <row r="64" customFormat="false" ht="15" hidden="false" customHeight="false" outlineLevel="0" collapsed="false">
      <c r="A64" s="9" t="s">
        <v>690</v>
      </c>
      <c r="B64" s="9" t="s">
        <v>462</v>
      </c>
      <c r="C64" s="9" t="s">
        <v>609</v>
      </c>
      <c r="D64" s="9" t="s">
        <v>610</v>
      </c>
      <c r="E64" s="29" t="n">
        <v>0</v>
      </c>
      <c r="F64" s="9"/>
      <c r="G64" s="11"/>
      <c r="H64" s="29" t="n">
        <v>0</v>
      </c>
      <c r="I64" s="9" t="s">
        <v>57</v>
      </c>
    </row>
    <row r="65" customFormat="false" ht="15" hidden="false" customHeight="false" outlineLevel="0" collapsed="false">
      <c r="A65" s="9" t="s">
        <v>691</v>
      </c>
      <c r="B65" s="9" t="s">
        <v>462</v>
      </c>
      <c r="C65" s="9" t="s">
        <v>612</v>
      </c>
      <c r="D65" s="9" t="s">
        <v>613</v>
      </c>
      <c r="E65" s="29" t="n">
        <v>0</v>
      </c>
      <c r="F65" s="9"/>
      <c r="G65" s="11"/>
      <c r="H65" s="29" t="n">
        <v>0</v>
      </c>
      <c r="I65" s="9" t="s">
        <v>57</v>
      </c>
    </row>
    <row r="66" customFormat="false" ht="15" hidden="false" customHeight="false" outlineLevel="0" collapsed="false">
      <c r="A66" s="9" t="s">
        <v>692</v>
      </c>
      <c r="B66" s="9" t="s">
        <v>462</v>
      </c>
      <c r="C66" s="9" t="s">
        <v>615</v>
      </c>
      <c r="D66" s="9" t="s">
        <v>616</v>
      </c>
      <c r="E66" s="29" t="n">
        <v>0</v>
      </c>
      <c r="F66" s="9"/>
      <c r="G66" s="11"/>
      <c r="H66" s="29" t="n">
        <v>0</v>
      </c>
      <c r="I66" s="9" t="s">
        <v>57</v>
      </c>
    </row>
    <row r="67" customFormat="false" ht="15" hidden="false" customHeight="false" outlineLevel="0" collapsed="false">
      <c r="A67" s="9" t="s">
        <v>693</v>
      </c>
      <c r="B67" s="9" t="s">
        <v>467</v>
      </c>
      <c r="C67" s="9" t="s">
        <v>574</v>
      </c>
      <c r="D67" s="9" t="s">
        <v>575</v>
      </c>
      <c r="E67" s="29" t="n">
        <v>1</v>
      </c>
      <c r="F67" s="9" t="s">
        <v>694</v>
      </c>
      <c r="G67" s="11"/>
      <c r="H67" s="29" t="n">
        <v>0</v>
      </c>
      <c r="I67" s="9" t="s">
        <v>577</v>
      </c>
    </row>
    <row r="68" customFormat="false" ht="15" hidden="false" customHeight="false" outlineLevel="0" collapsed="false">
      <c r="A68" s="9" t="s">
        <v>695</v>
      </c>
      <c r="B68" s="9" t="s">
        <v>467</v>
      </c>
      <c r="C68" s="9" t="s">
        <v>579</v>
      </c>
      <c r="D68" s="9" t="s">
        <v>580</v>
      </c>
      <c r="E68" s="29" t="n">
        <v>1</v>
      </c>
      <c r="F68" s="9" t="s">
        <v>696</v>
      </c>
      <c r="G68" s="11"/>
      <c r="H68" s="29" t="n">
        <v>0</v>
      </c>
      <c r="I68" s="9" t="s">
        <v>577</v>
      </c>
    </row>
    <row r="69" customFormat="false" ht="15" hidden="false" customHeight="false" outlineLevel="0" collapsed="false">
      <c r="A69" s="9" t="s">
        <v>697</v>
      </c>
      <c r="B69" s="9" t="s">
        <v>467</v>
      </c>
      <c r="C69" s="9" t="s">
        <v>583</v>
      </c>
      <c r="D69" s="9" t="s">
        <v>584</v>
      </c>
      <c r="E69" s="29" t="n">
        <v>1</v>
      </c>
      <c r="F69" s="9" t="s">
        <v>698</v>
      </c>
      <c r="G69" s="11"/>
      <c r="H69" s="29" t="n">
        <v>0</v>
      </c>
      <c r="I69" s="9" t="s">
        <v>577</v>
      </c>
    </row>
    <row r="70" customFormat="false" ht="15" hidden="false" customHeight="false" outlineLevel="0" collapsed="false">
      <c r="A70" s="9" t="s">
        <v>699</v>
      </c>
      <c r="B70" s="9" t="s">
        <v>467</v>
      </c>
      <c r="C70" s="9" t="s">
        <v>587</v>
      </c>
      <c r="D70" s="9" t="s">
        <v>588</v>
      </c>
      <c r="E70" s="29" t="n">
        <v>1</v>
      </c>
      <c r="F70" s="9" t="s">
        <v>700</v>
      </c>
      <c r="G70" s="11"/>
      <c r="H70" s="29" t="n">
        <v>0</v>
      </c>
      <c r="I70" s="9" t="s">
        <v>577</v>
      </c>
    </row>
    <row r="71" customFormat="false" ht="15" hidden="false" customHeight="false" outlineLevel="0" collapsed="false">
      <c r="A71" s="9" t="s">
        <v>701</v>
      </c>
      <c r="B71" s="9" t="s">
        <v>467</v>
      </c>
      <c r="C71" s="9" t="s">
        <v>591</v>
      </c>
      <c r="D71" s="9" t="s">
        <v>592</v>
      </c>
      <c r="E71" s="29" t="n">
        <v>1</v>
      </c>
      <c r="F71" s="9" t="s">
        <v>702</v>
      </c>
      <c r="G71" s="11"/>
      <c r="H71" s="29" t="n">
        <v>0</v>
      </c>
      <c r="I71" s="9" t="s">
        <v>577</v>
      </c>
    </row>
    <row r="72" customFormat="false" ht="15" hidden="false" customHeight="false" outlineLevel="0" collapsed="false">
      <c r="A72" s="9" t="s">
        <v>703</v>
      </c>
      <c r="B72" s="9" t="s">
        <v>467</v>
      </c>
      <c r="C72" s="9" t="s">
        <v>595</v>
      </c>
      <c r="D72" s="9" t="s">
        <v>596</v>
      </c>
      <c r="E72" s="29" t="n">
        <v>1</v>
      </c>
      <c r="F72" s="9" t="s">
        <v>704</v>
      </c>
      <c r="G72" s="11"/>
      <c r="H72" s="29" t="n">
        <v>0</v>
      </c>
      <c r="I72" s="9" t="s">
        <v>577</v>
      </c>
    </row>
    <row r="73" customFormat="false" ht="15" hidden="false" customHeight="false" outlineLevel="0" collapsed="false">
      <c r="A73" s="9" t="s">
        <v>705</v>
      </c>
      <c r="B73" s="9" t="s">
        <v>467</v>
      </c>
      <c r="C73" s="9" t="s">
        <v>599</v>
      </c>
      <c r="D73" s="9" t="s">
        <v>600</v>
      </c>
      <c r="E73" s="29" t="n">
        <v>1</v>
      </c>
      <c r="F73" s="9" t="s">
        <v>706</v>
      </c>
      <c r="G73" s="11"/>
      <c r="H73" s="29" t="n">
        <v>0</v>
      </c>
      <c r="I73" s="9" t="s">
        <v>577</v>
      </c>
    </row>
    <row r="74" customFormat="false" ht="15" hidden="false" customHeight="false" outlineLevel="0" collapsed="false">
      <c r="A74" s="9" t="s">
        <v>707</v>
      </c>
      <c r="B74" s="9" t="s">
        <v>467</v>
      </c>
      <c r="C74" s="9" t="s">
        <v>603</v>
      </c>
      <c r="D74" s="9" t="s">
        <v>604</v>
      </c>
      <c r="E74" s="29" t="n">
        <v>0</v>
      </c>
      <c r="F74" s="9"/>
      <c r="G74" s="11"/>
      <c r="H74" s="29" t="n">
        <v>0</v>
      </c>
      <c r="I74" s="9" t="s">
        <v>57</v>
      </c>
    </row>
    <row r="75" customFormat="false" ht="15" hidden="false" customHeight="false" outlineLevel="0" collapsed="false">
      <c r="A75" s="9" t="s">
        <v>708</v>
      </c>
      <c r="B75" s="9" t="s">
        <v>467</v>
      </c>
      <c r="C75" s="9" t="s">
        <v>606</v>
      </c>
      <c r="D75" s="9" t="s">
        <v>607</v>
      </c>
      <c r="E75" s="29" t="n">
        <v>0</v>
      </c>
      <c r="F75" s="9"/>
      <c r="G75" s="11"/>
      <c r="H75" s="29" t="n">
        <v>0</v>
      </c>
      <c r="I75" s="9" t="s">
        <v>57</v>
      </c>
    </row>
    <row r="76" customFormat="false" ht="15" hidden="false" customHeight="false" outlineLevel="0" collapsed="false">
      <c r="A76" s="9" t="s">
        <v>709</v>
      </c>
      <c r="B76" s="9" t="s">
        <v>467</v>
      </c>
      <c r="C76" s="9" t="s">
        <v>609</v>
      </c>
      <c r="D76" s="9" t="s">
        <v>610</v>
      </c>
      <c r="E76" s="29" t="n">
        <v>0</v>
      </c>
      <c r="F76" s="9"/>
      <c r="G76" s="11"/>
      <c r="H76" s="29" t="n">
        <v>0</v>
      </c>
      <c r="I76" s="9" t="s">
        <v>57</v>
      </c>
    </row>
    <row r="77" customFormat="false" ht="15" hidden="false" customHeight="false" outlineLevel="0" collapsed="false">
      <c r="A77" s="9" t="s">
        <v>710</v>
      </c>
      <c r="B77" s="9" t="s">
        <v>467</v>
      </c>
      <c r="C77" s="9" t="s">
        <v>612</v>
      </c>
      <c r="D77" s="9" t="s">
        <v>613</v>
      </c>
      <c r="E77" s="29" t="n">
        <v>0</v>
      </c>
      <c r="F77" s="9"/>
      <c r="G77" s="11"/>
      <c r="H77" s="29" t="n">
        <v>0</v>
      </c>
      <c r="I77" s="9" t="s">
        <v>57</v>
      </c>
    </row>
    <row r="78" customFormat="false" ht="15" hidden="false" customHeight="false" outlineLevel="0" collapsed="false">
      <c r="A78" s="9" t="s">
        <v>711</v>
      </c>
      <c r="B78" s="9" t="s">
        <v>467</v>
      </c>
      <c r="C78" s="9" t="s">
        <v>615</v>
      </c>
      <c r="D78" s="9" t="s">
        <v>616</v>
      </c>
      <c r="E78" s="29" t="n">
        <v>0</v>
      </c>
      <c r="F78" s="9"/>
      <c r="G78" s="11"/>
      <c r="H78" s="29" t="n">
        <v>0</v>
      </c>
      <c r="I78" s="9" t="s">
        <v>57</v>
      </c>
    </row>
    <row r="79" customFormat="false" ht="15" hidden="false" customHeight="false" outlineLevel="0" collapsed="false">
      <c r="A79" s="9" t="s">
        <v>712</v>
      </c>
      <c r="B79" s="9" t="s">
        <v>472</v>
      </c>
      <c r="C79" s="9" t="s">
        <v>574</v>
      </c>
      <c r="D79" s="9" t="s">
        <v>575</v>
      </c>
      <c r="E79" s="29" t="n">
        <v>1</v>
      </c>
      <c r="F79" s="9" t="s">
        <v>713</v>
      </c>
      <c r="G79" s="11"/>
      <c r="H79" s="29" t="n">
        <v>0</v>
      </c>
      <c r="I79" s="9" t="s">
        <v>577</v>
      </c>
    </row>
    <row r="80" customFormat="false" ht="15" hidden="false" customHeight="false" outlineLevel="0" collapsed="false">
      <c r="A80" s="9" t="s">
        <v>714</v>
      </c>
      <c r="B80" s="9" t="s">
        <v>472</v>
      </c>
      <c r="C80" s="9" t="s">
        <v>579</v>
      </c>
      <c r="D80" s="9" t="s">
        <v>580</v>
      </c>
      <c r="E80" s="29" t="n">
        <v>1</v>
      </c>
      <c r="F80" s="9" t="s">
        <v>715</v>
      </c>
      <c r="G80" s="11"/>
      <c r="H80" s="29" t="n">
        <v>0</v>
      </c>
      <c r="I80" s="9" t="s">
        <v>577</v>
      </c>
    </row>
    <row r="81" customFormat="false" ht="15" hidden="false" customHeight="false" outlineLevel="0" collapsed="false">
      <c r="A81" s="9" t="s">
        <v>716</v>
      </c>
      <c r="B81" s="9" t="s">
        <v>472</v>
      </c>
      <c r="C81" s="9" t="s">
        <v>583</v>
      </c>
      <c r="D81" s="9" t="s">
        <v>584</v>
      </c>
      <c r="E81" s="29" t="n">
        <v>1</v>
      </c>
      <c r="F81" s="9" t="s">
        <v>717</v>
      </c>
      <c r="G81" s="11"/>
      <c r="H81" s="29" t="n">
        <v>0</v>
      </c>
      <c r="I81" s="9" t="s">
        <v>577</v>
      </c>
    </row>
    <row r="82" customFormat="false" ht="15" hidden="false" customHeight="false" outlineLevel="0" collapsed="false">
      <c r="A82" s="9" t="s">
        <v>718</v>
      </c>
      <c r="B82" s="9" t="s">
        <v>472</v>
      </c>
      <c r="C82" s="9" t="s">
        <v>587</v>
      </c>
      <c r="D82" s="9" t="s">
        <v>588</v>
      </c>
      <c r="E82" s="29" t="n">
        <v>1</v>
      </c>
      <c r="F82" s="9" t="s">
        <v>719</v>
      </c>
      <c r="G82" s="11"/>
      <c r="H82" s="29" t="n">
        <v>0</v>
      </c>
      <c r="I82" s="9" t="s">
        <v>577</v>
      </c>
    </row>
    <row r="83" customFormat="false" ht="15" hidden="false" customHeight="false" outlineLevel="0" collapsed="false">
      <c r="A83" s="9" t="s">
        <v>720</v>
      </c>
      <c r="B83" s="9" t="s">
        <v>472</v>
      </c>
      <c r="C83" s="9" t="s">
        <v>591</v>
      </c>
      <c r="D83" s="9" t="s">
        <v>592</v>
      </c>
      <c r="E83" s="29" t="n">
        <v>1</v>
      </c>
      <c r="F83" s="9" t="s">
        <v>721</v>
      </c>
      <c r="G83" s="11"/>
      <c r="H83" s="29" t="n">
        <v>0</v>
      </c>
      <c r="I83" s="9" t="s">
        <v>577</v>
      </c>
    </row>
    <row r="84" customFormat="false" ht="15" hidden="false" customHeight="false" outlineLevel="0" collapsed="false">
      <c r="A84" s="9" t="s">
        <v>722</v>
      </c>
      <c r="B84" s="9" t="s">
        <v>472</v>
      </c>
      <c r="C84" s="9" t="s">
        <v>595</v>
      </c>
      <c r="D84" s="9" t="s">
        <v>596</v>
      </c>
      <c r="E84" s="29" t="n">
        <v>1</v>
      </c>
      <c r="F84" s="9" t="s">
        <v>723</v>
      </c>
      <c r="G84" s="11"/>
      <c r="H84" s="29" t="n">
        <v>0</v>
      </c>
      <c r="I84" s="9" t="s">
        <v>577</v>
      </c>
    </row>
    <row r="85" customFormat="false" ht="15" hidden="false" customHeight="false" outlineLevel="0" collapsed="false">
      <c r="A85" s="9" t="s">
        <v>724</v>
      </c>
      <c r="B85" s="9" t="s">
        <v>472</v>
      </c>
      <c r="C85" s="9" t="s">
        <v>599</v>
      </c>
      <c r="D85" s="9" t="s">
        <v>600</v>
      </c>
      <c r="E85" s="29" t="n">
        <v>1</v>
      </c>
      <c r="F85" s="9" t="s">
        <v>725</v>
      </c>
      <c r="G85" s="11"/>
      <c r="H85" s="29" t="n">
        <v>0</v>
      </c>
      <c r="I85" s="9" t="s">
        <v>577</v>
      </c>
    </row>
    <row r="86" customFormat="false" ht="15" hidden="false" customHeight="false" outlineLevel="0" collapsed="false">
      <c r="A86" s="9" t="s">
        <v>726</v>
      </c>
      <c r="B86" s="9" t="s">
        <v>472</v>
      </c>
      <c r="C86" s="9" t="s">
        <v>603</v>
      </c>
      <c r="D86" s="9" t="s">
        <v>604</v>
      </c>
      <c r="E86" s="29" t="n">
        <v>0</v>
      </c>
      <c r="F86" s="9"/>
      <c r="G86" s="11"/>
      <c r="H86" s="29" t="n">
        <v>0</v>
      </c>
      <c r="I86" s="9" t="s">
        <v>57</v>
      </c>
    </row>
    <row r="87" customFormat="false" ht="15" hidden="false" customHeight="false" outlineLevel="0" collapsed="false">
      <c r="A87" s="9" t="s">
        <v>727</v>
      </c>
      <c r="B87" s="9" t="s">
        <v>472</v>
      </c>
      <c r="C87" s="9" t="s">
        <v>606</v>
      </c>
      <c r="D87" s="9" t="s">
        <v>607</v>
      </c>
      <c r="E87" s="29" t="n">
        <v>0</v>
      </c>
      <c r="F87" s="9"/>
      <c r="G87" s="11"/>
      <c r="H87" s="29" t="n">
        <v>0</v>
      </c>
      <c r="I87" s="9" t="s">
        <v>57</v>
      </c>
    </row>
    <row r="88" customFormat="false" ht="15" hidden="false" customHeight="false" outlineLevel="0" collapsed="false">
      <c r="A88" s="9" t="s">
        <v>728</v>
      </c>
      <c r="B88" s="9" t="s">
        <v>472</v>
      </c>
      <c r="C88" s="9" t="s">
        <v>609</v>
      </c>
      <c r="D88" s="9" t="s">
        <v>610</v>
      </c>
      <c r="E88" s="29" t="n">
        <v>0</v>
      </c>
      <c r="F88" s="9"/>
      <c r="G88" s="11"/>
      <c r="H88" s="29" t="n">
        <v>0</v>
      </c>
      <c r="I88" s="9" t="s">
        <v>57</v>
      </c>
    </row>
    <row r="89" customFormat="false" ht="15" hidden="false" customHeight="false" outlineLevel="0" collapsed="false">
      <c r="A89" s="9" t="s">
        <v>729</v>
      </c>
      <c r="B89" s="9" t="s">
        <v>472</v>
      </c>
      <c r="C89" s="9" t="s">
        <v>612</v>
      </c>
      <c r="D89" s="9" t="s">
        <v>613</v>
      </c>
      <c r="E89" s="29" t="n">
        <v>0</v>
      </c>
      <c r="F89" s="9"/>
      <c r="G89" s="11"/>
      <c r="H89" s="29" t="n">
        <v>0</v>
      </c>
      <c r="I89" s="9" t="s">
        <v>57</v>
      </c>
    </row>
    <row r="90" customFormat="false" ht="15" hidden="false" customHeight="false" outlineLevel="0" collapsed="false">
      <c r="A90" s="9" t="s">
        <v>730</v>
      </c>
      <c r="B90" s="9" t="s">
        <v>472</v>
      </c>
      <c r="C90" s="9" t="s">
        <v>615</v>
      </c>
      <c r="D90" s="9" t="s">
        <v>616</v>
      </c>
      <c r="E90" s="29" t="n">
        <v>0</v>
      </c>
      <c r="F90" s="9"/>
      <c r="G90" s="11"/>
      <c r="H90" s="29" t="n">
        <v>0</v>
      </c>
      <c r="I90" s="9" t="s">
        <v>57</v>
      </c>
    </row>
    <row r="91" customFormat="false" ht="15" hidden="false" customHeight="false" outlineLevel="0" collapsed="false">
      <c r="A91" s="9" t="s">
        <v>731</v>
      </c>
      <c r="B91" s="9" t="s">
        <v>477</v>
      </c>
      <c r="C91" s="9" t="s">
        <v>574</v>
      </c>
      <c r="D91" s="9" t="s">
        <v>575</v>
      </c>
      <c r="E91" s="29" t="n">
        <v>1</v>
      </c>
      <c r="F91" s="9" t="s">
        <v>732</v>
      </c>
      <c r="G91" s="11"/>
      <c r="H91" s="29" t="n">
        <v>0</v>
      </c>
      <c r="I91" s="9" t="s">
        <v>577</v>
      </c>
    </row>
    <row r="92" customFormat="false" ht="15" hidden="false" customHeight="false" outlineLevel="0" collapsed="false">
      <c r="A92" s="9" t="s">
        <v>733</v>
      </c>
      <c r="B92" s="9" t="s">
        <v>477</v>
      </c>
      <c r="C92" s="9" t="s">
        <v>579</v>
      </c>
      <c r="D92" s="9" t="s">
        <v>580</v>
      </c>
      <c r="E92" s="29" t="n">
        <v>1</v>
      </c>
      <c r="F92" s="9" t="s">
        <v>734</v>
      </c>
      <c r="G92" s="11"/>
      <c r="H92" s="29" t="n">
        <v>0</v>
      </c>
      <c r="I92" s="9" t="s">
        <v>577</v>
      </c>
    </row>
    <row r="93" customFormat="false" ht="15" hidden="false" customHeight="false" outlineLevel="0" collapsed="false">
      <c r="A93" s="9" t="s">
        <v>735</v>
      </c>
      <c r="B93" s="9" t="s">
        <v>477</v>
      </c>
      <c r="C93" s="9" t="s">
        <v>583</v>
      </c>
      <c r="D93" s="9" t="s">
        <v>584</v>
      </c>
      <c r="E93" s="29" t="n">
        <v>1</v>
      </c>
      <c r="F93" s="9" t="s">
        <v>736</v>
      </c>
      <c r="G93" s="11"/>
      <c r="H93" s="29" t="n">
        <v>0</v>
      </c>
      <c r="I93" s="9" t="s">
        <v>577</v>
      </c>
    </row>
    <row r="94" customFormat="false" ht="15" hidden="false" customHeight="false" outlineLevel="0" collapsed="false">
      <c r="A94" s="9" t="s">
        <v>737</v>
      </c>
      <c r="B94" s="9" t="s">
        <v>477</v>
      </c>
      <c r="C94" s="9" t="s">
        <v>587</v>
      </c>
      <c r="D94" s="9" t="s">
        <v>588</v>
      </c>
      <c r="E94" s="29" t="n">
        <v>1</v>
      </c>
      <c r="F94" s="9" t="s">
        <v>738</v>
      </c>
      <c r="G94" s="11"/>
      <c r="H94" s="29" t="n">
        <v>0</v>
      </c>
      <c r="I94" s="9" t="s">
        <v>577</v>
      </c>
    </row>
    <row r="95" customFormat="false" ht="15" hidden="false" customHeight="false" outlineLevel="0" collapsed="false">
      <c r="A95" s="9" t="s">
        <v>739</v>
      </c>
      <c r="B95" s="9" t="s">
        <v>477</v>
      </c>
      <c r="C95" s="9" t="s">
        <v>591</v>
      </c>
      <c r="D95" s="9" t="s">
        <v>592</v>
      </c>
      <c r="E95" s="29" t="n">
        <v>1</v>
      </c>
      <c r="F95" s="9" t="s">
        <v>740</v>
      </c>
      <c r="G95" s="11"/>
      <c r="H95" s="29" t="n">
        <v>0</v>
      </c>
      <c r="I95" s="9" t="s">
        <v>577</v>
      </c>
    </row>
    <row r="96" customFormat="false" ht="15" hidden="false" customHeight="false" outlineLevel="0" collapsed="false">
      <c r="A96" s="9" t="s">
        <v>741</v>
      </c>
      <c r="B96" s="9" t="s">
        <v>477</v>
      </c>
      <c r="C96" s="9" t="s">
        <v>595</v>
      </c>
      <c r="D96" s="9" t="s">
        <v>596</v>
      </c>
      <c r="E96" s="29" t="n">
        <v>1</v>
      </c>
      <c r="F96" s="9" t="s">
        <v>742</v>
      </c>
      <c r="G96" s="11"/>
      <c r="H96" s="29" t="n">
        <v>0</v>
      </c>
      <c r="I96" s="9" t="s">
        <v>577</v>
      </c>
    </row>
    <row r="97" customFormat="false" ht="15" hidden="false" customHeight="false" outlineLevel="0" collapsed="false">
      <c r="A97" s="9" t="s">
        <v>743</v>
      </c>
      <c r="B97" s="9" t="s">
        <v>477</v>
      </c>
      <c r="C97" s="9" t="s">
        <v>599</v>
      </c>
      <c r="D97" s="9" t="s">
        <v>600</v>
      </c>
      <c r="E97" s="29" t="n">
        <v>1</v>
      </c>
      <c r="F97" s="9" t="s">
        <v>744</v>
      </c>
      <c r="G97" s="11"/>
      <c r="H97" s="29" t="n">
        <v>0</v>
      </c>
      <c r="I97" s="9" t="s">
        <v>577</v>
      </c>
    </row>
    <row r="98" customFormat="false" ht="15" hidden="false" customHeight="false" outlineLevel="0" collapsed="false">
      <c r="A98" s="9" t="s">
        <v>745</v>
      </c>
      <c r="B98" s="9" t="s">
        <v>477</v>
      </c>
      <c r="C98" s="9" t="s">
        <v>603</v>
      </c>
      <c r="D98" s="9" t="s">
        <v>604</v>
      </c>
      <c r="E98" s="29" t="n">
        <v>0</v>
      </c>
      <c r="F98" s="9"/>
      <c r="G98" s="11"/>
      <c r="H98" s="29" t="n">
        <v>0</v>
      </c>
      <c r="I98" s="9" t="s">
        <v>57</v>
      </c>
    </row>
    <row r="99" customFormat="false" ht="15" hidden="false" customHeight="false" outlineLevel="0" collapsed="false">
      <c r="A99" s="9" t="s">
        <v>746</v>
      </c>
      <c r="B99" s="9" t="s">
        <v>477</v>
      </c>
      <c r="C99" s="9" t="s">
        <v>606</v>
      </c>
      <c r="D99" s="9" t="s">
        <v>607</v>
      </c>
      <c r="E99" s="29" t="n">
        <v>0</v>
      </c>
      <c r="F99" s="9"/>
      <c r="G99" s="11"/>
      <c r="H99" s="29" t="n">
        <v>0</v>
      </c>
      <c r="I99" s="9" t="s">
        <v>57</v>
      </c>
    </row>
    <row r="100" customFormat="false" ht="15" hidden="false" customHeight="false" outlineLevel="0" collapsed="false">
      <c r="A100" s="9" t="s">
        <v>747</v>
      </c>
      <c r="B100" s="9" t="s">
        <v>477</v>
      </c>
      <c r="C100" s="9" t="s">
        <v>609</v>
      </c>
      <c r="D100" s="9" t="s">
        <v>610</v>
      </c>
      <c r="E100" s="29" t="n">
        <v>0</v>
      </c>
      <c r="F100" s="9"/>
      <c r="G100" s="11"/>
      <c r="H100" s="29" t="n">
        <v>0</v>
      </c>
      <c r="I100" s="9" t="s">
        <v>57</v>
      </c>
    </row>
    <row r="101" customFormat="false" ht="15" hidden="false" customHeight="false" outlineLevel="0" collapsed="false">
      <c r="A101" s="9" t="s">
        <v>748</v>
      </c>
      <c r="B101" s="9" t="s">
        <v>477</v>
      </c>
      <c r="C101" s="9" t="s">
        <v>612</v>
      </c>
      <c r="D101" s="9" t="s">
        <v>613</v>
      </c>
      <c r="E101" s="29" t="n">
        <v>0</v>
      </c>
      <c r="F101" s="9"/>
      <c r="G101" s="11"/>
      <c r="H101" s="29" t="n">
        <v>0</v>
      </c>
      <c r="I101" s="9" t="s">
        <v>57</v>
      </c>
    </row>
    <row r="102" customFormat="false" ht="15" hidden="false" customHeight="false" outlineLevel="0" collapsed="false">
      <c r="A102" s="9" t="s">
        <v>749</v>
      </c>
      <c r="B102" s="9" t="s">
        <v>477</v>
      </c>
      <c r="C102" s="9" t="s">
        <v>615</v>
      </c>
      <c r="D102" s="9" t="s">
        <v>616</v>
      </c>
      <c r="E102" s="29" t="n">
        <v>0</v>
      </c>
      <c r="F102" s="9"/>
      <c r="G102" s="11"/>
      <c r="H102" s="29" t="n">
        <v>0</v>
      </c>
      <c r="I102" s="9" t="s">
        <v>57</v>
      </c>
    </row>
    <row r="103" customFormat="false" ht="15" hidden="false" customHeight="false" outlineLevel="0" collapsed="false">
      <c r="A103" s="9" t="s">
        <v>750</v>
      </c>
      <c r="B103" s="9" t="s">
        <v>482</v>
      </c>
      <c r="C103" s="9" t="s">
        <v>574</v>
      </c>
      <c r="D103" s="9" t="s">
        <v>575</v>
      </c>
      <c r="E103" s="29" t="n">
        <v>1</v>
      </c>
      <c r="F103" s="9" t="s">
        <v>751</v>
      </c>
      <c r="G103" s="11"/>
      <c r="H103" s="29" t="n">
        <v>0</v>
      </c>
      <c r="I103" s="9" t="s">
        <v>577</v>
      </c>
    </row>
    <row r="104" customFormat="false" ht="15" hidden="false" customHeight="false" outlineLevel="0" collapsed="false">
      <c r="A104" s="9" t="s">
        <v>752</v>
      </c>
      <c r="B104" s="9" t="s">
        <v>482</v>
      </c>
      <c r="C104" s="9" t="s">
        <v>579</v>
      </c>
      <c r="D104" s="9" t="s">
        <v>580</v>
      </c>
      <c r="E104" s="29" t="n">
        <v>1</v>
      </c>
      <c r="F104" s="9" t="s">
        <v>753</v>
      </c>
      <c r="G104" s="11"/>
      <c r="H104" s="29" t="n">
        <v>0</v>
      </c>
      <c r="I104" s="9" t="s">
        <v>577</v>
      </c>
    </row>
    <row r="105" customFormat="false" ht="15" hidden="false" customHeight="false" outlineLevel="0" collapsed="false">
      <c r="A105" s="9" t="s">
        <v>754</v>
      </c>
      <c r="B105" s="9" t="s">
        <v>482</v>
      </c>
      <c r="C105" s="9" t="s">
        <v>583</v>
      </c>
      <c r="D105" s="9" t="s">
        <v>584</v>
      </c>
      <c r="E105" s="29" t="n">
        <v>1</v>
      </c>
      <c r="F105" s="9" t="s">
        <v>755</v>
      </c>
      <c r="G105" s="11"/>
      <c r="H105" s="29" t="n">
        <v>0</v>
      </c>
      <c r="I105" s="9" t="s">
        <v>577</v>
      </c>
    </row>
    <row r="106" customFormat="false" ht="15" hidden="false" customHeight="false" outlineLevel="0" collapsed="false">
      <c r="A106" s="9" t="s">
        <v>756</v>
      </c>
      <c r="B106" s="9" t="s">
        <v>482</v>
      </c>
      <c r="C106" s="9" t="s">
        <v>587</v>
      </c>
      <c r="D106" s="9" t="s">
        <v>588</v>
      </c>
      <c r="E106" s="29" t="n">
        <v>1</v>
      </c>
      <c r="F106" s="9" t="s">
        <v>757</v>
      </c>
      <c r="G106" s="11"/>
      <c r="H106" s="29" t="n">
        <v>0</v>
      </c>
      <c r="I106" s="9" t="s">
        <v>577</v>
      </c>
    </row>
    <row r="107" customFormat="false" ht="15" hidden="false" customHeight="false" outlineLevel="0" collapsed="false">
      <c r="A107" s="9" t="s">
        <v>758</v>
      </c>
      <c r="B107" s="9" t="s">
        <v>482</v>
      </c>
      <c r="C107" s="9" t="s">
        <v>591</v>
      </c>
      <c r="D107" s="9" t="s">
        <v>592</v>
      </c>
      <c r="E107" s="29" t="n">
        <v>1</v>
      </c>
      <c r="F107" s="9" t="s">
        <v>759</v>
      </c>
      <c r="G107" s="11"/>
      <c r="H107" s="29" t="n">
        <v>0</v>
      </c>
      <c r="I107" s="9" t="s">
        <v>577</v>
      </c>
    </row>
    <row r="108" customFormat="false" ht="15" hidden="false" customHeight="false" outlineLevel="0" collapsed="false">
      <c r="A108" s="9" t="s">
        <v>760</v>
      </c>
      <c r="B108" s="9" t="s">
        <v>482</v>
      </c>
      <c r="C108" s="9" t="s">
        <v>595</v>
      </c>
      <c r="D108" s="9" t="s">
        <v>596</v>
      </c>
      <c r="E108" s="29" t="n">
        <v>1</v>
      </c>
      <c r="F108" s="9" t="s">
        <v>761</v>
      </c>
      <c r="G108" s="11"/>
      <c r="H108" s="29" t="n">
        <v>0</v>
      </c>
      <c r="I108" s="9" t="s">
        <v>577</v>
      </c>
    </row>
    <row r="109" customFormat="false" ht="15" hidden="false" customHeight="false" outlineLevel="0" collapsed="false">
      <c r="A109" s="9" t="s">
        <v>762</v>
      </c>
      <c r="B109" s="9" t="s">
        <v>482</v>
      </c>
      <c r="C109" s="9" t="s">
        <v>599</v>
      </c>
      <c r="D109" s="9" t="s">
        <v>600</v>
      </c>
      <c r="E109" s="29" t="n">
        <v>1</v>
      </c>
      <c r="F109" s="9" t="s">
        <v>763</v>
      </c>
      <c r="G109" s="11"/>
      <c r="H109" s="29" t="n">
        <v>0</v>
      </c>
      <c r="I109" s="9" t="s">
        <v>577</v>
      </c>
    </row>
    <row r="110" customFormat="false" ht="15" hidden="false" customHeight="false" outlineLevel="0" collapsed="false">
      <c r="A110" s="9" t="s">
        <v>764</v>
      </c>
      <c r="B110" s="9" t="s">
        <v>482</v>
      </c>
      <c r="C110" s="9" t="s">
        <v>603</v>
      </c>
      <c r="D110" s="9" t="s">
        <v>604</v>
      </c>
      <c r="E110" s="29" t="n">
        <v>0</v>
      </c>
      <c r="F110" s="9"/>
      <c r="G110" s="11"/>
      <c r="H110" s="29" t="n">
        <v>0</v>
      </c>
      <c r="I110" s="9" t="s">
        <v>57</v>
      </c>
    </row>
    <row r="111" customFormat="false" ht="15" hidden="false" customHeight="false" outlineLevel="0" collapsed="false">
      <c r="A111" s="9" t="s">
        <v>765</v>
      </c>
      <c r="B111" s="9" t="s">
        <v>482</v>
      </c>
      <c r="C111" s="9" t="s">
        <v>606</v>
      </c>
      <c r="D111" s="9" t="s">
        <v>607</v>
      </c>
      <c r="E111" s="29" t="n">
        <v>0</v>
      </c>
      <c r="F111" s="9"/>
      <c r="G111" s="11"/>
      <c r="H111" s="29" t="n">
        <v>0</v>
      </c>
      <c r="I111" s="9" t="s">
        <v>57</v>
      </c>
    </row>
    <row r="112" customFormat="false" ht="15" hidden="false" customHeight="false" outlineLevel="0" collapsed="false">
      <c r="A112" s="9" t="s">
        <v>766</v>
      </c>
      <c r="B112" s="9" t="s">
        <v>482</v>
      </c>
      <c r="C112" s="9" t="s">
        <v>609</v>
      </c>
      <c r="D112" s="9" t="s">
        <v>610</v>
      </c>
      <c r="E112" s="29" t="n">
        <v>0</v>
      </c>
      <c r="F112" s="9"/>
      <c r="G112" s="11"/>
      <c r="H112" s="29" t="n">
        <v>0</v>
      </c>
      <c r="I112" s="9" t="s">
        <v>57</v>
      </c>
    </row>
    <row r="113" customFormat="false" ht="15" hidden="false" customHeight="false" outlineLevel="0" collapsed="false">
      <c r="A113" s="9" t="s">
        <v>767</v>
      </c>
      <c r="B113" s="9" t="s">
        <v>482</v>
      </c>
      <c r="C113" s="9" t="s">
        <v>612</v>
      </c>
      <c r="D113" s="9" t="s">
        <v>613</v>
      </c>
      <c r="E113" s="29" t="n">
        <v>0</v>
      </c>
      <c r="F113" s="9"/>
      <c r="G113" s="11"/>
      <c r="H113" s="29" t="n">
        <v>0</v>
      </c>
      <c r="I113" s="9" t="s">
        <v>57</v>
      </c>
    </row>
    <row r="114" customFormat="false" ht="15" hidden="false" customHeight="false" outlineLevel="0" collapsed="false">
      <c r="A114" s="9" t="s">
        <v>768</v>
      </c>
      <c r="B114" s="9" t="s">
        <v>482</v>
      </c>
      <c r="C114" s="9" t="s">
        <v>615</v>
      </c>
      <c r="D114" s="9" t="s">
        <v>616</v>
      </c>
      <c r="E114" s="29" t="n">
        <v>0</v>
      </c>
      <c r="F114" s="9"/>
      <c r="G114" s="11"/>
      <c r="H114" s="29" t="n">
        <v>0</v>
      </c>
      <c r="I114" s="9" t="s">
        <v>57</v>
      </c>
    </row>
    <row r="115" customFormat="false" ht="15" hidden="false" customHeight="false" outlineLevel="0" collapsed="false">
      <c r="A115" s="9" t="s">
        <v>769</v>
      </c>
      <c r="B115" s="9" t="s">
        <v>487</v>
      </c>
      <c r="C115" s="9" t="s">
        <v>574</v>
      </c>
      <c r="D115" s="9" t="s">
        <v>575</v>
      </c>
      <c r="E115" s="29" t="n">
        <v>1</v>
      </c>
      <c r="F115" s="9" t="s">
        <v>770</v>
      </c>
      <c r="G115" s="11"/>
      <c r="H115" s="29" t="n">
        <v>0</v>
      </c>
      <c r="I115" s="9" t="s">
        <v>577</v>
      </c>
    </row>
    <row r="116" customFormat="false" ht="15" hidden="false" customHeight="false" outlineLevel="0" collapsed="false">
      <c r="A116" s="9" t="s">
        <v>771</v>
      </c>
      <c r="B116" s="9" t="s">
        <v>487</v>
      </c>
      <c r="C116" s="9" t="s">
        <v>579</v>
      </c>
      <c r="D116" s="9" t="s">
        <v>580</v>
      </c>
      <c r="E116" s="29" t="n">
        <v>1</v>
      </c>
      <c r="F116" s="9" t="s">
        <v>772</v>
      </c>
      <c r="G116" s="11"/>
      <c r="H116" s="29" t="n">
        <v>0</v>
      </c>
      <c r="I116" s="9" t="s">
        <v>577</v>
      </c>
    </row>
    <row r="117" customFormat="false" ht="15" hidden="false" customHeight="false" outlineLevel="0" collapsed="false">
      <c r="A117" s="9" t="s">
        <v>773</v>
      </c>
      <c r="B117" s="9" t="s">
        <v>487</v>
      </c>
      <c r="C117" s="9" t="s">
        <v>583</v>
      </c>
      <c r="D117" s="9" t="s">
        <v>584</v>
      </c>
      <c r="E117" s="29" t="n">
        <v>1</v>
      </c>
      <c r="F117" s="9" t="s">
        <v>774</v>
      </c>
      <c r="G117" s="11"/>
      <c r="H117" s="29" t="n">
        <v>0</v>
      </c>
      <c r="I117" s="9" t="s">
        <v>577</v>
      </c>
    </row>
    <row r="118" customFormat="false" ht="15" hidden="false" customHeight="false" outlineLevel="0" collapsed="false">
      <c r="A118" s="9" t="s">
        <v>775</v>
      </c>
      <c r="B118" s="9" t="s">
        <v>487</v>
      </c>
      <c r="C118" s="9" t="s">
        <v>587</v>
      </c>
      <c r="D118" s="9" t="s">
        <v>588</v>
      </c>
      <c r="E118" s="29" t="n">
        <v>1</v>
      </c>
      <c r="F118" s="9" t="s">
        <v>776</v>
      </c>
      <c r="G118" s="11"/>
      <c r="H118" s="29" t="n">
        <v>0</v>
      </c>
      <c r="I118" s="9" t="s">
        <v>577</v>
      </c>
    </row>
    <row r="119" customFormat="false" ht="15" hidden="false" customHeight="false" outlineLevel="0" collapsed="false">
      <c r="A119" s="9" t="s">
        <v>777</v>
      </c>
      <c r="B119" s="9" t="s">
        <v>487</v>
      </c>
      <c r="C119" s="9" t="s">
        <v>591</v>
      </c>
      <c r="D119" s="9" t="s">
        <v>592</v>
      </c>
      <c r="E119" s="29" t="n">
        <v>1</v>
      </c>
      <c r="F119" s="9" t="s">
        <v>778</v>
      </c>
      <c r="G119" s="11"/>
      <c r="H119" s="29" t="n">
        <v>0</v>
      </c>
      <c r="I119" s="9" t="s">
        <v>577</v>
      </c>
    </row>
    <row r="120" customFormat="false" ht="15" hidden="false" customHeight="false" outlineLevel="0" collapsed="false">
      <c r="A120" s="9" t="s">
        <v>779</v>
      </c>
      <c r="B120" s="9" t="s">
        <v>487</v>
      </c>
      <c r="C120" s="9" t="s">
        <v>595</v>
      </c>
      <c r="D120" s="9" t="s">
        <v>596</v>
      </c>
      <c r="E120" s="29" t="n">
        <v>1</v>
      </c>
      <c r="F120" s="9" t="s">
        <v>780</v>
      </c>
      <c r="G120" s="11"/>
      <c r="H120" s="29" t="n">
        <v>0</v>
      </c>
      <c r="I120" s="9" t="s">
        <v>577</v>
      </c>
    </row>
    <row r="121" customFormat="false" ht="15" hidden="false" customHeight="false" outlineLevel="0" collapsed="false">
      <c r="A121" s="9" t="s">
        <v>781</v>
      </c>
      <c r="B121" s="9" t="s">
        <v>487</v>
      </c>
      <c r="C121" s="9" t="s">
        <v>599</v>
      </c>
      <c r="D121" s="9" t="s">
        <v>600</v>
      </c>
      <c r="E121" s="29" t="n">
        <v>1</v>
      </c>
      <c r="F121" s="9" t="s">
        <v>782</v>
      </c>
      <c r="G121" s="11"/>
      <c r="H121" s="29" t="n">
        <v>0</v>
      </c>
      <c r="I121" s="9" t="s">
        <v>577</v>
      </c>
    </row>
    <row r="122" customFormat="false" ht="15" hidden="false" customHeight="false" outlineLevel="0" collapsed="false">
      <c r="A122" s="9" t="s">
        <v>783</v>
      </c>
      <c r="B122" s="9" t="s">
        <v>487</v>
      </c>
      <c r="C122" s="9" t="s">
        <v>603</v>
      </c>
      <c r="D122" s="9" t="s">
        <v>604</v>
      </c>
      <c r="E122" s="29" t="n">
        <v>0</v>
      </c>
      <c r="F122" s="9"/>
      <c r="G122" s="11"/>
      <c r="H122" s="29" t="n">
        <v>0</v>
      </c>
      <c r="I122" s="9" t="s">
        <v>57</v>
      </c>
    </row>
    <row r="123" customFormat="false" ht="15" hidden="false" customHeight="false" outlineLevel="0" collapsed="false">
      <c r="A123" s="9" t="s">
        <v>784</v>
      </c>
      <c r="B123" s="9" t="s">
        <v>487</v>
      </c>
      <c r="C123" s="9" t="s">
        <v>606</v>
      </c>
      <c r="D123" s="9" t="s">
        <v>607</v>
      </c>
      <c r="E123" s="29" t="n">
        <v>0</v>
      </c>
      <c r="F123" s="9"/>
      <c r="G123" s="11"/>
      <c r="H123" s="29" t="n">
        <v>0</v>
      </c>
      <c r="I123" s="9" t="s">
        <v>57</v>
      </c>
    </row>
    <row r="124" customFormat="false" ht="15" hidden="false" customHeight="false" outlineLevel="0" collapsed="false">
      <c r="A124" s="9" t="s">
        <v>785</v>
      </c>
      <c r="B124" s="9" t="s">
        <v>487</v>
      </c>
      <c r="C124" s="9" t="s">
        <v>609</v>
      </c>
      <c r="D124" s="9" t="s">
        <v>610</v>
      </c>
      <c r="E124" s="29" t="n">
        <v>0</v>
      </c>
      <c r="F124" s="9"/>
      <c r="G124" s="11"/>
      <c r="H124" s="29" t="n">
        <v>0</v>
      </c>
      <c r="I124" s="9" t="s">
        <v>57</v>
      </c>
    </row>
    <row r="125" customFormat="false" ht="15" hidden="false" customHeight="false" outlineLevel="0" collapsed="false">
      <c r="A125" s="9" t="s">
        <v>786</v>
      </c>
      <c r="B125" s="9" t="s">
        <v>487</v>
      </c>
      <c r="C125" s="9" t="s">
        <v>612</v>
      </c>
      <c r="D125" s="9" t="s">
        <v>613</v>
      </c>
      <c r="E125" s="29" t="n">
        <v>0</v>
      </c>
      <c r="F125" s="9"/>
      <c r="G125" s="11"/>
      <c r="H125" s="29" t="n">
        <v>0</v>
      </c>
      <c r="I125" s="9" t="s">
        <v>57</v>
      </c>
    </row>
    <row r="126" customFormat="false" ht="15" hidden="false" customHeight="false" outlineLevel="0" collapsed="false">
      <c r="A126" s="9" t="s">
        <v>787</v>
      </c>
      <c r="B126" s="9" t="s">
        <v>487</v>
      </c>
      <c r="C126" s="9" t="s">
        <v>615</v>
      </c>
      <c r="D126" s="9" t="s">
        <v>616</v>
      </c>
      <c r="E126" s="29" t="n">
        <v>0</v>
      </c>
      <c r="F126" s="9"/>
      <c r="G126" s="11"/>
      <c r="H126" s="29" t="n">
        <v>0</v>
      </c>
      <c r="I126" s="9" t="s">
        <v>57</v>
      </c>
    </row>
    <row r="127" customFormat="false" ht="15" hidden="false" customHeight="false" outlineLevel="0" collapsed="false">
      <c r="A127" s="9" t="s">
        <v>788</v>
      </c>
      <c r="B127" s="9" t="s">
        <v>492</v>
      </c>
      <c r="C127" s="9" t="s">
        <v>574</v>
      </c>
      <c r="D127" s="9" t="s">
        <v>575</v>
      </c>
      <c r="E127" s="29" t="n">
        <v>1</v>
      </c>
      <c r="F127" s="9" t="s">
        <v>789</v>
      </c>
      <c r="G127" s="11"/>
      <c r="H127" s="29" t="n">
        <v>0</v>
      </c>
      <c r="I127" s="9" t="s">
        <v>577</v>
      </c>
    </row>
    <row r="128" customFormat="false" ht="15" hidden="false" customHeight="false" outlineLevel="0" collapsed="false">
      <c r="A128" s="9" t="s">
        <v>790</v>
      </c>
      <c r="B128" s="9" t="s">
        <v>492</v>
      </c>
      <c r="C128" s="9" t="s">
        <v>579</v>
      </c>
      <c r="D128" s="9" t="s">
        <v>580</v>
      </c>
      <c r="E128" s="29" t="n">
        <v>1</v>
      </c>
      <c r="F128" s="9" t="s">
        <v>791</v>
      </c>
      <c r="G128" s="11"/>
      <c r="H128" s="29" t="n">
        <v>0</v>
      </c>
      <c r="I128" s="9" t="s">
        <v>577</v>
      </c>
    </row>
    <row r="129" customFormat="false" ht="15" hidden="false" customHeight="false" outlineLevel="0" collapsed="false">
      <c r="A129" s="9" t="s">
        <v>792</v>
      </c>
      <c r="B129" s="9" t="s">
        <v>492</v>
      </c>
      <c r="C129" s="9" t="s">
        <v>583</v>
      </c>
      <c r="D129" s="9" t="s">
        <v>584</v>
      </c>
      <c r="E129" s="29" t="n">
        <v>1</v>
      </c>
      <c r="F129" s="9" t="s">
        <v>793</v>
      </c>
      <c r="G129" s="11"/>
      <c r="H129" s="29" t="n">
        <v>0</v>
      </c>
      <c r="I129" s="9" t="s">
        <v>577</v>
      </c>
    </row>
    <row r="130" customFormat="false" ht="15" hidden="false" customHeight="false" outlineLevel="0" collapsed="false">
      <c r="A130" s="9" t="s">
        <v>794</v>
      </c>
      <c r="B130" s="9" t="s">
        <v>492</v>
      </c>
      <c r="C130" s="9" t="s">
        <v>587</v>
      </c>
      <c r="D130" s="9" t="s">
        <v>588</v>
      </c>
      <c r="E130" s="29" t="n">
        <v>1</v>
      </c>
      <c r="F130" s="9" t="s">
        <v>795</v>
      </c>
      <c r="G130" s="11"/>
      <c r="H130" s="29" t="n">
        <v>0</v>
      </c>
      <c r="I130" s="9" t="s">
        <v>577</v>
      </c>
    </row>
    <row r="131" customFormat="false" ht="15" hidden="false" customHeight="false" outlineLevel="0" collapsed="false">
      <c r="A131" s="9" t="s">
        <v>796</v>
      </c>
      <c r="B131" s="9" t="s">
        <v>492</v>
      </c>
      <c r="C131" s="9" t="s">
        <v>591</v>
      </c>
      <c r="D131" s="9" t="s">
        <v>592</v>
      </c>
      <c r="E131" s="29" t="n">
        <v>1</v>
      </c>
      <c r="F131" s="9" t="s">
        <v>797</v>
      </c>
      <c r="G131" s="11"/>
      <c r="H131" s="29" t="n">
        <v>0</v>
      </c>
      <c r="I131" s="9" t="s">
        <v>577</v>
      </c>
    </row>
    <row r="132" customFormat="false" ht="15" hidden="false" customHeight="false" outlineLevel="0" collapsed="false">
      <c r="A132" s="9" t="s">
        <v>798</v>
      </c>
      <c r="B132" s="9" t="s">
        <v>492</v>
      </c>
      <c r="C132" s="9" t="s">
        <v>595</v>
      </c>
      <c r="D132" s="9" t="s">
        <v>596</v>
      </c>
      <c r="E132" s="29" t="n">
        <v>1</v>
      </c>
      <c r="F132" s="9" t="s">
        <v>799</v>
      </c>
      <c r="G132" s="11"/>
      <c r="H132" s="29" t="n">
        <v>0</v>
      </c>
      <c r="I132" s="9" t="s">
        <v>577</v>
      </c>
    </row>
    <row r="133" customFormat="false" ht="15" hidden="false" customHeight="false" outlineLevel="0" collapsed="false">
      <c r="A133" s="9" t="s">
        <v>800</v>
      </c>
      <c r="B133" s="9" t="s">
        <v>492</v>
      </c>
      <c r="C133" s="9" t="s">
        <v>599</v>
      </c>
      <c r="D133" s="9" t="s">
        <v>600</v>
      </c>
      <c r="E133" s="29" t="n">
        <v>1</v>
      </c>
      <c r="F133" s="9" t="s">
        <v>801</v>
      </c>
      <c r="G133" s="11"/>
      <c r="H133" s="29" t="n">
        <v>0</v>
      </c>
      <c r="I133" s="9" t="s">
        <v>577</v>
      </c>
    </row>
    <row r="134" customFormat="false" ht="15" hidden="false" customHeight="false" outlineLevel="0" collapsed="false">
      <c r="A134" s="9" t="s">
        <v>802</v>
      </c>
      <c r="B134" s="9" t="s">
        <v>492</v>
      </c>
      <c r="C134" s="9" t="s">
        <v>603</v>
      </c>
      <c r="D134" s="9" t="s">
        <v>604</v>
      </c>
      <c r="E134" s="29" t="n">
        <v>0</v>
      </c>
      <c r="F134" s="9"/>
      <c r="G134" s="11"/>
      <c r="H134" s="29" t="n">
        <v>0</v>
      </c>
      <c r="I134" s="9" t="s">
        <v>57</v>
      </c>
    </row>
    <row r="135" customFormat="false" ht="15" hidden="false" customHeight="false" outlineLevel="0" collapsed="false">
      <c r="A135" s="9" t="s">
        <v>803</v>
      </c>
      <c r="B135" s="9" t="s">
        <v>492</v>
      </c>
      <c r="C135" s="9" t="s">
        <v>606</v>
      </c>
      <c r="D135" s="9" t="s">
        <v>607</v>
      </c>
      <c r="E135" s="29" t="n">
        <v>0</v>
      </c>
      <c r="F135" s="9"/>
      <c r="G135" s="11"/>
      <c r="H135" s="29" t="n">
        <v>0</v>
      </c>
      <c r="I135" s="9" t="s">
        <v>57</v>
      </c>
    </row>
    <row r="136" customFormat="false" ht="15" hidden="false" customHeight="false" outlineLevel="0" collapsed="false">
      <c r="A136" s="9" t="s">
        <v>804</v>
      </c>
      <c r="B136" s="9" t="s">
        <v>492</v>
      </c>
      <c r="C136" s="9" t="s">
        <v>609</v>
      </c>
      <c r="D136" s="9" t="s">
        <v>610</v>
      </c>
      <c r="E136" s="29" t="n">
        <v>0</v>
      </c>
      <c r="F136" s="9"/>
      <c r="G136" s="11"/>
      <c r="H136" s="29" t="n">
        <v>0</v>
      </c>
      <c r="I136" s="9" t="s">
        <v>57</v>
      </c>
    </row>
    <row r="137" customFormat="false" ht="15" hidden="false" customHeight="false" outlineLevel="0" collapsed="false">
      <c r="A137" s="9" t="s">
        <v>805</v>
      </c>
      <c r="B137" s="9" t="s">
        <v>492</v>
      </c>
      <c r="C137" s="9" t="s">
        <v>612</v>
      </c>
      <c r="D137" s="9" t="s">
        <v>613</v>
      </c>
      <c r="E137" s="29" t="n">
        <v>0</v>
      </c>
      <c r="F137" s="9"/>
      <c r="G137" s="11"/>
      <c r="H137" s="29" t="n">
        <v>0</v>
      </c>
      <c r="I137" s="9" t="s">
        <v>57</v>
      </c>
    </row>
    <row r="138" customFormat="false" ht="15" hidden="false" customHeight="false" outlineLevel="0" collapsed="false">
      <c r="A138" s="9" t="s">
        <v>806</v>
      </c>
      <c r="B138" s="9" t="s">
        <v>492</v>
      </c>
      <c r="C138" s="9" t="s">
        <v>615</v>
      </c>
      <c r="D138" s="9" t="s">
        <v>616</v>
      </c>
      <c r="E138" s="29" t="n">
        <v>0</v>
      </c>
      <c r="F138" s="9"/>
      <c r="G138" s="11"/>
      <c r="H138" s="29" t="n">
        <v>0</v>
      </c>
      <c r="I138" s="9" t="s">
        <v>57</v>
      </c>
    </row>
    <row r="139" customFormat="false" ht="15" hidden="false" customHeight="false" outlineLevel="0" collapsed="false">
      <c r="A139" s="9" t="s">
        <v>807</v>
      </c>
      <c r="B139" s="9" t="s">
        <v>497</v>
      </c>
      <c r="C139" s="9" t="s">
        <v>574</v>
      </c>
      <c r="D139" s="9" t="s">
        <v>575</v>
      </c>
      <c r="E139" s="29" t="n">
        <v>1</v>
      </c>
      <c r="F139" s="9" t="s">
        <v>808</v>
      </c>
      <c r="G139" s="11"/>
      <c r="H139" s="29" t="n">
        <v>0</v>
      </c>
      <c r="I139" s="9" t="s">
        <v>577</v>
      </c>
    </row>
    <row r="140" customFormat="false" ht="15" hidden="false" customHeight="false" outlineLevel="0" collapsed="false">
      <c r="A140" s="9" t="s">
        <v>809</v>
      </c>
      <c r="B140" s="9" t="s">
        <v>497</v>
      </c>
      <c r="C140" s="9" t="s">
        <v>579</v>
      </c>
      <c r="D140" s="9" t="s">
        <v>580</v>
      </c>
      <c r="E140" s="29" t="n">
        <v>1</v>
      </c>
      <c r="F140" s="9" t="s">
        <v>810</v>
      </c>
      <c r="G140" s="11"/>
      <c r="H140" s="29" t="n">
        <v>0</v>
      </c>
      <c r="I140" s="9" t="s">
        <v>577</v>
      </c>
    </row>
    <row r="141" customFormat="false" ht="15" hidden="false" customHeight="false" outlineLevel="0" collapsed="false">
      <c r="A141" s="9" t="s">
        <v>811</v>
      </c>
      <c r="B141" s="9" t="s">
        <v>497</v>
      </c>
      <c r="C141" s="9" t="s">
        <v>583</v>
      </c>
      <c r="D141" s="9" t="s">
        <v>584</v>
      </c>
      <c r="E141" s="29" t="n">
        <v>1</v>
      </c>
      <c r="F141" s="9" t="s">
        <v>812</v>
      </c>
      <c r="G141" s="11"/>
      <c r="H141" s="29" t="n">
        <v>0</v>
      </c>
      <c r="I141" s="9" t="s">
        <v>577</v>
      </c>
    </row>
    <row r="142" customFormat="false" ht="15" hidden="false" customHeight="false" outlineLevel="0" collapsed="false">
      <c r="A142" s="9" t="s">
        <v>813</v>
      </c>
      <c r="B142" s="9" t="s">
        <v>497</v>
      </c>
      <c r="C142" s="9" t="s">
        <v>587</v>
      </c>
      <c r="D142" s="9" t="s">
        <v>588</v>
      </c>
      <c r="E142" s="29" t="n">
        <v>1</v>
      </c>
      <c r="F142" s="9" t="s">
        <v>814</v>
      </c>
      <c r="G142" s="11"/>
      <c r="H142" s="29" t="n">
        <v>0</v>
      </c>
      <c r="I142" s="9" t="s">
        <v>577</v>
      </c>
    </row>
    <row r="143" customFormat="false" ht="15" hidden="false" customHeight="false" outlineLevel="0" collapsed="false">
      <c r="A143" s="9" t="s">
        <v>815</v>
      </c>
      <c r="B143" s="9" t="s">
        <v>497</v>
      </c>
      <c r="C143" s="9" t="s">
        <v>591</v>
      </c>
      <c r="D143" s="9" t="s">
        <v>592</v>
      </c>
      <c r="E143" s="29" t="n">
        <v>1</v>
      </c>
      <c r="F143" s="9" t="s">
        <v>816</v>
      </c>
      <c r="G143" s="11"/>
      <c r="H143" s="29" t="n">
        <v>0</v>
      </c>
      <c r="I143" s="9" t="s">
        <v>577</v>
      </c>
    </row>
    <row r="144" customFormat="false" ht="15" hidden="false" customHeight="false" outlineLevel="0" collapsed="false">
      <c r="A144" s="9" t="s">
        <v>817</v>
      </c>
      <c r="B144" s="9" t="s">
        <v>497</v>
      </c>
      <c r="C144" s="9" t="s">
        <v>595</v>
      </c>
      <c r="D144" s="9" t="s">
        <v>596</v>
      </c>
      <c r="E144" s="29" t="n">
        <v>1</v>
      </c>
      <c r="F144" s="9" t="s">
        <v>818</v>
      </c>
      <c r="G144" s="11"/>
      <c r="H144" s="29" t="n">
        <v>0</v>
      </c>
      <c r="I144" s="9" t="s">
        <v>577</v>
      </c>
    </row>
    <row r="145" customFormat="false" ht="15" hidden="false" customHeight="false" outlineLevel="0" collapsed="false">
      <c r="A145" s="9" t="s">
        <v>819</v>
      </c>
      <c r="B145" s="9" t="s">
        <v>497</v>
      </c>
      <c r="C145" s="9" t="s">
        <v>599</v>
      </c>
      <c r="D145" s="9" t="s">
        <v>600</v>
      </c>
      <c r="E145" s="29" t="n">
        <v>1</v>
      </c>
      <c r="F145" s="9" t="s">
        <v>820</v>
      </c>
      <c r="G145" s="11"/>
      <c r="H145" s="29" t="n">
        <v>0</v>
      </c>
      <c r="I145" s="9" t="s">
        <v>577</v>
      </c>
    </row>
    <row r="146" customFormat="false" ht="15" hidden="false" customHeight="false" outlineLevel="0" collapsed="false">
      <c r="A146" s="9" t="s">
        <v>821</v>
      </c>
      <c r="B146" s="9" t="s">
        <v>497</v>
      </c>
      <c r="C146" s="9" t="s">
        <v>603</v>
      </c>
      <c r="D146" s="9" t="s">
        <v>604</v>
      </c>
      <c r="E146" s="29" t="n">
        <v>0</v>
      </c>
      <c r="F146" s="9"/>
      <c r="G146" s="11"/>
      <c r="H146" s="29" t="n">
        <v>0</v>
      </c>
      <c r="I146" s="9" t="s">
        <v>57</v>
      </c>
    </row>
    <row r="147" customFormat="false" ht="15" hidden="false" customHeight="false" outlineLevel="0" collapsed="false">
      <c r="A147" s="9" t="s">
        <v>822</v>
      </c>
      <c r="B147" s="9" t="s">
        <v>497</v>
      </c>
      <c r="C147" s="9" t="s">
        <v>606</v>
      </c>
      <c r="D147" s="9" t="s">
        <v>607</v>
      </c>
      <c r="E147" s="29" t="n">
        <v>0</v>
      </c>
      <c r="F147" s="9"/>
      <c r="G147" s="11"/>
      <c r="H147" s="29" t="n">
        <v>0</v>
      </c>
      <c r="I147" s="9" t="s">
        <v>57</v>
      </c>
    </row>
    <row r="148" customFormat="false" ht="15" hidden="false" customHeight="false" outlineLevel="0" collapsed="false">
      <c r="A148" s="9" t="s">
        <v>823</v>
      </c>
      <c r="B148" s="9" t="s">
        <v>497</v>
      </c>
      <c r="C148" s="9" t="s">
        <v>609</v>
      </c>
      <c r="D148" s="9" t="s">
        <v>610</v>
      </c>
      <c r="E148" s="29" t="n">
        <v>0</v>
      </c>
      <c r="F148" s="9"/>
      <c r="G148" s="11"/>
      <c r="H148" s="29" t="n">
        <v>0</v>
      </c>
      <c r="I148" s="9" t="s">
        <v>57</v>
      </c>
    </row>
    <row r="149" customFormat="false" ht="15" hidden="false" customHeight="false" outlineLevel="0" collapsed="false">
      <c r="A149" s="9" t="s">
        <v>824</v>
      </c>
      <c r="B149" s="9" t="s">
        <v>497</v>
      </c>
      <c r="C149" s="9" t="s">
        <v>612</v>
      </c>
      <c r="D149" s="9" t="s">
        <v>613</v>
      </c>
      <c r="E149" s="29" t="n">
        <v>0</v>
      </c>
      <c r="F149" s="9"/>
      <c r="G149" s="11"/>
      <c r="H149" s="29" t="n">
        <v>0</v>
      </c>
      <c r="I149" s="9" t="s">
        <v>57</v>
      </c>
    </row>
    <row r="150" customFormat="false" ht="15" hidden="false" customHeight="false" outlineLevel="0" collapsed="false">
      <c r="A150" s="9" t="s">
        <v>825</v>
      </c>
      <c r="B150" s="9" t="s">
        <v>497</v>
      </c>
      <c r="C150" s="9" t="s">
        <v>615</v>
      </c>
      <c r="D150" s="9" t="s">
        <v>616</v>
      </c>
      <c r="E150" s="29" t="n">
        <v>0</v>
      </c>
      <c r="F150" s="9"/>
      <c r="G150" s="11"/>
      <c r="H150" s="29" t="n">
        <v>0</v>
      </c>
      <c r="I150" s="9" t="s">
        <v>57</v>
      </c>
    </row>
    <row r="151" customFormat="false" ht="15" hidden="false" customHeight="false" outlineLevel="0" collapsed="false">
      <c r="A151" s="9" t="s">
        <v>826</v>
      </c>
      <c r="B151" s="9" t="s">
        <v>502</v>
      </c>
      <c r="C151" s="9" t="s">
        <v>574</v>
      </c>
      <c r="D151" s="9" t="s">
        <v>575</v>
      </c>
      <c r="E151" s="29" t="n">
        <v>1</v>
      </c>
      <c r="F151" s="9" t="s">
        <v>827</v>
      </c>
      <c r="G151" s="11"/>
      <c r="H151" s="29" t="n">
        <v>0</v>
      </c>
      <c r="I151" s="9" t="s">
        <v>577</v>
      </c>
    </row>
    <row r="152" customFormat="false" ht="15" hidden="false" customHeight="false" outlineLevel="0" collapsed="false">
      <c r="A152" s="9" t="s">
        <v>828</v>
      </c>
      <c r="B152" s="9" t="s">
        <v>502</v>
      </c>
      <c r="C152" s="9" t="s">
        <v>579</v>
      </c>
      <c r="D152" s="9" t="s">
        <v>580</v>
      </c>
      <c r="E152" s="29" t="n">
        <v>1</v>
      </c>
      <c r="F152" s="9" t="s">
        <v>829</v>
      </c>
      <c r="G152" s="11"/>
      <c r="H152" s="29" t="n">
        <v>0</v>
      </c>
      <c r="I152" s="9" t="s">
        <v>577</v>
      </c>
    </row>
    <row r="153" customFormat="false" ht="15" hidden="false" customHeight="false" outlineLevel="0" collapsed="false">
      <c r="A153" s="9" t="s">
        <v>830</v>
      </c>
      <c r="B153" s="9" t="s">
        <v>502</v>
      </c>
      <c r="C153" s="9" t="s">
        <v>583</v>
      </c>
      <c r="D153" s="9" t="s">
        <v>584</v>
      </c>
      <c r="E153" s="29" t="n">
        <v>1</v>
      </c>
      <c r="F153" s="9" t="s">
        <v>831</v>
      </c>
      <c r="G153" s="11"/>
      <c r="H153" s="29" t="n">
        <v>0</v>
      </c>
      <c r="I153" s="9" t="s">
        <v>577</v>
      </c>
    </row>
    <row r="154" customFormat="false" ht="15" hidden="false" customHeight="false" outlineLevel="0" collapsed="false">
      <c r="A154" s="9" t="s">
        <v>832</v>
      </c>
      <c r="B154" s="9" t="s">
        <v>502</v>
      </c>
      <c r="C154" s="9" t="s">
        <v>587</v>
      </c>
      <c r="D154" s="9" t="s">
        <v>588</v>
      </c>
      <c r="E154" s="29" t="n">
        <v>1</v>
      </c>
      <c r="F154" s="9" t="s">
        <v>833</v>
      </c>
      <c r="G154" s="11"/>
      <c r="H154" s="29" t="n">
        <v>0</v>
      </c>
      <c r="I154" s="9" t="s">
        <v>577</v>
      </c>
    </row>
    <row r="155" customFormat="false" ht="15" hidden="false" customHeight="false" outlineLevel="0" collapsed="false">
      <c r="A155" s="9" t="s">
        <v>834</v>
      </c>
      <c r="B155" s="9" t="s">
        <v>502</v>
      </c>
      <c r="C155" s="9" t="s">
        <v>591</v>
      </c>
      <c r="D155" s="9" t="s">
        <v>592</v>
      </c>
      <c r="E155" s="29" t="n">
        <v>1</v>
      </c>
      <c r="F155" s="9" t="s">
        <v>835</v>
      </c>
      <c r="G155" s="11"/>
      <c r="H155" s="29" t="n">
        <v>0</v>
      </c>
      <c r="I155" s="9" t="s">
        <v>577</v>
      </c>
    </row>
    <row r="156" customFormat="false" ht="15" hidden="false" customHeight="false" outlineLevel="0" collapsed="false">
      <c r="A156" s="9" t="s">
        <v>836</v>
      </c>
      <c r="B156" s="9" t="s">
        <v>502</v>
      </c>
      <c r="C156" s="9" t="s">
        <v>595</v>
      </c>
      <c r="D156" s="9" t="s">
        <v>596</v>
      </c>
      <c r="E156" s="29" t="n">
        <v>1</v>
      </c>
      <c r="F156" s="9" t="s">
        <v>837</v>
      </c>
      <c r="G156" s="11"/>
      <c r="H156" s="29" t="n">
        <v>0</v>
      </c>
      <c r="I156" s="9" t="s">
        <v>577</v>
      </c>
    </row>
    <row r="157" customFormat="false" ht="15" hidden="false" customHeight="false" outlineLevel="0" collapsed="false">
      <c r="A157" s="9" t="s">
        <v>838</v>
      </c>
      <c r="B157" s="9" t="s">
        <v>502</v>
      </c>
      <c r="C157" s="9" t="s">
        <v>599</v>
      </c>
      <c r="D157" s="9" t="s">
        <v>600</v>
      </c>
      <c r="E157" s="29" t="n">
        <v>1</v>
      </c>
      <c r="F157" s="9" t="s">
        <v>839</v>
      </c>
      <c r="G157" s="11"/>
      <c r="H157" s="29" t="n">
        <v>0</v>
      </c>
      <c r="I157" s="9" t="s">
        <v>577</v>
      </c>
    </row>
    <row r="158" customFormat="false" ht="15" hidden="false" customHeight="false" outlineLevel="0" collapsed="false">
      <c r="A158" s="9" t="s">
        <v>840</v>
      </c>
      <c r="B158" s="9" t="s">
        <v>502</v>
      </c>
      <c r="C158" s="9" t="s">
        <v>603</v>
      </c>
      <c r="D158" s="9" t="s">
        <v>604</v>
      </c>
      <c r="E158" s="29" t="n">
        <v>0</v>
      </c>
      <c r="F158" s="9"/>
      <c r="G158" s="11"/>
      <c r="H158" s="29" t="n">
        <v>0</v>
      </c>
      <c r="I158" s="9" t="s">
        <v>57</v>
      </c>
    </row>
    <row r="159" customFormat="false" ht="15" hidden="false" customHeight="false" outlineLevel="0" collapsed="false">
      <c r="A159" s="9" t="s">
        <v>841</v>
      </c>
      <c r="B159" s="9" t="s">
        <v>502</v>
      </c>
      <c r="C159" s="9" t="s">
        <v>606</v>
      </c>
      <c r="D159" s="9" t="s">
        <v>607</v>
      </c>
      <c r="E159" s="29" t="n">
        <v>0</v>
      </c>
      <c r="F159" s="9"/>
      <c r="G159" s="11"/>
      <c r="H159" s="29" t="n">
        <v>0</v>
      </c>
      <c r="I159" s="9" t="s">
        <v>57</v>
      </c>
    </row>
    <row r="160" customFormat="false" ht="15" hidden="false" customHeight="false" outlineLevel="0" collapsed="false">
      <c r="A160" s="9" t="s">
        <v>842</v>
      </c>
      <c r="B160" s="9" t="s">
        <v>502</v>
      </c>
      <c r="C160" s="9" t="s">
        <v>609</v>
      </c>
      <c r="D160" s="9" t="s">
        <v>610</v>
      </c>
      <c r="E160" s="29" t="n">
        <v>0</v>
      </c>
      <c r="F160" s="9"/>
      <c r="G160" s="11"/>
      <c r="H160" s="29" t="n">
        <v>0</v>
      </c>
      <c r="I160" s="9" t="s">
        <v>57</v>
      </c>
    </row>
    <row r="161" customFormat="false" ht="15" hidden="false" customHeight="false" outlineLevel="0" collapsed="false">
      <c r="A161" s="9" t="s">
        <v>843</v>
      </c>
      <c r="B161" s="9" t="s">
        <v>502</v>
      </c>
      <c r="C161" s="9" t="s">
        <v>612</v>
      </c>
      <c r="D161" s="9" t="s">
        <v>613</v>
      </c>
      <c r="E161" s="29" t="n">
        <v>0</v>
      </c>
      <c r="F161" s="9"/>
      <c r="G161" s="11"/>
      <c r="H161" s="29" t="n">
        <v>0</v>
      </c>
      <c r="I161" s="9" t="s">
        <v>57</v>
      </c>
    </row>
    <row r="162" customFormat="false" ht="15" hidden="false" customHeight="false" outlineLevel="0" collapsed="false">
      <c r="A162" s="9" t="s">
        <v>844</v>
      </c>
      <c r="B162" s="9" t="s">
        <v>502</v>
      </c>
      <c r="C162" s="9" t="s">
        <v>615</v>
      </c>
      <c r="D162" s="9" t="s">
        <v>616</v>
      </c>
      <c r="E162" s="29" t="n">
        <v>0</v>
      </c>
      <c r="F162" s="9"/>
      <c r="G162" s="11"/>
      <c r="H162" s="29" t="n">
        <v>0</v>
      </c>
      <c r="I162" s="9" t="s">
        <v>57</v>
      </c>
    </row>
    <row r="163" customFormat="false" ht="15" hidden="false" customHeight="false" outlineLevel="0" collapsed="false">
      <c r="A163" s="9" t="s">
        <v>845</v>
      </c>
      <c r="B163" s="9" t="s">
        <v>507</v>
      </c>
      <c r="C163" s="9" t="s">
        <v>574</v>
      </c>
      <c r="D163" s="9" t="s">
        <v>575</v>
      </c>
      <c r="E163" s="29" t="n">
        <v>1</v>
      </c>
      <c r="F163" s="9" t="s">
        <v>846</v>
      </c>
      <c r="G163" s="11"/>
      <c r="H163" s="29" t="n">
        <v>0</v>
      </c>
      <c r="I163" s="9" t="s">
        <v>577</v>
      </c>
    </row>
    <row r="164" customFormat="false" ht="15" hidden="false" customHeight="false" outlineLevel="0" collapsed="false">
      <c r="A164" s="9" t="s">
        <v>847</v>
      </c>
      <c r="B164" s="9" t="s">
        <v>507</v>
      </c>
      <c r="C164" s="9" t="s">
        <v>579</v>
      </c>
      <c r="D164" s="9" t="s">
        <v>580</v>
      </c>
      <c r="E164" s="29" t="n">
        <v>1</v>
      </c>
      <c r="F164" s="9" t="s">
        <v>848</v>
      </c>
      <c r="G164" s="11"/>
      <c r="H164" s="29" t="n">
        <v>0</v>
      </c>
      <c r="I164" s="9" t="s">
        <v>577</v>
      </c>
    </row>
    <row r="165" customFormat="false" ht="15" hidden="false" customHeight="false" outlineLevel="0" collapsed="false">
      <c r="A165" s="9" t="s">
        <v>849</v>
      </c>
      <c r="B165" s="9" t="s">
        <v>507</v>
      </c>
      <c r="C165" s="9" t="s">
        <v>583</v>
      </c>
      <c r="D165" s="9" t="s">
        <v>584</v>
      </c>
      <c r="E165" s="29" t="n">
        <v>1</v>
      </c>
      <c r="F165" s="9" t="s">
        <v>850</v>
      </c>
      <c r="G165" s="11"/>
      <c r="H165" s="29" t="n">
        <v>0</v>
      </c>
      <c r="I165" s="9" t="s">
        <v>577</v>
      </c>
    </row>
    <row r="166" customFormat="false" ht="15" hidden="false" customHeight="false" outlineLevel="0" collapsed="false">
      <c r="A166" s="9" t="s">
        <v>851</v>
      </c>
      <c r="B166" s="9" t="s">
        <v>507</v>
      </c>
      <c r="C166" s="9" t="s">
        <v>587</v>
      </c>
      <c r="D166" s="9" t="s">
        <v>588</v>
      </c>
      <c r="E166" s="29" t="n">
        <v>1</v>
      </c>
      <c r="F166" s="9" t="s">
        <v>852</v>
      </c>
      <c r="G166" s="11"/>
      <c r="H166" s="29" t="n">
        <v>0</v>
      </c>
      <c r="I166" s="9" t="s">
        <v>577</v>
      </c>
    </row>
    <row r="167" customFormat="false" ht="15" hidden="false" customHeight="false" outlineLevel="0" collapsed="false">
      <c r="A167" s="9" t="s">
        <v>853</v>
      </c>
      <c r="B167" s="9" t="s">
        <v>507</v>
      </c>
      <c r="C167" s="9" t="s">
        <v>591</v>
      </c>
      <c r="D167" s="9" t="s">
        <v>592</v>
      </c>
      <c r="E167" s="29" t="n">
        <v>1</v>
      </c>
      <c r="F167" s="9" t="s">
        <v>854</v>
      </c>
      <c r="G167" s="11"/>
      <c r="H167" s="29" t="n">
        <v>0</v>
      </c>
      <c r="I167" s="9" t="s">
        <v>577</v>
      </c>
    </row>
    <row r="168" customFormat="false" ht="15" hidden="false" customHeight="false" outlineLevel="0" collapsed="false">
      <c r="A168" s="9" t="s">
        <v>855</v>
      </c>
      <c r="B168" s="9" t="s">
        <v>507</v>
      </c>
      <c r="C168" s="9" t="s">
        <v>595</v>
      </c>
      <c r="D168" s="9" t="s">
        <v>596</v>
      </c>
      <c r="E168" s="29" t="n">
        <v>1</v>
      </c>
      <c r="F168" s="9" t="s">
        <v>856</v>
      </c>
      <c r="G168" s="11"/>
      <c r="H168" s="29" t="n">
        <v>0</v>
      </c>
      <c r="I168" s="9" t="s">
        <v>577</v>
      </c>
    </row>
    <row r="169" customFormat="false" ht="15" hidden="false" customHeight="false" outlineLevel="0" collapsed="false">
      <c r="A169" s="9" t="s">
        <v>857</v>
      </c>
      <c r="B169" s="9" t="s">
        <v>507</v>
      </c>
      <c r="C169" s="9" t="s">
        <v>599</v>
      </c>
      <c r="D169" s="9" t="s">
        <v>600</v>
      </c>
      <c r="E169" s="29" t="n">
        <v>1</v>
      </c>
      <c r="F169" s="9" t="s">
        <v>858</v>
      </c>
      <c r="G169" s="11"/>
      <c r="H169" s="29" t="n">
        <v>0</v>
      </c>
      <c r="I169" s="9" t="s">
        <v>577</v>
      </c>
    </row>
    <row r="170" customFormat="false" ht="15" hidden="false" customHeight="false" outlineLevel="0" collapsed="false">
      <c r="A170" s="9" t="s">
        <v>859</v>
      </c>
      <c r="B170" s="9" t="s">
        <v>507</v>
      </c>
      <c r="C170" s="9" t="s">
        <v>603</v>
      </c>
      <c r="D170" s="9" t="s">
        <v>604</v>
      </c>
      <c r="E170" s="29" t="n">
        <v>0</v>
      </c>
      <c r="F170" s="9"/>
      <c r="G170" s="11"/>
      <c r="H170" s="29" t="n">
        <v>0</v>
      </c>
      <c r="I170" s="9" t="s">
        <v>57</v>
      </c>
    </row>
    <row r="171" customFormat="false" ht="15" hidden="false" customHeight="false" outlineLevel="0" collapsed="false">
      <c r="A171" s="9" t="s">
        <v>860</v>
      </c>
      <c r="B171" s="9" t="s">
        <v>507</v>
      </c>
      <c r="C171" s="9" t="s">
        <v>606</v>
      </c>
      <c r="D171" s="9" t="s">
        <v>607</v>
      </c>
      <c r="E171" s="29" t="n">
        <v>0</v>
      </c>
      <c r="F171" s="9"/>
      <c r="G171" s="11"/>
      <c r="H171" s="29" t="n">
        <v>0</v>
      </c>
      <c r="I171" s="9" t="s">
        <v>57</v>
      </c>
    </row>
    <row r="172" customFormat="false" ht="15" hidden="false" customHeight="false" outlineLevel="0" collapsed="false">
      <c r="A172" s="9" t="s">
        <v>861</v>
      </c>
      <c r="B172" s="9" t="s">
        <v>507</v>
      </c>
      <c r="C172" s="9" t="s">
        <v>609</v>
      </c>
      <c r="D172" s="9" t="s">
        <v>610</v>
      </c>
      <c r="E172" s="29" t="n">
        <v>0</v>
      </c>
      <c r="F172" s="9"/>
      <c r="G172" s="11"/>
      <c r="H172" s="29" t="n">
        <v>0</v>
      </c>
      <c r="I172" s="9" t="s">
        <v>57</v>
      </c>
    </row>
    <row r="173" customFormat="false" ht="15" hidden="false" customHeight="false" outlineLevel="0" collapsed="false">
      <c r="A173" s="9" t="s">
        <v>862</v>
      </c>
      <c r="B173" s="9" t="s">
        <v>507</v>
      </c>
      <c r="C173" s="9" t="s">
        <v>612</v>
      </c>
      <c r="D173" s="9" t="s">
        <v>613</v>
      </c>
      <c r="E173" s="29" t="n">
        <v>0</v>
      </c>
      <c r="F173" s="9"/>
      <c r="G173" s="11"/>
      <c r="H173" s="29" t="n">
        <v>0</v>
      </c>
      <c r="I173" s="9" t="s">
        <v>57</v>
      </c>
    </row>
    <row r="174" customFormat="false" ht="15" hidden="false" customHeight="false" outlineLevel="0" collapsed="false">
      <c r="A174" s="9" t="s">
        <v>863</v>
      </c>
      <c r="B174" s="9" t="s">
        <v>507</v>
      </c>
      <c r="C174" s="9" t="s">
        <v>615</v>
      </c>
      <c r="D174" s="9" t="s">
        <v>616</v>
      </c>
      <c r="E174" s="29" t="n">
        <v>0</v>
      </c>
      <c r="F174" s="9"/>
      <c r="G174" s="11"/>
      <c r="H174" s="29" t="n">
        <v>0</v>
      </c>
      <c r="I174" s="9" t="s">
        <v>57</v>
      </c>
    </row>
    <row r="175" customFormat="false" ht="15" hidden="false" customHeight="false" outlineLevel="0" collapsed="false">
      <c r="A175" s="9" t="s">
        <v>864</v>
      </c>
      <c r="B175" s="9" t="s">
        <v>512</v>
      </c>
      <c r="C175" s="9" t="s">
        <v>574</v>
      </c>
      <c r="D175" s="9" t="s">
        <v>575</v>
      </c>
      <c r="E175" s="29" t="n">
        <v>1</v>
      </c>
      <c r="F175" s="9" t="s">
        <v>865</v>
      </c>
      <c r="G175" s="11"/>
      <c r="H175" s="29" t="n">
        <v>0</v>
      </c>
      <c r="I175" s="9" t="s">
        <v>577</v>
      </c>
    </row>
    <row r="176" customFormat="false" ht="15" hidden="false" customHeight="false" outlineLevel="0" collapsed="false">
      <c r="A176" s="9" t="s">
        <v>866</v>
      </c>
      <c r="B176" s="9" t="s">
        <v>512</v>
      </c>
      <c r="C176" s="9" t="s">
        <v>579</v>
      </c>
      <c r="D176" s="9" t="s">
        <v>580</v>
      </c>
      <c r="E176" s="29" t="n">
        <v>1</v>
      </c>
      <c r="F176" s="9" t="s">
        <v>867</v>
      </c>
      <c r="G176" s="11"/>
      <c r="H176" s="29" t="n">
        <v>0</v>
      </c>
      <c r="I176" s="9" t="s">
        <v>577</v>
      </c>
    </row>
    <row r="177" customFormat="false" ht="15" hidden="false" customHeight="false" outlineLevel="0" collapsed="false">
      <c r="A177" s="9" t="s">
        <v>868</v>
      </c>
      <c r="B177" s="9" t="s">
        <v>512</v>
      </c>
      <c r="C177" s="9" t="s">
        <v>583</v>
      </c>
      <c r="D177" s="9" t="s">
        <v>584</v>
      </c>
      <c r="E177" s="29" t="n">
        <v>1</v>
      </c>
      <c r="F177" s="9" t="s">
        <v>869</v>
      </c>
      <c r="G177" s="11"/>
      <c r="H177" s="29" t="n">
        <v>0</v>
      </c>
      <c r="I177" s="9" t="s">
        <v>577</v>
      </c>
    </row>
    <row r="178" customFormat="false" ht="15" hidden="false" customHeight="false" outlineLevel="0" collapsed="false">
      <c r="A178" s="9" t="s">
        <v>870</v>
      </c>
      <c r="B178" s="9" t="s">
        <v>512</v>
      </c>
      <c r="C178" s="9" t="s">
        <v>587</v>
      </c>
      <c r="D178" s="9" t="s">
        <v>588</v>
      </c>
      <c r="E178" s="29" t="n">
        <v>1</v>
      </c>
      <c r="F178" s="9" t="s">
        <v>871</v>
      </c>
      <c r="G178" s="11"/>
      <c r="H178" s="29" t="n">
        <v>0</v>
      </c>
      <c r="I178" s="9" t="s">
        <v>577</v>
      </c>
    </row>
    <row r="179" customFormat="false" ht="15" hidden="false" customHeight="false" outlineLevel="0" collapsed="false">
      <c r="A179" s="9" t="s">
        <v>872</v>
      </c>
      <c r="B179" s="9" t="s">
        <v>512</v>
      </c>
      <c r="C179" s="9" t="s">
        <v>591</v>
      </c>
      <c r="D179" s="9" t="s">
        <v>592</v>
      </c>
      <c r="E179" s="29" t="n">
        <v>1</v>
      </c>
      <c r="F179" s="9" t="s">
        <v>873</v>
      </c>
      <c r="G179" s="11"/>
      <c r="H179" s="29" t="n">
        <v>0</v>
      </c>
      <c r="I179" s="9" t="s">
        <v>577</v>
      </c>
    </row>
    <row r="180" customFormat="false" ht="15" hidden="false" customHeight="false" outlineLevel="0" collapsed="false">
      <c r="A180" s="9" t="s">
        <v>874</v>
      </c>
      <c r="B180" s="9" t="s">
        <v>512</v>
      </c>
      <c r="C180" s="9" t="s">
        <v>595</v>
      </c>
      <c r="D180" s="9" t="s">
        <v>596</v>
      </c>
      <c r="E180" s="29" t="n">
        <v>1</v>
      </c>
      <c r="F180" s="9" t="s">
        <v>875</v>
      </c>
      <c r="G180" s="11"/>
      <c r="H180" s="29" t="n">
        <v>0</v>
      </c>
      <c r="I180" s="9" t="s">
        <v>577</v>
      </c>
    </row>
    <row r="181" customFormat="false" ht="15" hidden="false" customHeight="false" outlineLevel="0" collapsed="false">
      <c r="A181" s="9" t="s">
        <v>876</v>
      </c>
      <c r="B181" s="9" t="s">
        <v>512</v>
      </c>
      <c r="C181" s="9" t="s">
        <v>599</v>
      </c>
      <c r="D181" s="9" t="s">
        <v>600</v>
      </c>
      <c r="E181" s="29" t="n">
        <v>1</v>
      </c>
      <c r="F181" s="9" t="s">
        <v>877</v>
      </c>
      <c r="G181" s="11"/>
      <c r="H181" s="29" t="n">
        <v>0</v>
      </c>
      <c r="I181" s="9" t="s">
        <v>577</v>
      </c>
    </row>
    <row r="182" customFormat="false" ht="15" hidden="false" customHeight="false" outlineLevel="0" collapsed="false">
      <c r="A182" s="9" t="s">
        <v>878</v>
      </c>
      <c r="B182" s="9" t="s">
        <v>512</v>
      </c>
      <c r="C182" s="9" t="s">
        <v>603</v>
      </c>
      <c r="D182" s="9" t="s">
        <v>604</v>
      </c>
      <c r="E182" s="29" t="n">
        <v>0</v>
      </c>
      <c r="F182" s="9"/>
      <c r="G182" s="11"/>
      <c r="H182" s="29" t="n">
        <v>0</v>
      </c>
      <c r="I182" s="9" t="s">
        <v>57</v>
      </c>
    </row>
    <row r="183" customFormat="false" ht="15" hidden="false" customHeight="false" outlineLevel="0" collapsed="false">
      <c r="A183" s="9" t="s">
        <v>879</v>
      </c>
      <c r="B183" s="9" t="s">
        <v>512</v>
      </c>
      <c r="C183" s="9" t="s">
        <v>606</v>
      </c>
      <c r="D183" s="9" t="s">
        <v>607</v>
      </c>
      <c r="E183" s="29" t="n">
        <v>0</v>
      </c>
      <c r="F183" s="9"/>
      <c r="G183" s="11"/>
      <c r="H183" s="29" t="n">
        <v>0</v>
      </c>
      <c r="I183" s="9" t="s">
        <v>57</v>
      </c>
    </row>
    <row r="184" customFormat="false" ht="15" hidden="false" customHeight="false" outlineLevel="0" collapsed="false">
      <c r="A184" s="9" t="s">
        <v>880</v>
      </c>
      <c r="B184" s="9" t="s">
        <v>512</v>
      </c>
      <c r="C184" s="9" t="s">
        <v>609</v>
      </c>
      <c r="D184" s="9" t="s">
        <v>610</v>
      </c>
      <c r="E184" s="29" t="n">
        <v>0</v>
      </c>
      <c r="F184" s="9"/>
      <c r="G184" s="11"/>
      <c r="H184" s="29" t="n">
        <v>0</v>
      </c>
      <c r="I184" s="9" t="s">
        <v>57</v>
      </c>
    </row>
    <row r="185" customFormat="false" ht="15" hidden="false" customHeight="false" outlineLevel="0" collapsed="false">
      <c r="A185" s="9" t="s">
        <v>881</v>
      </c>
      <c r="B185" s="9" t="s">
        <v>512</v>
      </c>
      <c r="C185" s="9" t="s">
        <v>612</v>
      </c>
      <c r="D185" s="9" t="s">
        <v>613</v>
      </c>
      <c r="E185" s="29" t="n">
        <v>0</v>
      </c>
      <c r="F185" s="9"/>
      <c r="G185" s="11"/>
      <c r="H185" s="29" t="n">
        <v>0</v>
      </c>
      <c r="I185" s="9" t="s">
        <v>57</v>
      </c>
    </row>
    <row r="186" customFormat="false" ht="15" hidden="false" customHeight="false" outlineLevel="0" collapsed="false">
      <c r="A186" s="9" t="s">
        <v>882</v>
      </c>
      <c r="B186" s="9" t="s">
        <v>512</v>
      </c>
      <c r="C186" s="9" t="s">
        <v>615</v>
      </c>
      <c r="D186" s="9" t="s">
        <v>616</v>
      </c>
      <c r="E186" s="29" t="n">
        <v>0</v>
      </c>
      <c r="F186" s="9"/>
      <c r="G186" s="11"/>
      <c r="H186" s="29" t="n">
        <v>0</v>
      </c>
      <c r="I186" s="9" t="s">
        <v>57</v>
      </c>
    </row>
    <row r="187" customFormat="false" ht="15" hidden="false" customHeight="false" outlineLevel="0" collapsed="false">
      <c r="A187" s="9" t="s">
        <v>883</v>
      </c>
      <c r="B187" s="9" t="s">
        <v>517</v>
      </c>
      <c r="C187" s="9" t="s">
        <v>574</v>
      </c>
      <c r="D187" s="9" t="s">
        <v>575</v>
      </c>
      <c r="E187" s="29" t="n">
        <v>1</v>
      </c>
      <c r="F187" s="9" t="s">
        <v>884</v>
      </c>
      <c r="G187" s="11"/>
      <c r="H187" s="29" t="n">
        <v>0</v>
      </c>
      <c r="I187" s="9" t="s">
        <v>577</v>
      </c>
    </row>
    <row r="188" customFormat="false" ht="15" hidden="false" customHeight="false" outlineLevel="0" collapsed="false">
      <c r="A188" s="9" t="s">
        <v>885</v>
      </c>
      <c r="B188" s="9" t="s">
        <v>517</v>
      </c>
      <c r="C188" s="9" t="s">
        <v>579</v>
      </c>
      <c r="D188" s="9" t="s">
        <v>580</v>
      </c>
      <c r="E188" s="29" t="n">
        <v>1</v>
      </c>
      <c r="F188" s="9" t="s">
        <v>886</v>
      </c>
      <c r="G188" s="11"/>
      <c r="H188" s="29" t="n">
        <v>0</v>
      </c>
      <c r="I188" s="9" t="s">
        <v>577</v>
      </c>
    </row>
    <row r="189" customFormat="false" ht="15" hidden="false" customHeight="false" outlineLevel="0" collapsed="false">
      <c r="A189" s="9" t="s">
        <v>887</v>
      </c>
      <c r="B189" s="9" t="s">
        <v>517</v>
      </c>
      <c r="C189" s="9" t="s">
        <v>583</v>
      </c>
      <c r="D189" s="9" t="s">
        <v>584</v>
      </c>
      <c r="E189" s="29" t="n">
        <v>1</v>
      </c>
      <c r="F189" s="9" t="s">
        <v>888</v>
      </c>
      <c r="G189" s="11"/>
      <c r="H189" s="29" t="n">
        <v>0</v>
      </c>
      <c r="I189" s="9" t="s">
        <v>577</v>
      </c>
    </row>
    <row r="190" customFormat="false" ht="15" hidden="false" customHeight="false" outlineLevel="0" collapsed="false">
      <c r="A190" s="9" t="s">
        <v>889</v>
      </c>
      <c r="B190" s="9" t="s">
        <v>517</v>
      </c>
      <c r="C190" s="9" t="s">
        <v>587</v>
      </c>
      <c r="D190" s="9" t="s">
        <v>588</v>
      </c>
      <c r="E190" s="29" t="n">
        <v>1</v>
      </c>
      <c r="F190" s="9" t="s">
        <v>890</v>
      </c>
      <c r="G190" s="11"/>
      <c r="H190" s="29" t="n">
        <v>0</v>
      </c>
      <c r="I190" s="9" t="s">
        <v>577</v>
      </c>
    </row>
    <row r="191" customFormat="false" ht="15" hidden="false" customHeight="false" outlineLevel="0" collapsed="false">
      <c r="A191" s="9" t="s">
        <v>891</v>
      </c>
      <c r="B191" s="9" t="s">
        <v>517</v>
      </c>
      <c r="C191" s="9" t="s">
        <v>591</v>
      </c>
      <c r="D191" s="9" t="s">
        <v>592</v>
      </c>
      <c r="E191" s="29" t="n">
        <v>1</v>
      </c>
      <c r="F191" s="9" t="s">
        <v>892</v>
      </c>
      <c r="G191" s="11"/>
      <c r="H191" s="29" t="n">
        <v>0</v>
      </c>
      <c r="I191" s="9" t="s">
        <v>577</v>
      </c>
    </row>
    <row r="192" customFormat="false" ht="15" hidden="false" customHeight="false" outlineLevel="0" collapsed="false">
      <c r="A192" s="9" t="s">
        <v>893</v>
      </c>
      <c r="B192" s="9" t="s">
        <v>517</v>
      </c>
      <c r="C192" s="9" t="s">
        <v>595</v>
      </c>
      <c r="D192" s="9" t="s">
        <v>596</v>
      </c>
      <c r="E192" s="29" t="n">
        <v>1</v>
      </c>
      <c r="F192" s="9" t="s">
        <v>894</v>
      </c>
      <c r="G192" s="11"/>
      <c r="H192" s="29" t="n">
        <v>0</v>
      </c>
      <c r="I192" s="9" t="s">
        <v>577</v>
      </c>
    </row>
    <row r="193" customFormat="false" ht="15" hidden="false" customHeight="false" outlineLevel="0" collapsed="false">
      <c r="A193" s="9" t="s">
        <v>895</v>
      </c>
      <c r="B193" s="9" t="s">
        <v>517</v>
      </c>
      <c r="C193" s="9" t="s">
        <v>599</v>
      </c>
      <c r="D193" s="9" t="s">
        <v>600</v>
      </c>
      <c r="E193" s="29" t="n">
        <v>1</v>
      </c>
      <c r="F193" s="9" t="s">
        <v>896</v>
      </c>
      <c r="G193" s="11"/>
      <c r="H193" s="29" t="n">
        <v>0</v>
      </c>
      <c r="I193" s="9" t="s">
        <v>577</v>
      </c>
    </row>
    <row r="194" customFormat="false" ht="15" hidden="false" customHeight="false" outlineLevel="0" collapsed="false">
      <c r="A194" s="9" t="s">
        <v>897</v>
      </c>
      <c r="B194" s="9" t="s">
        <v>517</v>
      </c>
      <c r="C194" s="9" t="s">
        <v>603</v>
      </c>
      <c r="D194" s="9" t="s">
        <v>604</v>
      </c>
      <c r="E194" s="29" t="n">
        <v>0</v>
      </c>
      <c r="F194" s="9"/>
      <c r="G194" s="11"/>
      <c r="H194" s="29" t="n">
        <v>0</v>
      </c>
      <c r="I194" s="9" t="s">
        <v>57</v>
      </c>
    </row>
    <row r="195" customFormat="false" ht="15" hidden="false" customHeight="false" outlineLevel="0" collapsed="false">
      <c r="A195" s="9" t="s">
        <v>898</v>
      </c>
      <c r="B195" s="9" t="s">
        <v>517</v>
      </c>
      <c r="C195" s="9" t="s">
        <v>606</v>
      </c>
      <c r="D195" s="9" t="s">
        <v>607</v>
      </c>
      <c r="E195" s="29" t="n">
        <v>0</v>
      </c>
      <c r="F195" s="9"/>
      <c r="G195" s="11"/>
      <c r="H195" s="29" t="n">
        <v>0</v>
      </c>
      <c r="I195" s="9" t="s">
        <v>57</v>
      </c>
    </row>
    <row r="196" customFormat="false" ht="15" hidden="false" customHeight="false" outlineLevel="0" collapsed="false">
      <c r="A196" s="9" t="s">
        <v>899</v>
      </c>
      <c r="B196" s="9" t="s">
        <v>517</v>
      </c>
      <c r="C196" s="9" t="s">
        <v>609</v>
      </c>
      <c r="D196" s="9" t="s">
        <v>610</v>
      </c>
      <c r="E196" s="29" t="n">
        <v>0</v>
      </c>
      <c r="F196" s="9"/>
      <c r="G196" s="11"/>
      <c r="H196" s="29" t="n">
        <v>0</v>
      </c>
      <c r="I196" s="9" t="s">
        <v>57</v>
      </c>
    </row>
    <row r="197" customFormat="false" ht="15" hidden="false" customHeight="false" outlineLevel="0" collapsed="false">
      <c r="A197" s="9" t="s">
        <v>900</v>
      </c>
      <c r="B197" s="9" t="s">
        <v>517</v>
      </c>
      <c r="C197" s="9" t="s">
        <v>612</v>
      </c>
      <c r="D197" s="9" t="s">
        <v>613</v>
      </c>
      <c r="E197" s="29" t="n">
        <v>0</v>
      </c>
      <c r="F197" s="9"/>
      <c r="G197" s="11"/>
      <c r="H197" s="29" t="n">
        <v>0</v>
      </c>
      <c r="I197" s="9" t="s">
        <v>57</v>
      </c>
    </row>
    <row r="198" customFormat="false" ht="15" hidden="false" customHeight="false" outlineLevel="0" collapsed="false">
      <c r="A198" s="9" t="s">
        <v>901</v>
      </c>
      <c r="B198" s="9" t="s">
        <v>517</v>
      </c>
      <c r="C198" s="9" t="s">
        <v>615</v>
      </c>
      <c r="D198" s="9" t="s">
        <v>616</v>
      </c>
      <c r="E198" s="29" t="n">
        <v>0</v>
      </c>
      <c r="F198" s="9"/>
      <c r="G198" s="11"/>
      <c r="H198" s="29" t="n">
        <v>0</v>
      </c>
      <c r="I198" s="9" t="s">
        <v>57</v>
      </c>
    </row>
    <row r="199" customFormat="false" ht="15" hidden="false" customHeight="false" outlineLevel="0" collapsed="false">
      <c r="A199" s="9" t="s">
        <v>902</v>
      </c>
      <c r="B199" s="9" t="s">
        <v>522</v>
      </c>
      <c r="C199" s="9" t="s">
        <v>574</v>
      </c>
      <c r="D199" s="9" t="s">
        <v>575</v>
      </c>
      <c r="E199" s="29" t="n">
        <v>1</v>
      </c>
      <c r="F199" s="9" t="s">
        <v>903</v>
      </c>
      <c r="G199" s="11"/>
      <c r="H199" s="29" t="n">
        <v>0</v>
      </c>
      <c r="I199" s="9" t="s">
        <v>577</v>
      </c>
    </row>
    <row r="200" customFormat="false" ht="15" hidden="false" customHeight="false" outlineLevel="0" collapsed="false">
      <c r="A200" s="9" t="s">
        <v>904</v>
      </c>
      <c r="B200" s="9" t="s">
        <v>522</v>
      </c>
      <c r="C200" s="9" t="s">
        <v>579</v>
      </c>
      <c r="D200" s="9" t="s">
        <v>580</v>
      </c>
      <c r="E200" s="29" t="n">
        <v>1</v>
      </c>
      <c r="F200" s="9" t="s">
        <v>905</v>
      </c>
      <c r="G200" s="11"/>
      <c r="H200" s="29" t="n">
        <v>0</v>
      </c>
      <c r="I200" s="9" t="s">
        <v>577</v>
      </c>
    </row>
    <row r="201" customFormat="false" ht="15" hidden="false" customHeight="false" outlineLevel="0" collapsed="false">
      <c r="A201" s="9" t="s">
        <v>906</v>
      </c>
      <c r="B201" s="9" t="s">
        <v>522</v>
      </c>
      <c r="C201" s="9" t="s">
        <v>583</v>
      </c>
      <c r="D201" s="9" t="s">
        <v>584</v>
      </c>
      <c r="E201" s="29" t="n">
        <v>1</v>
      </c>
      <c r="F201" s="9" t="s">
        <v>907</v>
      </c>
      <c r="G201" s="11"/>
      <c r="H201" s="29" t="n">
        <v>0</v>
      </c>
      <c r="I201" s="9" t="s">
        <v>577</v>
      </c>
    </row>
    <row r="202" customFormat="false" ht="15" hidden="false" customHeight="false" outlineLevel="0" collapsed="false">
      <c r="A202" s="9" t="s">
        <v>908</v>
      </c>
      <c r="B202" s="9" t="s">
        <v>522</v>
      </c>
      <c r="C202" s="9" t="s">
        <v>587</v>
      </c>
      <c r="D202" s="9" t="s">
        <v>588</v>
      </c>
      <c r="E202" s="29" t="n">
        <v>1</v>
      </c>
      <c r="F202" s="9" t="s">
        <v>909</v>
      </c>
      <c r="G202" s="11"/>
      <c r="H202" s="29" t="n">
        <v>0</v>
      </c>
      <c r="I202" s="9" t="s">
        <v>577</v>
      </c>
    </row>
    <row r="203" customFormat="false" ht="15" hidden="false" customHeight="false" outlineLevel="0" collapsed="false">
      <c r="A203" s="9" t="s">
        <v>910</v>
      </c>
      <c r="B203" s="9" t="s">
        <v>522</v>
      </c>
      <c r="C203" s="9" t="s">
        <v>591</v>
      </c>
      <c r="D203" s="9" t="s">
        <v>592</v>
      </c>
      <c r="E203" s="29" t="n">
        <v>1</v>
      </c>
      <c r="F203" s="9" t="s">
        <v>911</v>
      </c>
      <c r="G203" s="11"/>
      <c r="H203" s="29" t="n">
        <v>0</v>
      </c>
      <c r="I203" s="9" t="s">
        <v>577</v>
      </c>
    </row>
    <row r="204" customFormat="false" ht="15" hidden="false" customHeight="false" outlineLevel="0" collapsed="false">
      <c r="A204" s="9" t="s">
        <v>912</v>
      </c>
      <c r="B204" s="9" t="s">
        <v>522</v>
      </c>
      <c r="C204" s="9" t="s">
        <v>595</v>
      </c>
      <c r="D204" s="9" t="s">
        <v>596</v>
      </c>
      <c r="E204" s="29" t="n">
        <v>1</v>
      </c>
      <c r="F204" s="9" t="s">
        <v>913</v>
      </c>
      <c r="G204" s="11"/>
      <c r="H204" s="29" t="n">
        <v>0</v>
      </c>
      <c r="I204" s="9" t="s">
        <v>577</v>
      </c>
    </row>
    <row r="205" customFormat="false" ht="15" hidden="false" customHeight="false" outlineLevel="0" collapsed="false">
      <c r="A205" s="9" t="s">
        <v>914</v>
      </c>
      <c r="B205" s="9" t="s">
        <v>522</v>
      </c>
      <c r="C205" s="9" t="s">
        <v>599</v>
      </c>
      <c r="D205" s="9" t="s">
        <v>600</v>
      </c>
      <c r="E205" s="29" t="n">
        <v>1</v>
      </c>
      <c r="F205" s="9" t="s">
        <v>915</v>
      </c>
      <c r="G205" s="11"/>
      <c r="H205" s="29" t="n">
        <v>0</v>
      </c>
      <c r="I205" s="9" t="s">
        <v>577</v>
      </c>
    </row>
    <row r="206" customFormat="false" ht="15" hidden="false" customHeight="false" outlineLevel="0" collapsed="false">
      <c r="A206" s="9" t="s">
        <v>916</v>
      </c>
      <c r="B206" s="9" t="s">
        <v>522</v>
      </c>
      <c r="C206" s="9" t="s">
        <v>603</v>
      </c>
      <c r="D206" s="9" t="s">
        <v>604</v>
      </c>
      <c r="E206" s="29" t="n">
        <v>0</v>
      </c>
      <c r="F206" s="9"/>
      <c r="G206" s="11"/>
      <c r="H206" s="29" t="n">
        <v>0</v>
      </c>
      <c r="I206" s="9" t="s">
        <v>57</v>
      </c>
    </row>
    <row r="207" customFormat="false" ht="15" hidden="false" customHeight="false" outlineLevel="0" collapsed="false">
      <c r="A207" s="9" t="s">
        <v>917</v>
      </c>
      <c r="B207" s="9" t="s">
        <v>522</v>
      </c>
      <c r="C207" s="9" t="s">
        <v>606</v>
      </c>
      <c r="D207" s="9" t="s">
        <v>607</v>
      </c>
      <c r="E207" s="29" t="n">
        <v>0</v>
      </c>
      <c r="F207" s="9"/>
      <c r="G207" s="11"/>
      <c r="H207" s="29" t="n">
        <v>0</v>
      </c>
      <c r="I207" s="9" t="s">
        <v>57</v>
      </c>
    </row>
    <row r="208" customFormat="false" ht="15" hidden="false" customHeight="false" outlineLevel="0" collapsed="false">
      <c r="A208" s="9" t="s">
        <v>918</v>
      </c>
      <c r="B208" s="9" t="s">
        <v>522</v>
      </c>
      <c r="C208" s="9" t="s">
        <v>609</v>
      </c>
      <c r="D208" s="9" t="s">
        <v>610</v>
      </c>
      <c r="E208" s="29" t="n">
        <v>0</v>
      </c>
      <c r="F208" s="9"/>
      <c r="G208" s="11"/>
      <c r="H208" s="29" t="n">
        <v>0</v>
      </c>
      <c r="I208" s="9" t="s">
        <v>57</v>
      </c>
    </row>
    <row r="209" customFormat="false" ht="15" hidden="false" customHeight="false" outlineLevel="0" collapsed="false">
      <c r="A209" s="9" t="s">
        <v>919</v>
      </c>
      <c r="B209" s="9" t="s">
        <v>522</v>
      </c>
      <c r="C209" s="9" t="s">
        <v>612</v>
      </c>
      <c r="D209" s="9" t="s">
        <v>613</v>
      </c>
      <c r="E209" s="29" t="n">
        <v>0</v>
      </c>
      <c r="F209" s="9"/>
      <c r="G209" s="11"/>
      <c r="H209" s="29" t="n">
        <v>0</v>
      </c>
      <c r="I209" s="9" t="s">
        <v>57</v>
      </c>
    </row>
    <row r="210" customFormat="false" ht="15" hidden="false" customHeight="false" outlineLevel="0" collapsed="false">
      <c r="A210" s="9" t="s">
        <v>920</v>
      </c>
      <c r="B210" s="9" t="s">
        <v>522</v>
      </c>
      <c r="C210" s="9" t="s">
        <v>615</v>
      </c>
      <c r="D210" s="9" t="s">
        <v>616</v>
      </c>
      <c r="E210" s="29" t="n">
        <v>0</v>
      </c>
      <c r="F210" s="9"/>
      <c r="G210" s="11"/>
      <c r="H210" s="29" t="n">
        <v>0</v>
      </c>
      <c r="I210" s="9" t="s">
        <v>57</v>
      </c>
    </row>
    <row r="211" customFormat="false" ht="15" hidden="false" customHeight="false" outlineLevel="0" collapsed="false">
      <c r="A211" s="9" t="s">
        <v>921</v>
      </c>
      <c r="B211" s="9" t="s">
        <v>527</v>
      </c>
      <c r="C211" s="9" t="s">
        <v>574</v>
      </c>
      <c r="D211" s="9" t="s">
        <v>575</v>
      </c>
      <c r="E211" s="29" t="n">
        <v>1</v>
      </c>
      <c r="F211" s="9" t="s">
        <v>922</v>
      </c>
      <c r="G211" s="11"/>
      <c r="H211" s="29" t="n">
        <v>0</v>
      </c>
      <c r="I211" s="9" t="s">
        <v>577</v>
      </c>
    </row>
    <row r="212" customFormat="false" ht="15" hidden="false" customHeight="false" outlineLevel="0" collapsed="false">
      <c r="A212" s="9" t="s">
        <v>923</v>
      </c>
      <c r="B212" s="9" t="s">
        <v>527</v>
      </c>
      <c r="C212" s="9" t="s">
        <v>579</v>
      </c>
      <c r="D212" s="9" t="s">
        <v>580</v>
      </c>
      <c r="E212" s="29" t="n">
        <v>1</v>
      </c>
      <c r="F212" s="9" t="s">
        <v>924</v>
      </c>
      <c r="G212" s="11"/>
      <c r="H212" s="29" t="n">
        <v>0</v>
      </c>
      <c r="I212" s="9" t="s">
        <v>577</v>
      </c>
    </row>
    <row r="213" customFormat="false" ht="15" hidden="false" customHeight="false" outlineLevel="0" collapsed="false">
      <c r="A213" s="9" t="s">
        <v>925</v>
      </c>
      <c r="B213" s="9" t="s">
        <v>527</v>
      </c>
      <c r="C213" s="9" t="s">
        <v>583</v>
      </c>
      <c r="D213" s="9" t="s">
        <v>584</v>
      </c>
      <c r="E213" s="29" t="n">
        <v>1</v>
      </c>
      <c r="F213" s="9" t="s">
        <v>926</v>
      </c>
      <c r="G213" s="11"/>
      <c r="H213" s="29" t="n">
        <v>0</v>
      </c>
      <c r="I213" s="9" t="s">
        <v>577</v>
      </c>
    </row>
    <row r="214" customFormat="false" ht="15" hidden="false" customHeight="false" outlineLevel="0" collapsed="false">
      <c r="A214" s="9" t="s">
        <v>927</v>
      </c>
      <c r="B214" s="9" t="s">
        <v>527</v>
      </c>
      <c r="C214" s="9" t="s">
        <v>587</v>
      </c>
      <c r="D214" s="9" t="s">
        <v>588</v>
      </c>
      <c r="E214" s="29" t="n">
        <v>1</v>
      </c>
      <c r="F214" s="9" t="s">
        <v>928</v>
      </c>
      <c r="G214" s="11"/>
      <c r="H214" s="29" t="n">
        <v>0</v>
      </c>
      <c r="I214" s="9" t="s">
        <v>577</v>
      </c>
    </row>
    <row r="215" customFormat="false" ht="15" hidden="false" customHeight="false" outlineLevel="0" collapsed="false">
      <c r="A215" s="9" t="s">
        <v>929</v>
      </c>
      <c r="B215" s="9" t="s">
        <v>527</v>
      </c>
      <c r="C215" s="9" t="s">
        <v>591</v>
      </c>
      <c r="D215" s="9" t="s">
        <v>592</v>
      </c>
      <c r="E215" s="29" t="n">
        <v>1</v>
      </c>
      <c r="F215" s="9" t="s">
        <v>930</v>
      </c>
      <c r="G215" s="11"/>
      <c r="H215" s="29" t="n">
        <v>0</v>
      </c>
      <c r="I215" s="9" t="s">
        <v>577</v>
      </c>
    </row>
    <row r="216" customFormat="false" ht="15" hidden="false" customHeight="false" outlineLevel="0" collapsed="false">
      <c r="A216" s="9" t="s">
        <v>931</v>
      </c>
      <c r="B216" s="9" t="s">
        <v>527</v>
      </c>
      <c r="C216" s="9" t="s">
        <v>595</v>
      </c>
      <c r="D216" s="9" t="s">
        <v>596</v>
      </c>
      <c r="E216" s="29" t="n">
        <v>1</v>
      </c>
      <c r="F216" s="9" t="s">
        <v>932</v>
      </c>
      <c r="G216" s="11"/>
      <c r="H216" s="29" t="n">
        <v>0</v>
      </c>
      <c r="I216" s="9" t="s">
        <v>577</v>
      </c>
    </row>
    <row r="217" customFormat="false" ht="15" hidden="false" customHeight="false" outlineLevel="0" collapsed="false">
      <c r="A217" s="9" t="s">
        <v>933</v>
      </c>
      <c r="B217" s="9" t="s">
        <v>527</v>
      </c>
      <c r="C217" s="9" t="s">
        <v>599</v>
      </c>
      <c r="D217" s="9" t="s">
        <v>600</v>
      </c>
      <c r="E217" s="29" t="n">
        <v>1</v>
      </c>
      <c r="F217" s="9" t="s">
        <v>934</v>
      </c>
      <c r="G217" s="11"/>
      <c r="H217" s="29" t="n">
        <v>0</v>
      </c>
      <c r="I217" s="9" t="s">
        <v>577</v>
      </c>
    </row>
    <row r="218" customFormat="false" ht="15" hidden="false" customHeight="false" outlineLevel="0" collapsed="false">
      <c r="A218" s="9" t="s">
        <v>935</v>
      </c>
      <c r="B218" s="9" t="s">
        <v>527</v>
      </c>
      <c r="C218" s="9" t="s">
        <v>603</v>
      </c>
      <c r="D218" s="9" t="s">
        <v>604</v>
      </c>
      <c r="E218" s="29" t="n">
        <v>0</v>
      </c>
      <c r="F218" s="9"/>
      <c r="G218" s="11"/>
      <c r="H218" s="29" t="n">
        <v>0</v>
      </c>
      <c r="I218" s="9" t="s">
        <v>57</v>
      </c>
    </row>
    <row r="219" customFormat="false" ht="15" hidden="false" customHeight="false" outlineLevel="0" collapsed="false">
      <c r="A219" s="9" t="s">
        <v>936</v>
      </c>
      <c r="B219" s="9" t="s">
        <v>527</v>
      </c>
      <c r="C219" s="9" t="s">
        <v>606</v>
      </c>
      <c r="D219" s="9" t="s">
        <v>607</v>
      </c>
      <c r="E219" s="29" t="n">
        <v>0</v>
      </c>
      <c r="F219" s="9"/>
      <c r="G219" s="11"/>
      <c r="H219" s="29" t="n">
        <v>0</v>
      </c>
      <c r="I219" s="9" t="s">
        <v>57</v>
      </c>
    </row>
    <row r="220" customFormat="false" ht="15" hidden="false" customHeight="false" outlineLevel="0" collapsed="false">
      <c r="A220" s="9" t="s">
        <v>937</v>
      </c>
      <c r="B220" s="9" t="s">
        <v>527</v>
      </c>
      <c r="C220" s="9" t="s">
        <v>609</v>
      </c>
      <c r="D220" s="9" t="s">
        <v>610</v>
      </c>
      <c r="E220" s="29" t="n">
        <v>0</v>
      </c>
      <c r="F220" s="9"/>
      <c r="G220" s="11"/>
      <c r="H220" s="29" t="n">
        <v>0</v>
      </c>
      <c r="I220" s="9" t="s">
        <v>57</v>
      </c>
    </row>
    <row r="221" customFormat="false" ht="15" hidden="false" customHeight="false" outlineLevel="0" collapsed="false">
      <c r="A221" s="9" t="s">
        <v>938</v>
      </c>
      <c r="B221" s="9" t="s">
        <v>527</v>
      </c>
      <c r="C221" s="9" t="s">
        <v>612</v>
      </c>
      <c r="D221" s="9" t="s">
        <v>613</v>
      </c>
      <c r="E221" s="29" t="n">
        <v>0</v>
      </c>
      <c r="F221" s="9"/>
      <c r="G221" s="11"/>
      <c r="H221" s="29" t="n">
        <v>0</v>
      </c>
      <c r="I221" s="9" t="s">
        <v>57</v>
      </c>
    </row>
    <row r="222" customFormat="false" ht="15" hidden="false" customHeight="false" outlineLevel="0" collapsed="false">
      <c r="A222" s="9" t="s">
        <v>939</v>
      </c>
      <c r="B222" s="9" t="s">
        <v>527</v>
      </c>
      <c r="C222" s="9" t="s">
        <v>615</v>
      </c>
      <c r="D222" s="9" t="s">
        <v>616</v>
      </c>
      <c r="E222" s="29" t="n">
        <v>0</v>
      </c>
      <c r="F222" s="9"/>
      <c r="G222" s="11"/>
      <c r="H222" s="29" t="n">
        <v>0</v>
      </c>
      <c r="I222" s="9" t="s">
        <v>57</v>
      </c>
    </row>
    <row r="223" customFormat="false" ht="15" hidden="false" customHeight="false" outlineLevel="0" collapsed="false">
      <c r="A223" s="9" t="s">
        <v>940</v>
      </c>
      <c r="B223" s="9" t="s">
        <v>532</v>
      </c>
      <c r="C223" s="9" t="s">
        <v>574</v>
      </c>
      <c r="D223" s="9" t="s">
        <v>575</v>
      </c>
      <c r="E223" s="29" t="n">
        <v>1</v>
      </c>
      <c r="F223" s="9" t="s">
        <v>941</v>
      </c>
      <c r="G223" s="11"/>
      <c r="H223" s="29" t="n">
        <v>0</v>
      </c>
      <c r="I223" s="9" t="s">
        <v>577</v>
      </c>
    </row>
    <row r="224" customFormat="false" ht="15" hidden="false" customHeight="false" outlineLevel="0" collapsed="false">
      <c r="A224" s="9" t="s">
        <v>942</v>
      </c>
      <c r="B224" s="9" t="s">
        <v>532</v>
      </c>
      <c r="C224" s="9" t="s">
        <v>579</v>
      </c>
      <c r="D224" s="9" t="s">
        <v>580</v>
      </c>
      <c r="E224" s="29" t="n">
        <v>1</v>
      </c>
      <c r="F224" s="9" t="s">
        <v>943</v>
      </c>
      <c r="G224" s="11"/>
      <c r="H224" s="29" t="n">
        <v>0</v>
      </c>
      <c r="I224" s="9" t="s">
        <v>577</v>
      </c>
    </row>
    <row r="225" customFormat="false" ht="15" hidden="false" customHeight="false" outlineLevel="0" collapsed="false">
      <c r="A225" s="9" t="s">
        <v>944</v>
      </c>
      <c r="B225" s="9" t="s">
        <v>532</v>
      </c>
      <c r="C225" s="9" t="s">
        <v>583</v>
      </c>
      <c r="D225" s="9" t="s">
        <v>584</v>
      </c>
      <c r="E225" s="29" t="n">
        <v>1</v>
      </c>
      <c r="F225" s="9" t="s">
        <v>945</v>
      </c>
      <c r="G225" s="11"/>
      <c r="H225" s="29" t="n">
        <v>0</v>
      </c>
      <c r="I225" s="9" t="s">
        <v>577</v>
      </c>
    </row>
    <row r="226" customFormat="false" ht="15" hidden="false" customHeight="false" outlineLevel="0" collapsed="false">
      <c r="A226" s="9" t="s">
        <v>946</v>
      </c>
      <c r="B226" s="9" t="s">
        <v>532</v>
      </c>
      <c r="C226" s="9" t="s">
        <v>587</v>
      </c>
      <c r="D226" s="9" t="s">
        <v>588</v>
      </c>
      <c r="E226" s="29" t="n">
        <v>1</v>
      </c>
      <c r="F226" s="9" t="s">
        <v>947</v>
      </c>
      <c r="G226" s="11"/>
      <c r="H226" s="29" t="n">
        <v>0</v>
      </c>
      <c r="I226" s="9" t="s">
        <v>577</v>
      </c>
    </row>
    <row r="227" customFormat="false" ht="15" hidden="false" customHeight="false" outlineLevel="0" collapsed="false">
      <c r="A227" s="9" t="s">
        <v>948</v>
      </c>
      <c r="B227" s="9" t="s">
        <v>532</v>
      </c>
      <c r="C227" s="9" t="s">
        <v>591</v>
      </c>
      <c r="D227" s="9" t="s">
        <v>592</v>
      </c>
      <c r="E227" s="29" t="n">
        <v>1</v>
      </c>
      <c r="F227" s="9" t="s">
        <v>949</v>
      </c>
      <c r="G227" s="11"/>
      <c r="H227" s="29" t="n">
        <v>0</v>
      </c>
      <c r="I227" s="9" t="s">
        <v>577</v>
      </c>
    </row>
    <row r="228" customFormat="false" ht="15" hidden="false" customHeight="false" outlineLevel="0" collapsed="false">
      <c r="A228" s="9" t="s">
        <v>950</v>
      </c>
      <c r="B228" s="9" t="s">
        <v>532</v>
      </c>
      <c r="C228" s="9" t="s">
        <v>595</v>
      </c>
      <c r="D228" s="9" t="s">
        <v>596</v>
      </c>
      <c r="E228" s="29" t="n">
        <v>1</v>
      </c>
      <c r="F228" s="9" t="s">
        <v>951</v>
      </c>
      <c r="G228" s="11"/>
      <c r="H228" s="29" t="n">
        <v>0</v>
      </c>
      <c r="I228" s="9" t="s">
        <v>577</v>
      </c>
    </row>
    <row r="229" customFormat="false" ht="15" hidden="false" customHeight="false" outlineLevel="0" collapsed="false">
      <c r="A229" s="9" t="s">
        <v>952</v>
      </c>
      <c r="B229" s="9" t="s">
        <v>532</v>
      </c>
      <c r="C229" s="9" t="s">
        <v>599</v>
      </c>
      <c r="D229" s="9" t="s">
        <v>600</v>
      </c>
      <c r="E229" s="29" t="n">
        <v>1</v>
      </c>
      <c r="F229" s="9" t="s">
        <v>953</v>
      </c>
      <c r="G229" s="11"/>
      <c r="H229" s="29" t="n">
        <v>0</v>
      </c>
      <c r="I229" s="9" t="s">
        <v>577</v>
      </c>
    </row>
    <row r="230" customFormat="false" ht="15" hidden="false" customHeight="false" outlineLevel="0" collapsed="false">
      <c r="A230" s="9" t="s">
        <v>954</v>
      </c>
      <c r="B230" s="9" t="s">
        <v>532</v>
      </c>
      <c r="C230" s="9" t="s">
        <v>603</v>
      </c>
      <c r="D230" s="9" t="s">
        <v>604</v>
      </c>
      <c r="E230" s="29" t="n">
        <v>0</v>
      </c>
      <c r="F230" s="9"/>
      <c r="G230" s="11"/>
      <c r="H230" s="29" t="n">
        <v>0</v>
      </c>
      <c r="I230" s="9" t="s">
        <v>57</v>
      </c>
    </row>
    <row r="231" customFormat="false" ht="15" hidden="false" customHeight="false" outlineLevel="0" collapsed="false">
      <c r="A231" s="9" t="s">
        <v>955</v>
      </c>
      <c r="B231" s="9" t="s">
        <v>532</v>
      </c>
      <c r="C231" s="9" t="s">
        <v>606</v>
      </c>
      <c r="D231" s="9" t="s">
        <v>607</v>
      </c>
      <c r="E231" s="29" t="n">
        <v>0</v>
      </c>
      <c r="F231" s="9"/>
      <c r="G231" s="11"/>
      <c r="H231" s="29" t="n">
        <v>0</v>
      </c>
      <c r="I231" s="9" t="s">
        <v>57</v>
      </c>
    </row>
    <row r="232" customFormat="false" ht="15" hidden="false" customHeight="false" outlineLevel="0" collapsed="false">
      <c r="A232" s="9" t="s">
        <v>956</v>
      </c>
      <c r="B232" s="9" t="s">
        <v>532</v>
      </c>
      <c r="C232" s="9" t="s">
        <v>609</v>
      </c>
      <c r="D232" s="9" t="s">
        <v>610</v>
      </c>
      <c r="E232" s="29" t="n">
        <v>0</v>
      </c>
      <c r="F232" s="9"/>
      <c r="G232" s="11"/>
      <c r="H232" s="29" t="n">
        <v>0</v>
      </c>
      <c r="I232" s="9" t="s">
        <v>57</v>
      </c>
    </row>
    <row r="233" customFormat="false" ht="15" hidden="false" customHeight="false" outlineLevel="0" collapsed="false">
      <c r="A233" s="9" t="s">
        <v>957</v>
      </c>
      <c r="B233" s="9" t="s">
        <v>532</v>
      </c>
      <c r="C233" s="9" t="s">
        <v>612</v>
      </c>
      <c r="D233" s="9" t="s">
        <v>613</v>
      </c>
      <c r="E233" s="29" t="n">
        <v>0</v>
      </c>
      <c r="F233" s="9"/>
      <c r="G233" s="11"/>
      <c r="H233" s="29" t="n">
        <v>0</v>
      </c>
      <c r="I233" s="9" t="s">
        <v>57</v>
      </c>
    </row>
    <row r="234" customFormat="false" ht="15" hidden="false" customHeight="false" outlineLevel="0" collapsed="false">
      <c r="A234" s="9" t="s">
        <v>958</v>
      </c>
      <c r="B234" s="9" t="s">
        <v>532</v>
      </c>
      <c r="C234" s="9" t="s">
        <v>615</v>
      </c>
      <c r="D234" s="9" t="s">
        <v>616</v>
      </c>
      <c r="E234" s="29" t="n">
        <v>0</v>
      </c>
      <c r="F234" s="9"/>
      <c r="G234" s="11"/>
      <c r="H234" s="29" t="n">
        <v>0</v>
      </c>
      <c r="I234" s="9" t="s">
        <v>57</v>
      </c>
    </row>
    <row r="235" customFormat="false" ht="15" hidden="false" customHeight="false" outlineLevel="0" collapsed="false">
      <c r="A235" s="9" t="s">
        <v>959</v>
      </c>
      <c r="B235" s="9" t="s">
        <v>537</v>
      </c>
      <c r="C235" s="9" t="s">
        <v>574</v>
      </c>
      <c r="D235" s="9" t="s">
        <v>575</v>
      </c>
      <c r="E235" s="29" t="n">
        <v>1</v>
      </c>
      <c r="F235" s="9" t="s">
        <v>960</v>
      </c>
      <c r="G235" s="11"/>
      <c r="H235" s="29" t="n">
        <v>0</v>
      </c>
      <c r="I235" s="9" t="s">
        <v>577</v>
      </c>
    </row>
    <row r="236" customFormat="false" ht="15" hidden="false" customHeight="false" outlineLevel="0" collapsed="false">
      <c r="A236" s="9" t="s">
        <v>961</v>
      </c>
      <c r="B236" s="9" t="s">
        <v>537</v>
      </c>
      <c r="C236" s="9" t="s">
        <v>579</v>
      </c>
      <c r="D236" s="9" t="s">
        <v>580</v>
      </c>
      <c r="E236" s="29" t="n">
        <v>1</v>
      </c>
      <c r="F236" s="9" t="s">
        <v>962</v>
      </c>
      <c r="G236" s="11"/>
      <c r="H236" s="29" t="n">
        <v>0</v>
      </c>
      <c r="I236" s="9" t="s">
        <v>577</v>
      </c>
    </row>
    <row r="237" customFormat="false" ht="15" hidden="false" customHeight="false" outlineLevel="0" collapsed="false">
      <c r="A237" s="9" t="s">
        <v>963</v>
      </c>
      <c r="B237" s="9" t="s">
        <v>537</v>
      </c>
      <c r="C237" s="9" t="s">
        <v>583</v>
      </c>
      <c r="D237" s="9" t="s">
        <v>584</v>
      </c>
      <c r="E237" s="29" t="n">
        <v>1</v>
      </c>
      <c r="F237" s="9" t="s">
        <v>964</v>
      </c>
      <c r="G237" s="11"/>
      <c r="H237" s="29" t="n">
        <v>0</v>
      </c>
      <c r="I237" s="9" t="s">
        <v>577</v>
      </c>
    </row>
    <row r="238" customFormat="false" ht="15" hidden="false" customHeight="false" outlineLevel="0" collapsed="false">
      <c r="A238" s="9" t="s">
        <v>965</v>
      </c>
      <c r="B238" s="9" t="s">
        <v>537</v>
      </c>
      <c r="C238" s="9" t="s">
        <v>587</v>
      </c>
      <c r="D238" s="9" t="s">
        <v>588</v>
      </c>
      <c r="E238" s="29" t="n">
        <v>1</v>
      </c>
      <c r="F238" s="9" t="s">
        <v>966</v>
      </c>
      <c r="G238" s="11"/>
      <c r="H238" s="29" t="n">
        <v>0</v>
      </c>
      <c r="I238" s="9" t="s">
        <v>577</v>
      </c>
    </row>
    <row r="239" customFormat="false" ht="15" hidden="false" customHeight="false" outlineLevel="0" collapsed="false">
      <c r="A239" s="9" t="s">
        <v>967</v>
      </c>
      <c r="B239" s="9" t="s">
        <v>537</v>
      </c>
      <c r="C239" s="9" t="s">
        <v>591</v>
      </c>
      <c r="D239" s="9" t="s">
        <v>592</v>
      </c>
      <c r="E239" s="29" t="n">
        <v>1</v>
      </c>
      <c r="F239" s="9" t="s">
        <v>968</v>
      </c>
      <c r="G239" s="11"/>
      <c r="H239" s="29" t="n">
        <v>0</v>
      </c>
      <c r="I239" s="9" t="s">
        <v>577</v>
      </c>
    </row>
    <row r="240" customFormat="false" ht="15" hidden="false" customHeight="false" outlineLevel="0" collapsed="false">
      <c r="A240" s="9" t="s">
        <v>969</v>
      </c>
      <c r="B240" s="9" t="s">
        <v>537</v>
      </c>
      <c r="C240" s="9" t="s">
        <v>595</v>
      </c>
      <c r="D240" s="9" t="s">
        <v>596</v>
      </c>
      <c r="E240" s="29" t="n">
        <v>1</v>
      </c>
      <c r="F240" s="9" t="s">
        <v>970</v>
      </c>
      <c r="G240" s="11"/>
      <c r="H240" s="29" t="n">
        <v>0</v>
      </c>
      <c r="I240" s="9" t="s">
        <v>577</v>
      </c>
    </row>
    <row r="241" customFormat="false" ht="15" hidden="false" customHeight="false" outlineLevel="0" collapsed="false">
      <c r="A241" s="9" t="s">
        <v>971</v>
      </c>
      <c r="B241" s="9" t="s">
        <v>537</v>
      </c>
      <c r="C241" s="9" t="s">
        <v>599</v>
      </c>
      <c r="D241" s="9" t="s">
        <v>600</v>
      </c>
      <c r="E241" s="29" t="n">
        <v>1</v>
      </c>
      <c r="F241" s="9" t="s">
        <v>972</v>
      </c>
      <c r="G241" s="11"/>
      <c r="H241" s="29" t="n">
        <v>0</v>
      </c>
      <c r="I241" s="9" t="s">
        <v>577</v>
      </c>
    </row>
    <row r="242" customFormat="false" ht="15" hidden="false" customHeight="false" outlineLevel="0" collapsed="false">
      <c r="A242" s="9" t="s">
        <v>973</v>
      </c>
      <c r="B242" s="9" t="s">
        <v>537</v>
      </c>
      <c r="C242" s="9" t="s">
        <v>603</v>
      </c>
      <c r="D242" s="9" t="s">
        <v>604</v>
      </c>
      <c r="E242" s="29" t="n">
        <v>0</v>
      </c>
      <c r="F242" s="9"/>
      <c r="G242" s="11"/>
      <c r="H242" s="29" t="n">
        <v>0</v>
      </c>
      <c r="I242" s="9" t="s">
        <v>57</v>
      </c>
    </row>
    <row r="243" customFormat="false" ht="15" hidden="false" customHeight="false" outlineLevel="0" collapsed="false">
      <c r="A243" s="9" t="s">
        <v>974</v>
      </c>
      <c r="B243" s="9" t="s">
        <v>537</v>
      </c>
      <c r="C243" s="9" t="s">
        <v>606</v>
      </c>
      <c r="D243" s="9" t="s">
        <v>607</v>
      </c>
      <c r="E243" s="29" t="n">
        <v>0</v>
      </c>
      <c r="F243" s="9"/>
      <c r="G243" s="11"/>
      <c r="H243" s="29" t="n">
        <v>0</v>
      </c>
      <c r="I243" s="9" t="s">
        <v>57</v>
      </c>
    </row>
    <row r="244" customFormat="false" ht="15" hidden="false" customHeight="false" outlineLevel="0" collapsed="false">
      <c r="A244" s="9" t="s">
        <v>975</v>
      </c>
      <c r="B244" s="9" t="s">
        <v>537</v>
      </c>
      <c r="C244" s="9" t="s">
        <v>609</v>
      </c>
      <c r="D244" s="9" t="s">
        <v>610</v>
      </c>
      <c r="E244" s="29" t="n">
        <v>0</v>
      </c>
      <c r="F244" s="9"/>
      <c r="G244" s="11"/>
      <c r="H244" s="29" t="n">
        <v>0</v>
      </c>
      <c r="I244" s="9" t="s">
        <v>57</v>
      </c>
    </row>
    <row r="245" customFormat="false" ht="15" hidden="false" customHeight="false" outlineLevel="0" collapsed="false">
      <c r="A245" s="9" t="s">
        <v>976</v>
      </c>
      <c r="B245" s="9" t="s">
        <v>537</v>
      </c>
      <c r="C245" s="9" t="s">
        <v>612</v>
      </c>
      <c r="D245" s="9" t="s">
        <v>613</v>
      </c>
      <c r="E245" s="29" t="n">
        <v>0</v>
      </c>
      <c r="F245" s="9"/>
      <c r="G245" s="11"/>
      <c r="H245" s="29" t="n">
        <v>0</v>
      </c>
      <c r="I245" s="9" t="s">
        <v>57</v>
      </c>
    </row>
    <row r="246" customFormat="false" ht="15" hidden="false" customHeight="false" outlineLevel="0" collapsed="false">
      <c r="A246" s="9" t="s">
        <v>977</v>
      </c>
      <c r="B246" s="9" t="s">
        <v>537</v>
      </c>
      <c r="C246" s="9" t="s">
        <v>615</v>
      </c>
      <c r="D246" s="9" t="s">
        <v>616</v>
      </c>
      <c r="E246" s="29" t="n">
        <v>0</v>
      </c>
      <c r="F246" s="9"/>
      <c r="G246" s="11"/>
      <c r="H246" s="29" t="n">
        <v>0</v>
      </c>
      <c r="I246" s="9" t="s">
        <v>57</v>
      </c>
    </row>
    <row r="247" customFormat="false" ht="15" hidden="false" customHeight="false" outlineLevel="0" collapsed="false">
      <c r="A247" s="9" t="s">
        <v>978</v>
      </c>
      <c r="B247" s="9" t="s">
        <v>542</v>
      </c>
      <c r="C247" s="9" t="s">
        <v>574</v>
      </c>
      <c r="D247" s="9" t="s">
        <v>575</v>
      </c>
      <c r="E247" s="29" t="n">
        <v>1</v>
      </c>
      <c r="F247" s="9" t="s">
        <v>979</v>
      </c>
      <c r="G247" s="11"/>
      <c r="H247" s="29" t="n">
        <v>0</v>
      </c>
      <c r="I247" s="9" t="s">
        <v>577</v>
      </c>
    </row>
    <row r="248" customFormat="false" ht="15" hidden="false" customHeight="false" outlineLevel="0" collapsed="false">
      <c r="A248" s="9" t="s">
        <v>980</v>
      </c>
      <c r="B248" s="9" t="s">
        <v>542</v>
      </c>
      <c r="C248" s="9" t="s">
        <v>579</v>
      </c>
      <c r="D248" s="9" t="s">
        <v>580</v>
      </c>
      <c r="E248" s="29" t="n">
        <v>1</v>
      </c>
      <c r="F248" s="9" t="s">
        <v>981</v>
      </c>
      <c r="G248" s="11"/>
      <c r="H248" s="29" t="n">
        <v>0</v>
      </c>
      <c r="I248" s="9" t="s">
        <v>577</v>
      </c>
    </row>
    <row r="249" customFormat="false" ht="15" hidden="false" customHeight="false" outlineLevel="0" collapsed="false">
      <c r="A249" s="9" t="s">
        <v>982</v>
      </c>
      <c r="B249" s="9" t="s">
        <v>542</v>
      </c>
      <c r="C249" s="9" t="s">
        <v>583</v>
      </c>
      <c r="D249" s="9" t="s">
        <v>584</v>
      </c>
      <c r="E249" s="29" t="n">
        <v>1</v>
      </c>
      <c r="F249" s="9" t="s">
        <v>983</v>
      </c>
      <c r="G249" s="11"/>
      <c r="H249" s="29" t="n">
        <v>0</v>
      </c>
      <c r="I249" s="9" t="s">
        <v>577</v>
      </c>
    </row>
    <row r="250" customFormat="false" ht="15" hidden="false" customHeight="false" outlineLevel="0" collapsed="false">
      <c r="A250" s="9" t="s">
        <v>984</v>
      </c>
      <c r="B250" s="9" t="s">
        <v>542</v>
      </c>
      <c r="C250" s="9" t="s">
        <v>587</v>
      </c>
      <c r="D250" s="9" t="s">
        <v>588</v>
      </c>
      <c r="E250" s="29" t="n">
        <v>1</v>
      </c>
      <c r="F250" s="9" t="s">
        <v>985</v>
      </c>
      <c r="G250" s="11"/>
      <c r="H250" s="29" t="n">
        <v>0</v>
      </c>
      <c r="I250" s="9" t="s">
        <v>577</v>
      </c>
    </row>
    <row r="251" customFormat="false" ht="15" hidden="false" customHeight="false" outlineLevel="0" collapsed="false">
      <c r="A251" s="9" t="s">
        <v>986</v>
      </c>
      <c r="B251" s="9" t="s">
        <v>542</v>
      </c>
      <c r="C251" s="9" t="s">
        <v>591</v>
      </c>
      <c r="D251" s="9" t="s">
        <v>592</v>
      </c>
      <c r="E251" s="29" t="n">
        <v>1</v>
      </c>
      <c r="F251" s="9" t="s">
        <v>987</v>
      </c>
      <c r="G251" s="11"/>
      <c r="H251" s="29" t="n">
        <v>0</v>
      </c>
      <c r="I251" s="9" t="s">
        <v>577</v>
      </c>
    </row>
    <row r="252" customFormat="false" ht="15" hidden="false" customHeight="false" outlineLevel="0" collapsed="false">
      <c r="A252" s="9" t="s">
        <v>988</v>
      </c>
      <c r="B252" s="9" t="s">
        <v>542</v>
      </c>
      <c r="C252" s="9" t="s">
        <v>595</v>
      </c>
      <c r="D252" s="9" t="s">
        <v>596</v>
      </c>
      <c r="E252" s="29" t="n">
        <v>1</v>
      </c>
      <c r="F252" s="9" t="s">
        <v>989</v>
      </c>
      <c r="G252" s="11"/>
      <c r="H252" s="29" t="n">
        <v>0</v>
      </c>
      <c r="I252" s="9" t="s">
        <v>577</v>
      </c>
    </row>
    <row r="253" customFormat="false" ht="15" hidden="false" customHeight="false" outlineLevel="0" collapsed="false">
      <c r="A253" s="9" t="s">
        <v>990</v>
      </c>
      <c r="B253" s="9" t="s">
        <v>542</v>
      </c>
      <c r="C253" s="9" t="s">
        <v>599</v>
      </c>
      <c r="D253" s="9" t="s">
        <v>600</v>
      </c>
      <c r="E253" s="29" t="n">
        <v>1</v>
      </c>
      <c r="F253" s="9" t="s">
        <v>991</v>
      </c>
      <c r="G253" s="11"/>
      <c r="H253" s="29" t="n">
        <v>0</v>
      </c>
      <c r="I253" s="9" t="s">
        <v>577</v>
      </c>
    </row>
    <row r="254" customFormat="false" ht="15" hidden="false" customHeight="false" outlineLevel="0" collapsed="false">
      <c r="A254" s="9" t="s">
        <v>992</v>
      </c>
      <c r="B254" s="9" t="s">
        <v>542</v>
      </c>
      <c r="C254" s="9" t="s">
        <v>603</v>
      </c>
      <c r="D254" s="9" t="s">
        <v>604</v>
      </c>
      <c r="E254" s="29" t="n">
        <v>0</v>
      </c>
      <c r="F254" s="9"/>
      <c r="G254" s="11"/>
      <c r="H254" s="29" t="n">
        <v>0</v>
      </c>
      <c r="I254" s="9" t="s">
        <v>57</v>
      </c>
    </row>
    <row r="255" customFormat="false" ht="15" hidden="false" customHeight="false" outlineLevel="0" collapsed="false">
      <c r="A255" s="9" t="s">
        <v>993</v>
      </c>
      <c r="B255" s="9" t="s">
        <v>542</v>
      </c>
      <c r="C255" s="9" t="s">
        <v>606</v>
      </c>
      <c r="D255" s="9" t="s">
        <v>607</v>
      </c>
      <c r="E255" s="29" t="n">
        <v>0</v>
      </c>
      <c r="F255" s="9"/>
      <c r="G255" s="11"/>
      <c r="H255" s="29" t="n">
        <v>0</v>
      </c>
      <c r="I255" s="9" t="s">
        <v>57</v>
      </c>
    </row>
    <row r="256" customFormat="false" ht="15" hidden="false" customHeight="false" outlineLevel="0" collapsed="false">
      <c r="A256" s="9" t="s">
        <v>994</v>
      </c>
      <c r="B256" s="9" t="s">
        <v>542</v>
      </c>
      <c r="C256" s="9" t="s">
        <v>609</v>
      </c>
      <c r="D256" s="9" t="s">
        <v>610</v>
      </c>
      <c r="E256" s="29" t="n">
        <v>0</v>
      </c>
      <c r="F256" s="9"/>
      <c r="G256" s="11"/>
      <c r="H256" s="29" t="n">
        <v>0</v>
      </c>
      <c r="I256" s="9" t="s">
        <v>57</v>
      </c>
    </row>
    <row r="257" customFormat="false" ht="15" hidden="false" customHeight="false" outlineLevel="0" collapsed="false">
      <c r="A257" s="9" t="s">
        <v>995</v>
      </c>
      <c r="B257" s="9" t="s">
        <v>542</v>
      </c>
      <c r="C257" s="9" t="s">
        <v>612</v>
      </c>
      <c r="D257" s="9" t="s">
        <v>613</v>
      </c>
      <c r="E257" s="29" t="n">
        <v>0</v>
      </c>
      <c r="F257" s="9"/>
      <c r="G257" s="11"/>
      <c r="H257" s="29" t="n">
        <v>0</v>
      </c>
      <c r="I257" s="9" t="s">
        <v>57</v>
      </c>
    </row>
    <row r="258" customFormat="false" ht="15" hidden="false" customHeight="false" outlineLevel="0" collapsed="false">
      <c r="A258" s="9" t="s">
        <v>996</v>
      </c>
      <c r="B258" s="9" t="s">
        <v>542</v>
      </c>
      <c r="C258" s="9" t="s">
        <v>615</v>
      </c>
      <c r="D258" s="9" t="s">
        <v>616</v>
      </c>
      <c r="E258" s="29" t="n">
        <v>0</v>
      </c>
      <c r="F258" s="9"/>
      <c r="G258" s="11"/>
      <c r="H258" s="29" t="n">
        <v>0</v>
      </c>
      <c r="I258" s="9" t="s">
        <v>57</v>
      </c>
    </row>
    <row r="259" customFormat="false" ht="15" hidden="false" customHeight="false" outlineLevel="0" collapsed="false">
      <c r="A259" s="9" t="s">
        <v>997</v>
      </c>
      <c r="B259" s="9" t="s">
        <v>547</v>
      </c>
      <c r="C259" s="9" t="s">
        <v>574</v>
      </c>
      <c r="D259" s="9" t="s">
        <v>575</v>
      </c>
      <c r="E259" s="29" t="n">
        <v>1</v>
      </c>
      <c r="F259" s="9" t="s">
        <v>998</v>
      </c>
      <c r="G259" s="11"/>
      <c r="H259" s="29" t="n">
        <v>0</v>
      </c>
      <c r="I259" s="9" t="s">
        <v>577</v>
      </c>
    </row>
    <row r="260" customFormat="false" ht="15" hidden="false" customHeight="false" outlineLevel="0" collapsed="false">
      <c r="A260" s="9" t="s">
        <v>999</v>
      </c>
      <c r="B260" s="9" t="s">
        <v>547</v>
      </c>
      <c r="C260" s="9" t="s">
        <v>579</v>
      </c>
      <c r="D260" s="9" t="s">
        <v>580</v>
      </c>
      <c r="E260" s="29" t="n">
        <v>1</v>
      </c>
      <c r="F260" s="9" t="s">
        <v>1000</v>
      </c>
      <c r="G260" s="11"/>
      <c r="H260" s="29" t="n">
        <v>0</v>
      </c>
      <c r="I260" s="9" t="s">
        <v>577</v>
      </c>
    </row>
    <row r="261" customFormat="false" ht="15" hidden="false" customHeight="false" outlineLevel="0" collapsed="false">
      <c r="A261" s="9" t="s">
        <v>1001</v>
      </c>
      <c r="B261" s="9" t="s">
        <v>547</v>
      </c>
      <c r="C261" s="9" t="s">
        <v>583</v>
      </c>
      <c r="D261" s="9" t="s">
        <v>584</v>
      </c>
      <c r="E261" s="29" t="n">
        <v>1</v>
      </c>
      <c r="F261" s="9" t="s">
        <v>1002</v>
      </c>
      <c r="G261" s="11"/>
      <c r="H261" s="29" t="n">
        <v>0</v>
      </c>
      <c r="I261" s="9" t="s">
        <v>577</v>
      </c>
    </row>
    <row r="262" customFormat="false" ht="15" hidden="false" customHeight="false" outlineLevel="0" collapsed="false">
      <c r="A262" s="9" t="s">
        <v>1003</v>
      </c>
      <c r="B262" s="9" t="s">
        <v>547</v>
      </c>
      <c r="C262" s="9" t="s">
        <v>587</v>
      </c>
      <c r="D262" s="9" t="s">
        <v>588</v>
      </c>
      <c r="E262" s="29" t="n">
        <v>1</v>
      </c>
      <c r="F262" s="9" t="s">
        <v>1004</v>
      </c>
      <c r="G262" s="11"/>
      <c r="H262" s="29" t="n">
        <v>0</v>
      </c>
      <c r="I262" s="9" t="s">
        <v>577</v>
      </c>
    </row>
    <row r="263" customFormat="false" ht="15" hidden="false" customHeight="false" outlineLevel="0" collapsed="false">
      <c r="A263" s="9" t="s">
        <v>1005</v>
      </c>
      <c r="B263" s="9" t="s">
        <v>547</v>
      </c>
      <c r="C263" s="9" t="s">
        <v>591</v>
      </c>
      <c r="D263" s="9" t="s">
        <v>592</v>
      </c>
      <c r="E263" s="29" t="n">
        <v>1</v>
      </c>
      <c r="F263" s="9" t="s">
        <v>1006</v>
      </c>
      <c r="G263" s="11"/>
      <c r="H263" s="29" t="n">
        <v>0</v>
      </c>
      <c r="I263" s="9" t="s">
        <v>577</v>
      </c>
    </row>
    <row r="264" customFormat="false" ht="15" hidden="false" customHeight="false" outlineLevel="0" collapsed="false">
      <c r="A264" s="9" t="s">
        <v>1007</v>
      </c>
      <c r="B264" s="9" t="s">
        <v>547</v>
      </c>
      <c r="C264" s="9" t="s">
        <v>595</v>
      </c>
      <c r="D264" s="9" t="s">
        <v>596</v>
      </c>
      <c r="E264" s="29" t="n">
        <v>1</v>
      </c>
      <c r="F264" s="9" t="s">
        <v>1008</v>
      </c>
      <c r="G264" s="11"/>
      <c r="H264" s="29" t="n">
        <v>0</v>
      </c>
      <c r="I264" s="9" t="s">
        <v>577</v>
      </c>
    </row>
    <row r="265" customFormat="false" ht="15" hidden="false" customHeight="false" outlineLevel="0" collapsed="false">
      <c r="A265" s="9" t="s">
        <v>1009</v>
      </c>
      <c r="B265" s="9" t="s">
        <v>547</v>
      </c>
      <c r="C265" s="9" t="s">
        <v>599</v>
      </c>
      <c r="D265" s="9" t="s">
        <v>600</v>
      </c>
      <c r="E265" s="29" t="n">
        <v>1</v>
      </c>
      <c r="F265" s="9" t="s">
        <v>1010</v>
      </c>
      <c r="G265" s="11"/>
      <c r="H265" s="29" t="n">
        <v>0</v>
      </c>
      <c r="I265" s="9" t="s">
        <v>577</v>
      </c>
    </row>
    <row r="266" customFormat="false" ht="15" hidden="false" customHeight="false" outlineLevel="0" collapsed="false">
      <c r="A266" s="9" t="s">
        <v>1011</v>
      </c>
      <c r="B266" s="9" t="s">
        <v>547</v>
      </c>
      <c r="C266" s="9" t="s">
        <v>603</v>
      </c>
      <c r="D266" s="9" t="s">
        <v>604</v>
      </c>
      <c r="E266" s="29" t="n">
        <v>0</v>
      </c>
      <c r="F266" s="9"/>
      <c r="G266" s="11"/>
      <c r="H266" s="29" t="n">
        <v>0</v>
      </c>
      <c r="I266" s="9" t="s">
        <v>57</v>
      </c>
    </row>
    <row r="267" customFormat="false" ht="15" hidden="false" customHeight="false" outlineLevel="0" collapsed="false">
      <c r="A267" s="9" t="s">
        <v>1012</v>
      </c>
      <c r="B267" s="9" t="s">
        <v>547</v>
      </c>
      <c r="C267" s="9" t="s">
        <v>606</v>
      </c>
      <c r="D267" s="9" t="s">
        <v>607</v>
      </c>
      <c r="E267" s="29" t="n">
        <v>0</v>
      </c>
      <c r="F267" s="9"/>
      <c r="G267" s="11"/>
      <c r="H267" s="29" t="n">
        <v>0</v>
      </c>
      <c r="I267" s="9" t="s">
        <v>57</v>
      </c>
    </row>
    <row r="268" customFormat="false" ht="15" hidden="false" customHeight="false" outlineLevel="0" collapsed="false">
      <c r="A268" s="9" t="s">
        <v>1013</v>
      </c>
      <c r="B268" s="9" t="s">
        <v>547</v>
      </c>
      <c r="C268" s="9" t="s">
        <v>609</v>
      </c>
      <c r="D268" s="9" t="s">
        <v>610</v>
      </c>
      <c r="E268" s="29" t="n">
        <v>0</v>
      </c>
      <c r="F268" s="9"/>
      <c r="G268" s="11"/>
      <c r="H268" s="29" t="n">
        <v>0</v>
      </c>
      <c r="I268" s="9" t="s">
        <v>57</v>
      </c>
    </row>
    <row r="269" customFormat="false" ht="15" hidden="false" customHeight="false" outlineLevel="0" collapsed="false">
      <c r="A269" s="9" t="s">
        <v>1014</v>
      </c>
      <c r="B269" s="9" t="s">
        <v>547</v>
      </c>
      <c r="C269" s="9" t="s">
        <v>612</v>
      </c>
      <c r="D269" s="9" t="s">
        <v>613</v>
      </c>
      <c r="E269" s="29" t="n">
        <v>0</v>
      </c>
      <c r="F269" s="9"/>
      <c r="G269" s="11"/>
      <c r="H269" s="29" t="n">
        <v>0</v>
      </c>
      <c r="I269" s="9" t="s">
        <v>57</v>
      </c>
    </row>
    <row r="270" customFormat="false" ht="15" hidden="false" customHeight="false" outlineLevel="0" collapsed="false">
      <c r="A270" s="9" t="s">
        <v>1015</v>
      </c>
      <c r="B270" s="9" t="s">
        <v>547</v>
      </c>
      <c r="C270" s="9" t="s">
        <v>615</v>
      </c>
      <c r="D270" s="9" t="s">
        <v>616</v>
      </c>
      <c r="E270" s="29" t="n">
        <v>0</v>
      </c>
      <c r="F270" s="9"/>
      <c r="G270" s="11"/>
      <c r="H270" s="29" t="n">
        <v>0</v>
      </c>
      <c r="I270" s="9" t="s">
        <v>57</v>
      </c>
    </row>
    <row r="271" customFormat="false" ht="15" hidden="false" customHeight="false" outlineLevel="0" collapsed="false">
      <c r="A271" s="9" t="s">
        <v>1016</v>
      </c>
      <c r="B271" s="9" t="s">
        <v>552</v>
      </c>
      <c r="C271" s="9" t="s">
        <v>574</v>
      </c>
      <c r="D271" s="9" t="s">
        <v>575</v>
      </c>
      <c r="E271" s="29" t="n">
        <v>1</v>
      </c>
      <c r="F271" s="9" t="s">
        <v>1017</v>
      </c>
      <c r="G271" s="11"/>
      <c r="H271" s="29" t="n">
        <v>0</v>
      </c>
      <c r="I271" s="9" t="s">
        <v>577</v>
      </c>
    </row>
    <row r="272" customFormat="false" ht="15" hidden="false" customHeight="false" outlineLevel="0" collapsed="false">
      <c r="A272" s="9" t="s">
        <v>1018</v>
      </c>
      <c r="B272" s="9" t="s">
        <v>552</v>
      </c>
      <c r="C272" s="9" t="s">
        <v>579</v>
      </c>
      <c r="D272" s="9" t="s">
        <v>580</v>
      </c>
      <c r="E272" s="29" t="n">
        <v>1</v>
      </c>
      <c r="F272" s="9" t="s">
        <v>1019</v>
      </c>
      <c r="G272" s="11"/>
      <c r="H272" s="29" t="n">
        <v>0</v>
      </c>
      <c r="I272" s="9" t="s">
        <v>577</v>
      </c>
    </row>
    <row r="273" customFormat="false" ht="15" hidden="false" customHeight="false" outlineLevel="0" collapsed="false">
      <c r="A273" s="9" t="s">
        <v>1020</v>
      </c>
      <c r="B273" s="9" t="s">
        <v>552</v>
      </c>
      <c r="C273" s="9" t="s">
        <v>583</v>
      </c>
      <c r="D273" s="9" t="s">
        <v>584</v>
      </c>
      <c r="E273" s="29" t="n">
        <v>1</v>
      </c>
      <c r="F273" s="9" t="s">
        <v>1021</v>
      </c>
      <c r="G273" s="11"/>
      <c r="H273" s="29" t="n">
        <v>0</v>
      </c>
      <c r="I273" s="9" t="s">
        <v>577</v>
      </c>
    </row>
    <row r="274" customFormat="false" ht="15" hidden="false" customHeight="false" outlineLevel="0" collapsed="false">
      <c r="A274" s="9" t="s">
        <v>1022</v>
      </c>
      <c r="B274" s="9" t="s">
        <v>552</v>
      </c>
      <c r="C274" s="9" t="s">
        <v>587</v>
      </c>
      <c r="D274" s="9" t="s">
        <v>588</v>
      </c>
      <c r="E274" s="29" t="n">
        <v>1</v>
      </c>
      <c r="F274" s="9" t="s">
        <v>1023</v>
      </c>
      <c r="G274" s="11"/>
      <c r="H274" s="29" t="n">
        <v>0</v>
      </c>
      <c r="I274" s="9" t="s">
        <v>577</v>
      </c>
    </row>
    <row r="275" customFormat="false" ht="15" hidden="false" customHeight="false" outlineLevel="0" collapsed="false">
      <c r="A275" s="9" t="s">
        <v>1024</v>
      </c>
      <c r="B275" s="9" t="s">
        <v>552</v>
      </c>
      <c r="C275" s="9" t="s">
        <v>591</v>
      </c>
      <c r="D275" s="9" t="s">
        <v>592</v>
      </c>
      <c r="E275" s="29" t="n">
        <v>1</v>
      </c>
      <c r="F275" s="9" t="s">
        <v>1025</v>
      </c>
      <c r="G275" s="11"/>
      <c r="H275" s="29" t="n">
        <v>0</v>
      </c>
      <c r="I275" s="9" t="s">
        <v>577</v>
      </c>
    </row>
    <row r="276" customFormat="false" ht="15" hidden="false" customHeight="false" outlineLevel="0" collapsed="false">
      <c r="A276" s="9" t="s">
        <v>1026</v>
      </c>
      <c r="B276" s="9" t="s">
        <v>552</v>
      </c>
      <c r="C276" s="9" t="s">
        <v>595</v>
      </c>
      <c r="D276" s="9" t="s">
        <v>596</v>
      </c>
      <c r="E276" s="29" t="n">
        <v>1</v>
      </c>
      <c r="F276" s="9" t="s">
        <v>1027</v>
      </c>
      <c r="G276" s="11"/>
      <c r="H276" s="29" t="n">
        <v>0</v>
      </c>
      <c r="I276" s="9" t="s">
        <v>577</v>
      </c>
    </row>
    <row r="277" customFormat="false" ht="15" hidden="false" customHeight="false" outlineLevel="0" collapsed="false">
      <c r="A277" s="9" t="s">
        <v>1028</v>
      </c>
      <c r="B277" s="9" t="s">
        <v>552</v>
      </c>
      <c r="C277" s="9" t="s">
        <v>599</v>
      </c>
      <c r="D277" s="9" t="s">
        <v>600</v>
      </c>
      <c r="E277" s="29" t="n">
        <v>1</v>
      </c>
      <c r="F277" s="9" t="s">
        <v>1029</v>
      </c>
      <c r="G277" s="11"/>
      <c r="H277" s="29" t="n">
        <v>0</v>
      </c>
      <c r="I277" s="9" t="s">
        <v>577</v>
      </c>
    </row>
    <row r="278" customFormat="false" ht="15" hidden="false" customHeight="false" outlineLevel="0" collapsed="false">
      <c r="A278" s="9" t="s">
        <v>1030</v>
      </c>
      <c r="B278" s="9" t="s">
        <v>552</v>
      </c>
      <c r="C278" s="9" t="s">
        <v>603</v>
      </c>
      <c r="D278" s="9" t="s">
        <v>604</v>
      </c>
      <c r="E278" s="29" t="n">
        <v>0</v>
      </c>
      <c r="F278" s="9"/>
      <c r="G278" s="11"/>
      <c r="H278" s="29" t="n">
        <v>0</v>
      </c>
      <c r="I278" s="9" t="s">
        <v>57</v>
      </c>
    </row>
    <row r="279" customFormat="false" ht="15" hidden="false" customHeight="false" outlineLevel="0" collapsed="false">
      <c r="A279" s="9" t="s">
        <v>1031</v>
      </c>
      <c r="B279" s="9" t="s">
        <v>552</v>
      </c>
      <c r="C279" s="9" t="s">
        <v>606</v>
      </c>
      <c r="D279" s="9" t="s">
        <v>607</v>
      </c>
      <c r="E279" s="29" t="n">
        <v>0</v>
      </c>
      <c r="F279" s="9"/>
      <c r="G279" s="11"/>
      <c r="H279" s="29" t="n">
        <v>0</v>
      </c>
      <c r="I279" s="9" t="s">
        <v>57</v>
      </c>
    </row>
    <row r="280" customFormat="false" ht="15" hidden="false" customHeight="false" outlineLevel="0" collapsed="false">
      <c r="A280" s="9" t="s">
        <v>1032</v>
      </c>
      <c r="B280" s="9" t="s">
        <v>552</v>
      </c>
      <c r="C280" s="9" t="s">
        <v>609</v>
      </c>
      <c r="D280" s="9" t="s">
        <v>610</v>
      </c>
      <c r="E280" s="29" t="n">
        <v>0</v>
      </c>
      <c r="F280" s="9"/>
      <c r="G280" s="11"/>
      <c r="H280" s="29" t="n">
        <v>0</v>
      </c>
      <c r="I280" s="9" t="s">
        <v>57</v>
      </c>
    </row>
    <row r="281" customFormat="false" ht="15" hidden="false" customHeight="false" outlineLevel="0" collapsed="false">
      <c r="A281" s="9" t="s">
        <v>1033</v>
      </c>
      <c r="B281" s="9" t="s">
        <v>552</v>
      </c>
      <c r="C281" s="9" t="s">
        <v>612</v>
      </c>
      <c r="D281" s="9" t="s">
        <v>613</v>
      </c>
      <c r="E281" s="29" t="n">
        <v>0</v>
      </c>
      <c r="F281" s="9"/>
      <c r="G281" s="11"/>
      <c r="H281" s="29" t="n">
        <v>0</v>
      </c>
      <c r="I281" s="9" t="s">
        <v>57</v>
      </c>
    </row>
    <row r="282" customFormat="false" ht="15" hidden="false" customHeight="false" outlineLevel="0" collapsed="false">
      <c r="A282" s="9" t="s">
        <v>1034</v>
      </c>
      <c r="B282" s="9" t="s">
        <v>552</v>
      </c>
      <c r="C282" s="9" t="s">
        <v>615</v>
      </c>
      <c r="D282" s="9" t="s">
        <v>616</v>
      </c>
      <c r="E282" s="29" t="n">
        <v>0</v>
      </c>
      <c r="F282" s="9"/>
      <c r="G282" s="11"/>
      <c r="H282" s="29" t="n">
        <v>0</v>
      </c>
      <c r="I282" s="9" t="s">
        <v>57</v>
      </c>
    </row>
    <row r="283" customFormat="false" ht="15" hidden="false" customHeight="false" outlineLevel="0" collapsed="false">
      <c r="A283" s="9" t="s">
        <v>1035</v>
      </c>
      <c r="B283" s="9" t="s">
        <v>557</v>
      </c>
      <c r="C283" s="9" t="s">
        <v>574</v>
      </c>
      <c r="D283" s="9" t="s">
        <v>575</v>
      </c>
      <c r="E283" s="29" t="n">
        <v>1</v>
      </c>
      <c r="F283" s="9" t="s">
        <v>1036</v>
      </c>
      <c r="G283" s="11"/>
      <c r="H283" s="29" t="n">
        <v>0</v>
      </c>
      <c r="I283" s="9" t="s">
        <v>577</v>
      </c>
    </row>
    <row r="284" customFormat="false" ht="15" hidden="false" customHeight="false" outlineLevel="0" collapsed="false">
      <c r="A284" s="9" t="s">
        <v>1037</v>
      </c>
      <c r="B284" s="9" t="s">
        <v>557</v>
      </c>
      <c r="C284" s="9" t="s">
        <v>579</v>
      </c>
      <c r="D284" s="9" t="s">
        <v>580</v>
      </c>
      <c r="E284" s="29" t="n">
        <v>1</v>
      </c>
      <c r="F284" s="9" t="s">
        <v>1038</v>
      </c>
      <c r="G284" s="11"/>
      <c r="H284" s="29" t="n">
        <v>0</v>
      </c>
      <c r="I284" s="9" t="s">
        <v>577</v>
      </c>
    </row>
    <row r="285" customFormat="false" ht="15" hidden="false" customHeight="false" outlineLevel="0" collapsed="false">
      <c r="A285" s="9" t="s">
        <v>1039</v>
      </c>
      <c r="B285" s="9" t="s">
        <v>557</v>
      </c>
      <c r="C285" s="9" t="s">
        <v>583</v>
      </c>
      <c r="D285" s="9" t="s">
        <v>584</v>
      </c>
      <c r="E285" s="29" t="n">
        <v>1</v>
      </c>
      <c r="F285" s="9" t="s">
        <v>1040</v>
      </c>
      <c r="G285" s="11"/>
      <c r="H285" s="29" t="n">
        <v>0</v>
      </c>
      <c r="I285" s="9" t="s">
        <v>577</v>
      </c>
    </row>
    <row r="286" customFormat="false" ht="15" hidden="false" customHeight="false" outlineLevel="0" collapsed="false">
      <c r="A286" s="9" t="s">
        <v>1041</v>
      </c>
      <c r="B286" s="9" t="s">
        <v>557</v>
      </c>
      <c r="C286" s="9" t="s">
        <v>587</v>
      </c>
      <c r="D286" s="9" t="s">
        <v>588</v>
      </c>
      <c r="E286" s="29" t="n">
        <v>1</v>
      </c>
      <c r="F286" s="9" t="s">
        <v>1042</v>
      </c>
      <c r="G286" s="11"/>
      <c r="H286" s="29" t="n">
        <v>0</v>
      </c>
      <c r="I286" s="9" t="s">
        <v>577</v>
      </c>
    </row>
    <row r="287" customFormat="false" ht="15" hidden="false" customHeight="false" outlineLevel="0" collapsed="false">
      <c r="A287" s="9" t="s">
        <v>1043</v>
      </c>
      <c r="B287" s="9" t="s">
        <v>557</v>
      </c>
      <c r="C287" s="9" t="s">
        <v>591</v>
      </c>
      <c r="D287" s="9" t="s">
        <v>592</v>
      </c>
      <c r="E287" s="29" t="n">
        <v>1</v>
      </c>
      <c r="F287" s="9" t="s">
        <v>1044</v>
      </c>
      <c r="G287" s="11"/>
      <c r="H287" s="29" t="n">
        <v>0</v>
      </c>
      <c r="I287" s="9" t="s">
        <v>577</v>
      </c>
    </row>
    <row r="288" customFormat="false" ht="15" hidden="false" customHeight="false" outlineLevel="0" collapsed="false">
      <c r="A288" s="9" t="s">
        <v>1045</v>
      </c>
      <c r="B288" s="9" t="s">
        <v>557</v>
      </c>
      <c r="C288" s="9" t="s">
        <v>595</v>
      </c>
      <c r="D288" s="9" t="s">
        <v>596</v>
      </c>
      <c r="E288" s="29" t="n">
        <v>1</v>
      </c>
      <c r="F288" s="9" t="s">
        <v>1046</v>
      </c>
      <c r="G288" s="11"/>
      <c r="H288" s="29" t="n">
        <v>0</v>
      </c>
      <c r="I288" s="9" t="s">
        <v>577</v>
      </c>
    </row>
    <row r="289" customFormat="false" ht="15" hidden="false" customHeight="false" outlineLevel="0" collapsed="false">
      <c r="A289" s="9" t="s">
        <v>1047</v>
      </c>
      <c r="B289" s="9" t="s">
        <v>557</v>
      </c>
      <c r="C289" s="9" t="s">
        <v>599</v>
      </c>
      <c r="D289" s="9" t="s">
        <v>600</v>
      </c>
      <c r="E289" s="29" t="n">
        <v>1</v>
      </c>
      <c r="F289" s="9" t="s">
        <v>1048</v>
      </c>
      <c r="G289" s="11"/>
      <c r="H289" s="29" t="n">
        <v>0</v>
      </c>
      <c r="I289" s="9" t="s">
        <v>577</v>
      </c>
    </row>
    <row r="290" customFormat="false" ht="15" hidden="false" customHeight="false" outlineLevel="0" collapsed="false">
      <c r="A290" s="9" t="s">
        <v>1049</v>
      </c>
      <c r="B290" s="9" t="s">
        <v>557</v>
      </c>
      <c r="C290" s="9" t="s">
        <v>603</v>
      </c>
      <c r="D290" s="9" t="s">
        <v>604</v>
      </c>
      <c r="E290" s="29" t="n">
        <v>0</v>
      </c>
      <c r="F290" s="9"/>
      <c r="G290" s="11"/>
      <c r="H290" s="29" t="n">
        <v>0</v>
      </c>
      <c r="I290" s="9" t="s">
        <v>57</v>
      </c>
    </row>
    <row r="291" customFormat="false" ht="15" hidden="false" customHeight="false" outlineLevel="0" collapsed="false">
      <c r="A291" s="9" t="s">
        <v>1050</v>
      </c>
      <c r="B291" s="9" t="s">
        <v>557</v>
      </c>
      <c r="C291" s="9" t="s">
        <v>606</v>
      </c>
      <c r="D291" s="9" t="s">
        <v>607</v>
      </c>
      <c r="E291" s="29" t="n">
        <v>0</v>
      </c>
      <c r="F291" s="9"/>
      <c r="G291" s="11"/>
      <c r="H291" s="29" t="n">
        <v>0</v>
      </c>
      <c r="I291" s="9" t="s">
        <v>57</v>
      </c>
    </row>
    <row r="292" customFormat="false" ht="15" hidden="false" customHeight="false" outlineLevel="0" collapsed="false">
      <c r="A292" s="9" t="s">
        <v>1051</v>
      </c>
      <c r="B292" s="9" t="s">
        <v>557</v>
      </c>
      <c r="C292" s="9" t="s">
        <v>609</v>
      </c>
      <c r="D292" s="9" t="s">
        <v>610</v>
      </c>
      <c r="E292" s="29" t="n">
        <v>0</v>
      </c>
      <c r="F292" s="9"/>
      <c r="G292" s="11"/>
      <c r="H292" s="29" t="n">
        <v>0</v>
      </c>
      <c r="I292" s="9" t="s">
        <v>57</v>
      </c>
    </row>
    <row r="293" customFormat="false" ht="15" hidden="false" customHeight="false" outlineLevel="0" collapsed="false">
      <c r="A293" s="9" t="s">
        <v>1052</v>
      </c>
      <c r="B293" s="9" t="s">
        <v>557</v>
      </c>
      <c r="C293" s="9" t="s">
        <v>612</v>
      </c>
      <c r="D293" s="9" t="s">
        <v>613</v>
      </c>
      <c r="E293" s="29" t="n">
        <v>0</v>
      </c>
      <c r="F293" s="9"/>
      <c r="G293" s="11"/>
      <c r="H293" s="29" t="n">
        <v>0</v>
      </c>
      <c r="I293" s="9" t="s">
        <v>57</v>
      </c>
    </row>
    <row r="294" customFormat="false" ht="15" hidden="false" customHeight="false" outlineLevel="0" collapsed="false">
      <c r="A294" s="12" t="s">
        <v>1053</v>
      </c>
      <c r="B294" s="12" t="s">
        <v>557</v>
      </c>
      <c r="C294" s="12" t="s">
        <v>615</v>
      </c>
      <c r="D294" s="12" t="s">
        <v>616</v>
      </c>
      <c r="E294" s="31" t="n">
        <v>0</v>
      </c>
      <c r="F294" s="12"/>
      <c r="G294" s="14"/>
      <c r="H294" s="31" t="n">
        <v>0</v>
      </c>
      <c r="I294" s="12" t="s">
        <v>57</v>
      </c>
    </row>
    <row r="295" customFormat="false" ht="1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</row>
    <row r="296" customFormat="false" ht="1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</row>
    <row r="297" customFormat="false" ht="23" hidden="false" customHeight="true" outlineLevel="0" collapsed="false">
      <c r="A297" s="15" t="s">
        <v>269</v>
      </c>
      <c r="B297" s="16" t="n">
        <v>24</v>
      </c>
      <c r="C297" s="16" t="n">
        <v>12</v>
      </c>
      <c r="D297" s="16"/>
      <c r="E297" s="50" t="n">
        <f aca="false">SUM(E7:E294)</f>
        <v>168</v>
      </c>
      <c r="F297" s="50" t="n">
        <f aca="false">COUNTA(F7:F294)</f>
        <v>288</v>
      </c>
      <c r="G297" s="50"/>
      <c r="H297" s="50" t="n">
        <f aca="false">SUM(H7:H294)</f>
        <v>0</v>
      </c>
      <c r="I297" s="51" t="n">
        <f aca="false">COUNTIF(I7:I294,"HELD")</f>
        <v>120</v>
      </c>
    </row>
  </sheetData>
  <mergeCells count="2">
    <mergeCell ref="A2:I2"/>
    <mergeCell ref="A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7"/>
    <col collapsed="false" customWidth="true" hidden="false" outlineLevel="0" max="4" min="4" style="0" width="74"/>
    <col collapsed="false" customWidth="true" hidden="false" outlineLevel="0" max="5" min="5" style="0" width="21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8"/>
  </cols>
  <sheetData>
    <row r="2" customFormat="false" ht="24" hidden="false" customHeight="true" outlineLevel="0" collapsed="false">
      <c r="A2" s="1" t="s">
        <v>1054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1055</v>
      </c>
      <c r="B6" s="6" t="s">
        <v>1056</v>
      </c>
      <c r="C6" s="6" t="s">
        <v>1057</v>
      </c>
      <c r="D6" s="6" t="s">
        <v>1058</v>
      </c>
      <c r="E6" s="6" t="s">
        <v>1059</v>
      </c>
      <c r="F6" s="6" t="s">
        <v>1060</v>
      </c>
      <c r="G6" s="7" t="s">
        <v>5</v>
      </c>
      <c r="H6" s="4"/>
    </row>
    <row r="7" customFormat="false" ht="15" hidden="false" customHeight="false" outlineLevel="0" collapsed="false">
      <c r="A7" s="8" t="n">
        <v>1</v>
      </c>
      <c r="B7" s="8" t="s">
        <v>304</v>
      </c>
      <c r="C7" s="8" t="s">
        <v>306</v>
      </c>
      <c r="D7" s="8" t="s">
        <v>1061</v>
      </c>
      <c r="E7" s="8" t="s">
        <v>1062</v>
      </c>
      <c r="F7" s="52" t="s">
        <v>1063</v>
      </c>
      <c r="G7" s="52" t="s">
        <v>1064</v>
      </c>
      <c r="H7" s="4"/>
    </row>
    <row r="8" customFormat="false" ht="15" hidden="false" customHeight="false" outlineLevel="0" collapsed="false">
      <c r="A8" s="9" t="n">
        <v>2</v>
      </c>
      <c r="B8" s="9" t="s">
        <v>304</v>
      </c>
      <c r="C8" s="9" t="s">
        <v>308</v>
      </c>
      <c r="D8" s="9" t="s">
        <v>1061</v>
      </c>
      <c r="E8" s="9" t="s">
        <v>1062</v>
      </c>
      <c r="F8" s="11" t="s">
        <v>1063</v>
      </c>
      <c r="G8" s="11" t="s">
        <v>1064</v>
      </c>
      <c r="H8" s="4"/>
    </row>
    <row r="9" customFormat="false" ht="15" hidden="false" customHeight="false" outlineLevel="0" collapsed="false">
      <c r="A9" s="9" t="n">
        <v>3</v>
      </c>
      <c r="B9" s="9" t="s">
        <v>304</v>
      </c>
      <c r="C9" s="9" t="s">
        <v>310</v>
      </c>
      <c r="D9" s="9" t="s">
        <v>1061</v>
      </c>
      <c r="E9" s="9" t="s">
        <v>1062</v>
      </c>
      <c r="F9" s="11" t="s">
        <v>1063</v>
      </c>
      <c r="G9" s="11" t="s">
        <v>1064</v>
      </c>
      <c r="H9" s="4"/>
    </row>
    <row r="10" customFormat="false" ht="15" hidden="false" customHeight="false" outlineLevel="0" collapsed="false">
      <c r="A10" s="9" t="n">
        <v>4</v>
      </c>
      <c r="B10" s="9" t="s">
        <v>304</v>
      </c>
      <c r="C10" s="9" t="s">
        <v>312</v>
      </c>
      <c r="D10" s="9" t="s">
        <v>1061</v>
      </c>
      <c r="E10" s="9" t="s">
        <v>1062</v>
      </c>
      <c r="F10" s="11" t="s">
        <v>1063</v>
      </c>
      <c r="G10" s="11" t="s">
        <v>1064</v>
      </c>
      <c r="H10" s="4"/>
    </row>
    <row r="11" customFormat="false" ht="15" hidden="false" customHeight="false" outlineLevel="0" collapsed="false">
      <c r="A11" s="9" t="n">
        <v>5</v>
      </c>
      <c r="B11" s="9" t="s">
        <v>304</v>
      </c>
      <c r="C11" s="9" t="s">
        <v>314</v>
      </c>
      <c r="D11" s="9" t="s">
        <v>1061</v>
      </c>
      <c r="E11" s="9" t="s">
        <v>1062</v>
      </c>
      <c r="F11" s="11" t="s">
        <v>1063</v>
      </c>
      <c r="G11" s="11" t="s">
        <v>1064</v>
      </c>
      <c r="H11" s="4"/>
    </row>
    <row r="12" customFormat="false" ht="15" hidden="false" customHeight="false" outlineLevel="0" collapsed="false">
      <c r="A12" s="9" t="n">
        <v>6</v>
      </c>
      <c r="B12" s="9" t="s">
        <v>306</v>
      </c>
      <c r="C12" s="9" t="s">
        <v>304</v>
      </c>
      <c r="D12" s="9" t="s">
        <v>1065</v>
      </c>
      <c r="E12" s="9" t="s">
        <v>1062</v>
      </c>
      <c r="F12" s="11" t="s">
        <v>1063</v>
      </c>
      <c r="G12" s="11" t="s">
        <v>1064</v>
      </c>
      <c r="H12" s="4"/>
    </row>
    <row r="13" customFormat="false" ht="15" hidden="false" customHeight="false" outlineLevel="0" collapsed="false">
      <c r="A13" s="9" t="n">
        <v>7</v>
      </c>
      <c r="B13" s="9" t="s">
        <v>306</v>
      </c>
      <c r="C13" s="9" t="s">
        <v>308</v>
      </c>
      <c r="D13" s="9" t="s">
        <v>1065</v>
      </c>
      <c r="E13" s="9" t="s">
        <v>1062</v>
      </c>
      <c r="F13" s="11" t="s">
        <v>1063</v>
      </c>
      <c r="G13" s="11" t="s">
        <v>1064</v>
      </c>
      <c r="H13" s="4"/>
    </row>
    <row r="14" customFormat="false" ht="15" hidden="false" customHeight="false" outlineLevel="0" collapsed="false">
      <c r="A14" s="9" t="n">
        <v>8</v>
      </c>
      <c r="B14" s="9" t="s">
        <v>306</v>
      </c>
      <c r="C14" s="9" t="s">
        <v>310</v>
      </c>
      <c r="D14" s="9" t="s">
        <v>1065</v>
      </c>
      <c r="E14" s="9" t="s">
        <v>1062</v>
      </c>
      <c r="F14" s="11" t="s">
        <v>1063</v>
      </c>
      <c r="G14" s="11" t="s">
        <v>1064</v>
      </c>
      <c r="H14" s="4"/>
    </row>
    <row r="15" customFormat="false" ht="15" hidden="false" customHeight="false" outlineLevel="0" collapsed="false">
      <c r="A15" s="9" t="n">
        <v>9</v>
      </c>
      <c r="B15" s="9" t="s">
        <v>306</v>
      </c>
      <c r="C15" s="9" t="s">
        <v>312</v>
      </c>
      <c r="D15" s="9" t="s">
        <v>1065</v>
      </c>
      <c r="E15" s="9" t="s">
        <v>1062</v>
      </c>
      <c r="F15" s="11" t="s">
        <v>1063</v>
      </c>
      <c r="G15" s="11" t="s">
        <v>1064</v>
      </c>
      <c r="H15" s="4"/>
    </row>
    <row r="16" customFormat="false" ht="15" hidden="false" customHeight="false" outlineLevel="0" collapsed="false">
      <c r="A16" s="9" t="n">
        <v>10</v>
      </c>
      <c r="B16" s="9" t="s">
        <v>306</v>
      </c>
      <c r="C16" s="9" t="s">
        <v>314</v>
      </c>
      <c r="D16" s="9" t="s">
        <v>1065</v>
      </c>
      <c r="E16" s="9" t="s">
        <v>1062</v>
      </c>
      <c r="F16" s="11" t="s">
        <v>1063</v>
      </c>
      <c r="G16" s="11" t="s">
        <v>1064</v>
      </c>
      <c r="H16" s="4"/>
    </row>
    <row r="17" customFormat="false" ht="15" hidden="false" customHeight="false" outlineLevel="0" collapsed="false">
      <c r="A17" s="9" t="n">
        <v>11</v>
      </c>
      <c r="B17" s="9" t="s">
        <v>308</v>
      </c>
      <c r="C17" s="9" t="s">
        <v>304</v>
      </c>
      <c r="D17" s="9" t="s">
        <v>1066</v>
      </c>
      <c r="E17" s="9" t="s">
        <v>1062</v>
      </c>
      <c r="F17" s="11" t="s">
        <v>1063</v>
      </c>
      <c r="G17" s="11" t="s">
        <v>1064</v>
      </c>
      <c r="H17" s="4"/>
    </row>
    <row r="18" customFormat="false" ht="15" hidden="false" customHeight="false" outlineLevel="0" collapsed="false">
      <c r="A18" s="9" t="n">
        <v>12</v>
      </c>
      <c r="B18" s="9" t="s">
        <v>308</v>
      </c>
      <c r="C18" s="9" t="s">
        <v>306</v>
      </c>
      <c r="D18" s="9" t="s">
        <v>1066</v>
      </c>
      <c r="E18" s="9" t="s">
        <v>1062</v>
      </c>
      <c r="F18" s="11" t="s">
        <v>1063</v>
      </c>
      <c r="G18" s="11" t="s">
        <v>1064</v>
      </c>
      <c r="H18" s="4"/>
    </row>
    <row r="19" customFormat="false" ht="15" hidden="false" customHeight="false" outlineLevel="0" collapsed="false">
      <c r="A19" s="9" t="n">
        <v>13</v>
      </c>
      <c r="B19" s="9" t="s">
        <v>308</v>
      </c>
      <c r="C19" s="9" t="s">
        <v>310</v>
      </c>
      <c r="D19" s="9" t="s">
        <v>1066</v>
      </c>
      <c r="E19" s="9" t="s">
        <v>1062</v>
      </c>
      <c r="F19" s="11" t="s">
        <v>1063</v>
      </c>
      <c r="G19" s="11" t="s">
        <v>1064</v>
      </c>
      <c r="H19" s="4"/>
    </row>
    <row r="20" customFormat="false" ht="15" hidden="false" customHeight="false" outlineLevel="0" collapsed="false">
      <c r="A20" s="9" t="n">
        <v>14</v>
      </c>
      <c r="B20" s="9" t="s">
        <v>308</v>
      </c>
      <c r="C20" s="9" t="s">
        <v>312</v>
      </c>
      <c r="D20" s="9" t="s">
        <v>1066</v>
      </c>
      <c r="E20" s="9" t="s">
        <v>1062</v>
      </c>
      <c r="F20" s="11" t="s">
        <v>1063</v>
      </c>
      <c r="G20" s="11" t="s">
        <v>1064</v>
      </c>
      <c r="H20" s="4"/>
    </row>
    <row r="21" customFormat="false" ht="15" hidden="false" customHeight="false" outlineLevel="0" collapsed="false">
      <c r="A21" s="9" t="n">
        <v>15</v>
      </c>
      <c r="B21" s="9" t="s">
        <v>308</v>
      </c>
      <c r="C21" s="9" t="s">
        <v>314</v>
      </c>
      <c r="D21" s="9" t="s">
        <v>1066</v>
      </c>
      <c r="E21" s="9" t="s">
        <v>1062</v>
      </c>
      <c r="F21" s="11" t="s">
        <v>1063</v>
      </c>
      <c r="G21" s="11" t="s">
        <v>1064</v>
      </c>
      <c r="H21" s="4"/>
    </row>
    <row r="22" customFormat="false" ht="15" hidden="false" customHeight="false" outlineLevel="0" collapsed="false">
      <c r="A22" s="9" t="n">
        <v>16</v>
      </c>
      <c r="B22" s="9" t="s">
        <v>310</v>
      </c>
      <c r="C22" s="9" t="s">
        <v>304</v>
      </c>
      <c r="D22" s="9" t="s">
        <v>1067</v>
      </c>
      <c r="E22" s="9" t="s">
        <v>1062</v>
      </c>
      <c r="F22" s="11" t="s">
        <v>1063</v>
      </c>
      <c r="G22" s="11" t="s">
        <v>1064</v>
      </c>
      <c r="H22" s="4"/>
    </row>
    <row r="23" customFormat="false" ht="15" hidden="false" customHeight="false" outlineLevel="0" collapsed="false">
      <c r="A23" s="9" t="n">
        <v>17</v>
      </c>
      <c r="B23" s="9" t="s">
        <v>310</v>
      </c>
      <c r="C23" s="9" t="s">
        <v>306</v>
      </c>
      <c r="D23" s="9" t="s">
        <v>1067</v>
      </c>
      <c r="E23" s="9" t="s">
        <v>1062</v>
      </c>
      <c r="F23" s="11" t="s">
        <v>1063</v>
      </c>
      <c r="G23" s="11" t="s">
        <v>1064</v>
      </c>
      <c r="H23" s="4"/>
    </row>
    <row r="24" customFormat="false" ht="15" hidden="false" customHeight="false" outlineLevel="0" collapsed="false">
      <c r="A24" s="9" t="n">
        <v>18</v>
      </c>
      <c r="B24" s="9" t="s">
        <v>310</v>
      </c>
      <c r="C24" s="9" t="s">
        <v>308</v>
      </c>
      <c r="D24" s="9" t="s">
        <v>1067</v>
      </c>
      <c r="E24" s="9" t="s">
        <v>1062</v>
      </c>
      <c r="F24" s="11" t="s">
        <v>1063</v>
      </c>
      <c r="G24" s="11" t="s">
        <v>1064</v>
      </c>
      <c r="H24" s="4"/>
    </row>
    <row r="25" customFormat="false" ht="15" hidden="false" customHeight="false" outlineLevel="0" collapsed="false">
      <c r="A25" s="9" t="n">
        <v>19</v>
      </c>
      <c r="B25" s="9" t="s">
        <v>310</v>
      </c>
      <c r="C25" s="9" t="s">
        <v>312</v>
      </c>
      <c r="D25" s="9" t="s">
        <v>1067</v>
      </c>
      <c r="E25" s="9" t="s">
        <v>1062</v>
      </c>
      <c r="F25" s="11" t="s">
        <v>1063</v>
      </c>
      <c r="G25" s="11" t="s">
        <v>1064</v>
      </c>
      <c r="H25" s="4"/>
    </row>
    <row r="26" customFormat="false" ht="15" hidden="false" customHeight="false" outlineLevel="0" collapsed="false">
      <c r="A26" s="9" t="n">
        <v>20</v>
      </c>
      <c r="B26" s="9" t="s">
        <v>310</v>
      </c>
      <c r="C26" s="9" t="s">
        <v>314</v>
      </c>
      <c r="D26" s="9" t="s">
        <v>1067</v>
      </c>
      <c r="E26" s="9" t="s">
        <v>1062</v>
      </c>
      <c r="F26" s="11" t="s">
        <v>1063</v>
      </c>
      <c r="G26" s="11" t="s">
        <v>1064</v>
      </c>
      <c r="H26" s="4"/>
    </row>
    <row r="27" customFormat="false" ht="15" hidden="false" customHeight="false" outlineLevel="0" collapsed="false">
      <c r="A27" s="9" t="n">
        <v>21</v>
      </c>
      <c r="B27" s="9" t="s">
        <v>312</v>
      </c>
      <c r="C27" s="9" t="s">
        <v>304</v>
      </c>
      <c r="D27" s="9" t="s">
        <v>1068</v>
      </c>
      <c r="E27" s="9" t="s">
        <v>1062</v>
      </c>
      <c r="F27" s="11" t="s">
        <v>1063</v>
      </c>
      <c r="G27" s="11" t="s">
        <v>1064</v>
      </c>
      <c r="H27" s="4"/>
    </row>
    <row r="28" customFormat="false" ht="15" hidden="false" customHeight="false" outlineLevel="0" collapsed="false">
      <c r="A28" s="9" t="n">
        <v>22</v>
      </c>
      <c r="B28" s="9" t="s">
        <v>312</v>
      </c>
      <c r="C28" s="9" t="s">
        <v>306</v>
      </c>
      <c r="D28" s="9" t="s">
        <v>1068</v>
      </c>
      <c r="E28" s="9" t="s">
        <v>1062</v>
      </c>
      <c r="F28" s="11" t="s">
        <v>1063</v>
      </c>
      <c r="G28" s="11" t="s">
        <v>1064</v>
      </c>
      <c r="H28" s="4"/>
    </row>
    <row r="29" customFormat="false" ht="15" hidden="false" customHeight="false" outlineLevel="0" collapsed="false">
      <c r="A29" s="9" t="n">
        <v>23</v>
      </c>
      <c r="B29" s="9" t="s">
        <v>312</v>
      </c>
      <c r="C29" s="9" t="s">
        <v>308</v>
      </c>
      <c r="D29" s="9" t="s">
        <v>1068</v>
      </c>
      <c r="E29" s="9" t="s">
        <v>1062</v>
      </c>
      <c r="F29" s="11" t="s">
        <v>1063</v>
      </c>
      <c r="G29" s="11" t="s">
        <v>1064</v>
      </c>
      <c r="H29" s="4"/>
    </row>
    <row r="30" customFormat="false" ht="15" hidden="false" customHeight="false" outlineLevel="0" collapsed="false">
      <c r="A30" s="9" t="n">
        <v>24</v>
      </c>
      <c r="B30" s="9" t="s">
        <v>312</v>
      </c>
      <c r="C30" s="9" t="s">
        <v>310</v>
      </c>
      <c r="D30" s="9" t="s">
        <v>1068</v>
      </c>
      <c r="E30" s="9" t="s">
        <v>1062</v>
      </c>
      <c r="F30" s="11" t="s">
        <v>1063</v>
      </c>
      <c r="G30" s="11" t="s">
        <v>1064</v>
      </c>
      <c r="H30" s="4"/>
    </row>
    <row r="31" customFormat="false" ht="15" hidden="false" customHeight="false" outlineLevel="0" collapsed="false">
      <c r="A31" s="9" t="n">
        <v>25</v>
      </c>
      <c r="B31" s="9" t="s">
        <v>312</v>
      </c>
      <c r="C31" s="9" t="s">
        <v>314</v>
      </c>
      <c r="D31" s="9" t="s">
        <v>1068</v>
      </c>
      <c r="E31" s="9" t="s">
        <v>1062</v>
      </c>
      <c r="F31" s="11" t="s">
        <v>1063</v>
      </c>
      <c r="G31" s="11" t="s">
        <v>1064</v>
      </c>
      <c r="H31" s="4"/>
    </row>
    <row r="32" customFormat="false" ht="15" hidden="false" customHeight="false" outlineLevel="0" collapsed="false">
      <c r="A32" s="9" t="n">
        <v>26</v>
      </c>
      <c r="B32" s="9" t="s">
        <v>314</v>
      </c>
      <c r="C32" s="9" t="s">
        <v>304</v>
      </c>
      <c r="D32" s="9" t="s">
        <v>1069</v>
      </c>
      <c r="E32" s="9" t="s">
        <v>1062</v>
      </c>
      <c r="F32" s="11" t="s">
        <v>1063</v>
      </c>
      <c r="G32" s="11" t="s">
        <v>1064</v>
      </c>
      <c r="H32" s="4"/>
    </row>
    <row r="33" customFormat="false" ht="15" hidden="false" customHeight="false" outlineLevel="0" collapsed="false">
      <c r="A33" s="9" t="n">
        <v>27</v>
      </c>
      <c r="B33" s="9" t="s">
        <v>314</v>
      </c>
      <c r="C33" s="9" t="s">
        <v>306</v>
      </c>
      <c r="D33" s="9" t="s">
        <v>1069</v>
      </c>
      <c r="E33" s="9" t="s">
        <v>1062</v>
      </c>
      <c r="F33" s="11" t="s">
        <v>1063</v>
      </c>
      <c r="G33" s="11" t="s">
        <v>1064</v>
      </c>
      <c r="H33" s="4"/>
    </row>
    <row r="34" customFormat="false" ht="15" hidden="false" customHeight="false" outlineLevel="0" collapsed="false">
      <c r="A34" s="9" t="n">
        <v>28</v>
      </c>
      <c r="B34" s="9" t="s">
        <v>314</v>
      </c>
      <c r="C34" s="9" t="s">
        <v>308</v>
      </c>
      <c r="D34" s="9" t="s">
        <v>1069</v>
      </c>
      <c r="E34" s="9" t="s">
        <v>1062</v>
      </c>
      <c r="F34" s="11" t="s">
        <v>1063</v>
      </c>
      <c r="G34" s="11" t="s">
        <v>1064</v>
      </c>
      <c r="H34" s="4"/>
    </row>
    <row r="35" customFormat="false" ht="15" hidden="false" customHeight="false" outlineLevel="0" collapsed="false">
      <c r="A35" s="9" t="n">
        <v>29</v>
      </c>
      <c r="B35" s="9" t="s">
        <v>314</v>
      </c>
      <c r="C35" s="9" t="s">
        <v>310</v>
      </c>
      <c r="D35" s="9" t="s">
        <v>1069</v>
      </c>
      <c r="E35" s="9" t="s">
        <v>1062</v>
      </c>
      <c r="F35" s="11" t="s">
        <v>1063</v>
      </c>
      <c r="G35" s="11" t="s">
        <v>1064</v>
      </c>
      <c r="H35" s="4"/>
    </row>
    <row r="36" customFormat="false" ht="15" hidden="false" customHeight="false" outlineLevel="0" collapsed="false">
      <c r="A36" s="12" t="n">
        <v>30</v>
      </c>
      <c r="B36" s="12" t="s">
        <v>314</v>
      </c>
      <c r="C36" s="12" t="s">
        <v>312</v>
      </c>
      <c r="D36" s="12" t="s">
        <v>1069</v>
      </c>
      <c r="E36" s="12" t="s">
        <v>1062</v>
      </c>
      <c r="F36" s="14" t="s">
        <v>1063</v>
      </c>
      <c r="G36" s="14" t="s">
        <v>1064</v>
      </c>
      <c r="H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23" hidden="false" customHeight="true" outlineLevel="0" collapsed="false">
      <c r="A40" s="15" t="s">
        <v>1070</v>
      </c>
      <c r="B40" s="16" t="s">
        <v>1071</v>
      </c>
      <c r="C40" s="16" t="s">
        <v>1072</v>
      </c>
      <c r="D40" s="17" t="s">
        <v>5</v>
      </c>
      <c r="E40" s="4"/>
      <c r="F40" s="4"/>
      <c r="G40" s="4"/>
      <c r="H40" s="4"/>
    </row>
    <row r="41" customFormat="false" ht="15" hidden="false" customHeight="false" outlineLevel="0" collapsed="false">
      <c r="A41" s="8" t="s">
        <v>1073</v>
      </c>
      <c r="B41" s="8" t="s">
        <v>1074</v>
      </c>
      <c r="C41" s="8" t="s">
        <v>1062</v>
      </c>
      <c r="D41" s="8" t="s">
        <v>28</v>
      </c>
      <c r="E41" s="4"/>
      <c r="F41" s="4"/>
      <c r="G41" s="4"/>
      <c r="H41" s="4"/>
    </row>
    <row r="42" customFormat="false" ht="15" hidden="false" customHeight="false" outlineLevel="0" collapsed="false">
      <c r="A42" s="9" t="s">
        <v>1075</v>
      </c>
      <c r="B42" s="9" t="s">
        <v>1076</v>
      </c>
      <c r="C42" s="9" t="s">
        <v>1062</v>
      </c>
      <c r="D42" s="9" t="s">
        <v>28</v>
      </c>
      <c r="E42" s="4"/>
      <c r="F42" s="4"/>
      <c r="G42" s="4"/>
      <c r="H42" s="4"/>
    </row>
    <row r="43" customFormat="false" ht="15" hidden="false" customHeight="false" outlineLevel="0" collapsed="false">
      <c r="A43" s="9" t="s">
        <v>1077</v>
      </c>
      <c r="B43" s="9" t="s">
        <v>1078</v>
      </c>
      <c r="C43" s="9" t="s">
        <v>1062</v>
      </c>
      <c r="D43" s="9" t="s">
        <v>28</v>
      </c>
      <c r="E43" s="4"/>
      <c r="F43" s="4"/>
      <c r="G43" s="4"/>
      <c r="H43" s="4"/>
    </row>
    <row r="44" customFormat="false" ht="15" hidden="false" customHeight="false" outlineLevel="0" collapsed="false">
      <c r="A44" s="9" t="s">
        <v>1079</v>
      </c>
      <c r="B44" s="9" t="s">
        <v>1080</v>
      </c>
      <c r="C44" s="9" t="s">
        <v>1062</v>
      </c>
      <c r="D44" s="9" t="s">
        <v>28</v>
      </c>
      <c r="E44" s="4"/>
      <c r="F44" s="4"/>
      <c r="G44" s="4"/>
      <c r="H44" s="4"/>
    </row>
    <row r="45" customFormat="false" ht="15" hidden="false" customHeight="false" outlineLevel="0" collapsed="false">
      <c r="A45" s="9" t="s">
        <v>1081</v>
      </c>
      <c r="B45" s="9" t="s">
        <v>1082</v>
      </c>
      <c r="C45" s="9" t="s">
        <v>1062</v>
      </c>
      <c r="D45" s="9" t="s">
        <v>28</v>
      </c>
      <c r="E45" s="4"/>
      <c r="F45" s="4"/>
      <c r="G45" s="4"/>
      <c r="H45" s="4"/>
    </row>
    <row r="46" customFormat="false" ht="15" hidden="false" customHeight="false" outlineLevel="0" collapsed="false">
      <c r="A46" s="9" t="s">
        <v>1083</v>
      </c>
      <c r="B46" s="9" t="s">
        <v>1084</v>
      </c>
      <c r="C46" s="9" t="s">
        <v>1062</v>
      </c>
      <c r="D46" s="9" t="s">
        <v>28</v>
      </c>
      <c r="E46" s="4"/>
      <c r="F46" s="4"/>
      <c r="G46" s="4"/>
      <c r="H46" s="4"/>
    </row>
    <row r="47" customFormat="false" ht="15" hidden="false" customHeight="false" outlineLevel="0" collapsed="false">
      <c r="A47" s="9" t="s">
        <v>1085</v>
      </c>
      <c r="B47" s="9" t="s">
        <v>1086</v>
      </c>
      <c r="C47" s="9" t="s">
        <v>1062</v>
      </c>
      <c r="D47" s="9" t="s">
        <v>28</v>
      </c>
      <c r="E47" s="4"/>
      <c r="F47" s="4"/>
      <c r="G47" s="4"/>
      <c r="H47" s="4"/>
    </row>
    <row r="48" customFormat="false" ht="15" hidden="false" customHeight="false" outlineLevel="0" collapsed="false">
      <c r="A48" s="9" t="s">
        <v>1087</v>
      </c>
      <c r="B48" s="9" t="s">
        <v>1088</v>
      </c>
      <c r="C48" s="9" t="s">
        <v>1062</v>
      </c>
      <c r="D48" s="9" t="s">
        <v>28</v>
      </c>
      <c r="E48" s="4"/>
      <c r="F48" s="4"/>
      <c r="G48" s="4"/>
      <c r="H48" s="4"/>
    </row>
    <row r="49" customFormat="false" ht="15" hidden="false" customHeight="false" outlineLevel="0" collapsed="false">
      <c r="A49" s="9" t="s">
        <v>1089</v>
      </c>
      <c r="B49" s="9" t="s">
        <v>1090</v>
      </c>
      <c r="C49" s="9" t="s">
        <v>1062</v>
      </c>
      <c r="D49" s="9" t="s">
        <v>28</v>
      </c>
      <c r="E49" s="4"/>
      <c r="F49" s="4"/>
      <c r="G49" s="4"/>
      <c r="H49" s="4"/>
    </row>
    <row r="50" customFormat="false" ht="15" hidden="false" customHeight="false" outlineLevel="0" collapsed="false">
      <c r="A50" s="9" t="s">
        <v>1091</v>
      </c>
      <c r="B50" s="9" t="s">
        <v>1092</v>
      </c>
      <c r="C50" s="9" t="s">
        <v>1062</v>
      </c>
      <c r="D50" s="9" t="s">
        <v>28</v>
      </c>
      <c r="E50" s="4"/>
      <c r="F50" s="4"/>
      <c r="G50" s="4"/>
      <c r="H50" s="4"/>
    </row>
    <row r="51" customFormat="false" ht="15" hidden="false" customHeight="false" outlineLevel="0" collapsed="false">
      <c r="A51" s="9" t="s">
        <v>1093</v>
      </c>
      <c r="B51" s="9" t="s">
        <v>1094</v>
      </c>
      <c r="C51" s="9" t="s">
        <v>1062</v>
      </c>
      <c r="D51" s="9" t="s">
        <v>28</v>
      </c>
      <c r="E51" s="4"/>
      <c r="F51" s="4"/>
      <c r="G51" s="4"/>
      <c r="H51" s="4"/>
    </row>
    <row r="52" customFormat="false" ht="15" hidden="false" customHeight="false" outlineLevel="0" collapsed="false">
      <c r="A52" s="12" t="s">
        <v>1095</v>
      </c>
      <c r="B52" s="12" t="s">
        <v>1096</v>
      </c>
      <c r="C52" s="12" t="s">
        <v>1062</v>
      </c>
      <c r="D52" s="12" t="s">
        <v>28</v>
      </c>
      <c r="E52" s="4"/>
      <c r="F52" s="4"/>
      <c r="G52" s="4"/>
      <c r="H52" s="4"/>
    </row>
  </sheetData>
  <mergeCells count="1"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66"/>
    <col collapsed="false" customWidth="true" hidden="false" outlineLevel="0" max="6" min="6" style="0" width="18"/>
  </cols>
  <sheetData>
    <row r="2" customFormat="false" ht="24" hidden="false" customHeight="true" outlineLevel="0" collapsed="false">
      <c r="A2" s="1" t="s">
        <v>1097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1098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23" hidden="false" customHeight="true" outlineLevel="0" collapsed="false">
      <c r="A6" s="5" t="s">
        <v>1099</v>
      </c>
      <c r="B6" s="6" t="s">
        <v>1100</v>
      </c>
      <c r="C6" s="6" t="s">
        <v>1101</v>
      </c>
      <c r="D6" s="6" t="s">
        <v>1102</v>
      </c>
      <c r="E6" s="6" t="s">
        <v>1103</v>
      </c>
      <c r="F6" s="7" t="s">
        <v>5</v>
      </c>
    </row>
    <row r="7" customFormat="false" ht="15" hidden="false" customHeight="false" outlineLevel="0" collapsed="false">
      <c r="A7" s="8" t="s">
        <v>1104</v>
      </c>
      <c r="B7" s="33" t="n">
        <v>1.5</v>
      </c>
      <c r="C7" s="33" t="n">
        <v>0</v>
      </c>
      <c r="D7" s="33" t="n">
        <f aca="false">B7-C7</f>
        <v>1.5</v>
      </c>
      <c r="E7" s="8" t="s">
        <v>1105</v>
      </c>
      <c r="F7" s="8" t="s">
        <v>37</v>
      </c>
    </row>
    <row r="8" customFormat="false" ht="15" hidden="false" customHeight="false" outlineLevel="0" collapsed="false">
      <c r="A8" s="9" t="s">
        <v>1106</v>
      </c>
      <c r="B8" s="10" t="n">
        <v>4.2</v>
      </c>
      <c r="C8" s="10" t="n">
        <v>0</v>
      </c>
      <c r="D8" s="10" t="n">
        <f aca="false">B8-C8</f>
        <v>4.2</v>
      </c>
      <c r="E8" s="9" t="s">
        <v>1107</v>
      </c>
      <c r="F8" s="9" t="s">
        <v>37</v>
      </c>
    </row>
    <row r="9" customFormat="false" ht="15" hidden="false" customHeight="false" outlineLevel="0" collapsed="false">
      <c r="A9" s="9" t="s">
        <v>1108</v>
      </c>
      <c r="B9" s="10" t="n">
        <v>1.8</v>
      </c>
      <c r="C9" s="10" t="n">
        <v>0</v>
      </c>
      <c r="D9" s="10" t="n">
        <f aca="false">B9-C9</f>
        <v>1.8</v>
      </c>
      <c r="E9" s="9" t="s">
        <v>1109</v>
      </c>
      <c r="F9" s="9" t="s">
        <v>37</v>
      </c>
    </row>
    <row r="10" customFormat="false" ht="15" hidden="false" customHeight="false" outlineLevel="0" collapsed="false">
      <c r="A10" s="9" t="s">
        <v>1110</v>
      </c>
      <c r="B10" s="10" t="n">
        <v>1.44</v>
      </c>
      <c r="C10" s="10" t="n">
        <v>0</v>
      </c>
      <c r="D10" s="10" t="n">
        <f aca="false">B10-C10</f>
        <v>1.44</v>
      </c>
      <c r="E10" s="9" t="s">
        <v>1111</v>
      </c>
      <c r="F10" s="9" t="s">
        <v>37</v>
      </c>
    </row>
    <row r="11" customFormat="false" ht="15" hidden="false" customHeight="false" outlineLevel="0" collapsed="false">
      <c r="A11" s="9" t="s">
        <v>1112</v>
      </c>
      <c r="B11" s="10" t="n">
        <v>1.2</v>
      </c>
      <c r="C11" s="10" t="n">
        <v>0</v>
      </c>
      <c r="D11" s="10" t="n">
        <f aca="false">B11-C11</f>
        <v>1.2</v>
      </c>
      <c r="E11" s="9" t="s">
        <v>1113</v>
      </c>
      <c r="F11" s="9" t="s">
        <v>37</v>
      </c>
    </row>
    <row r="12" customFormat="false" ht="15" hidden="false" customHeight="false" outlineLevel="0" collapsed="false">
      <c r="A12" s="9" t="s">
        <v>1114</v>
      </c>
      <c r="B12" s="10" t="n">
        <v>0.72</v>
      </c>
      <c r="C12" s="10" t="n">
        <v>0</v>
      </c>
      <c r="D12" s="10" t="n">
        <f aca="false">B12-C12</f>
        <v>0.72</v>
      </c>
      <c r="E12" s="9" t="s">
        <v>1115</v>
      </c>
      <c r="F12" s="9" t="s">
        <v>37</v>
      </c>
    </row>
    <row r="13" customFormat="false" ht="15" hidden="false" customHeight="false" outlineLevel="0" collapsed="false">
      <c r="A13" s="9" t="s">
        <v>1116</v>
      </c>
      <c r="B13" s="10" t="n">
        <v>0.54</v>
      </c>
      <c r="C13" s="10" t="n">
        <v>0</v>
      </c>
      <c r="D13" s="10" t="n">
        <f aca="false">B13-C13</f>
        <v>0.54</v>
      </c>
      <c r="E13" s="9" t="s">
        <v>1117</v>
      </c>
      <c r="F13" s="9" t="s">
        <v>37</v>
      </c>
    </row>
    <row r="14" customFormat="false" ht="15" hidden="false" customHeight="false" outlineLevel="0" collapsed="false">
      <c r="A14" s="12" t="s">
        <v>1118</v>
      </c>
      <c r="B14" s="13" t="n">
        <v>0.6</v>
      </c>
      <c r="C14" s="13" t="n">
        <v>0</v>
      </c>
      <c r="D14" s="13" t="n">
        <f aca="false">B14-C14</f>
        <v>0.6</v>
      </c>
      <c r="E14" s="12" t="s">
        <v>1119</v>
      </c>
      <c r="F14" s="12" t="s">
        <v>37</v>
      </c>
    </row>
    <row r="15" customFormat="false" ht="15" hidden="false" customHeight="false" outlineLevel="0" collapsed="false">
      <c r="A15" s="4"/>
      <c r="B15" s="53"/>
      <c r="C15" s="53"/>
      <c r="D15" s="53"/>
      <c r="E15" s="4"/>
      <c r="F15" s="4"/>
    </row>
    <row r="16" customFormat="false" ht="23" hidden="false" customHeight="true" outlineLevel="0" collapsed="false">
      <c r="A16" s="15" t="s">
        <v>1120</v>
      </c>
      <c r="B16" s="45" t="n">
        <f aca="false">SUM(B7:B14)</f>
        <v>12</v>
      </c>
      <c r="C16" s="45" t="n">
        <f aca="false">SUM(C7:C14)</f>
        <v>0</v>
      </c>
      <c r="D16" s="45" t="n">
        <f aca="false">SUM(D7:D14)</f>
        <v>12</v>
      </c>
      <c r="E16" s="16" t="s">
        <v>1121</v>
      </c>
      <c r="F16" s="17"/>
    </row>
    <row r="17" customFormat="false" ht="23" hidden="false" customHeight="true" outlineLevel="0" collapsed="false">
      <c r="A17" s="15" t="s">
        <v>1122</v>
      </c>
      <c r="B17" s="45" t="n">
        <f aca="false">Controls!B15-B16</f>
        <v>68</v>
      </c>
      <c r="C17" s="45" t="n">
        <v>0</v>
      </c>
      <c r="D17" s="45" t="n">
        <f aca="false">B17-C17</f>
        <v>68</v>
      </c>
      <c r="E17" s="16" t="s">
        <v>1123</v>
      </c>
      <c r="F17" s="17" t="s">
        <v>284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58"/>
    <col collapsed="false" customWidth="true" hidden="false" outlineLevel="0" max="3" min="3" style="0" width="29"/>
    <col collapsed="false" customWidth="true" hidden="false" outlineLevel="0" max="4" min="4" style="0" width="48"/>
    <col collapsed="false" customWidth="true" hidden="false" outlineLevel="0" max="5" min="5" style="0" width="35"/>
  </cols>
  <sheetData>
    <row r="2" customFormat="false" ht="24" hidden="false" customHeight="true" outlineLevel="0" collapsed="false">
      <c r="A2" s="1" t="s">
        <v>1124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1125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1126</v>
      </c>
      <c r="B6" s="6" t="s">
        <v>1127</v>
      </c>
      <c r="C6" s="6" t="s">
        <v>1128</v>
      </c>
      <c r="D6" s="6" t="s">
        <v>1129</v>
      </c>
      <c r="E6" s="7" t="s">
        <v>1130</v>
      </c>
    </row>
    <row r="7" customFormat="false" ht="15" hidden="false" customHeight="false" outlineLevel="0" collapsed="false">
      <c r="A7" s="8" t="s">
        <v>1131</v>
      </c>
      <c r="B7" s="8" t="s">
        <v>1132</v>
      </c>
      <c r="C7" s="8" t="s">
        <v>374</v>
      </c>
      <c r="D7" s="8" t="s">
        <v>1133</v>
      </c>
      <c r="E7" s="8" t="s">
        <v>1134</v>
      </c>
    </row>
    <row r="8" customFormat="false" ht="15" hidden="false" customHeight="false" outlineLevel="0" collapsed="false">
      <c r="A8" s="9" t="s">
        <v>1135</v>
      </c>
      <c r="B8" s="9" t="s">
        <v>1136</v>
      </c>
      <c r="C8" s="9" t="s">
        <v>1137</v>
      </c>
      <c r="D8" s="9" t="s">
        <v>1138</v>
      </c>
      <c r="E8" s="9" t="s">
        <v>1139</v>
      </c>
    </row>
    <row r="9" customFormat="false" ht="15" hidden="false" customHeight="false" outlineLevel="0" collapsed="false">
      <c r="A9" s="9" t="s">
        <v>1140</v>
      </c>
      <c r="B9" s="9" t="s">
        <v>1141</v>
      </c>
      <c r="C9" s="9" t="s">
        <v>1142</v>
      </c>
      <c r="D9" s="9" t="s">
        <v>1143</v>
      </c>
      <c r="E9" s="9" t="s">
        <v>1144</v>
      </c>
    </row>
    <row r="10" customFormat="false" ht="15" hidden="false" customHeight="false" outlineLevel="0" collapsed="false">
      <c r="A10" s="9" t="s">
        <v>1145</v>
      </c>
      <c r="B10" s="9" t="s">
        <v>1146</v>
      </c>
      <c r="C10" s="9" t="s">
        <v>1147</v>
      </c>
      <c r="D10" s="9" t="s">
        <v>1148</v>
      </c>
      <c r="E10" s="9" t="s">
        <v>1149</v>
      </c>
    </row>
    <row r="11" customFormat="false" ht="15" hidden="false" customHeight="false" outlineLevel="0" collapsed="false">
      <c r="A11" s="9" t="s">
        <v>1150</v>
      </c>
      <c r="B11" s="9" t="s">
        <v>1151</v>
      </c>
      <c r="C11" s="9" t="s">
        <v>1152</v>
      </c>
      <c r="D11" s="9" t="s">
        <v>1153</v>
      </c>
      <c r="E11" s="9" t="s">
        <v>1154</v>
      </c>
    </row>
    <row r="12" customFormat="false" ht="15" hidden="false" customHeight="false" outlineLevel="0" collapsed="false">
      <c r="A12" s="9" t="s">
        <v>384</v>
      </c>
      <c r="B12" s="9" t="s">
        <v>1155</v>
      </c>
      <c r="C12" s="9" t="s">
        <v>383</v>
      </c>
      <c r="D12" s="9" t="s">
        <v>1156</v>
      </c>
      <c r="E12" s="9" t="s">
        <v>1157</v>
      </c>
    </row>
    <row r="13" customFormat="false" ht="15" hidden="false" customHeight="false" outlineLevel="0" collapsed="false">
      <c r="A13" s="9" t="s">
        <v>1158</v>
      </c>
      <c r="B13" s="9" t="s">
        <v>1159</v>
      </c>
      <c r="C13" s="9" t="s">
        <v>1160</v>
      </c>
      <c r="D13" s="9" t="s">
        <v>1161</v>
      </c>
      <c r="E13" s="9" t="s">
        <v>1162</v>
      </c>
    </row>
    <row r="14" customFormat="false" ht="15" hidden="false" customHeight="false" outlineLevel="0" collapsed="false">
      <c r="A14" s="9" t="s">
        <v>396</v>
      </c>
      <c r="B14" s="9" t="s">
        <v>1163</v>
      </c>
      <c r="C14" s="9" t="s">
        <v>1164</v>
      </c>
      <c r="D14" s="9" t="s">
        <v>1165</v>
      </c>
      <c r="E14" s="9" t="s">
        <v>1166</v>
      </c>
    </row>
    <row r="15" customFormat="false" ht="15" hidden="false" customHeight="false" outlineLevel="0" collapsed="false">
      <c r="A15" s="9" t="s">
        <v>409</v>
      </c>
      <c r="B15" s="9" t="s">
        <v>1167</v>
      </c>
      <c r="C15" s="9" t="s">
        <v>1168</v>
      </c>
      <c r="D15" s="9" t="s">
        <v>1169</v>
      </c>
      <c r="E15" s="9" t="s">
        <v>1170</v>
      </c>
    </row>
    <row r="16" customFormat="false" ht="15" hidden="false" customHeight="false" outlineLevel="0" collapsed="false">
      <c r="A16" s="9" t="s">
        <v>414</v>
      </c>
      <c r="B16" s="9" t="s">
        <v>416</v>
      </c>
      <c r="C16" s="9" t="s">
        <v>1171</v>
      </c>
      <c r="D16" s="9" t="s">
        <v>1172</v>
      </c>
      <c r="E16" s="9" t="s">
        <v>1173</v>
      </c>
    </row>
    <row r="17" customFormat="false" ht="15" hidden="false" customHeight="false" outlineLevel="0" collapsed="false">
      <c r="A17" s="9" t="s">
        <v>419</v>
      </c>
      <c r="B17" s="9" t="s">
        <v>1174</v>
      </c>
      <c r="C17" s="9" t="s">
        <v>1175</v>
      </c>
      <c r="D17" s="9" t="s">
        <v>1176</v>
      </c>
      <c r="E17" s="9" t="s">
        <v>1177</v>
      </c>
    </row>
    <row r="18" customFormat="false" ht="15" hidden="false" customHeight="false" outlineLevel="0" collapsed="false">
      <c r="A18" s="12" t="s">
        <v>1178</v>
      </c>
      <c r="B18" s="12" t="s">
        <v>1179</v>
      </c>
      <c r="C18" s="12" t="s">
        <v>1180</v>
      </c>
      <c r="D18" s="12" t="s">
        <v>1181</v>
      </c>
      <c r="E18" s="12" t="s">
        <v>1182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9"/>
    <col collapsed="false" customWidth="true" hidden="false" outlineLevel="0" max="3" min="3" style="0" width="33"/>
    <col collapsed="false" customWidth="true" hidden="false" outlineLevel="0" max="4" min="4" style="0" width="55"/>
    <col collapsed="false" customWidth="true" hidden="false" outlineLevel="0" max="5" min="5" style="0" width="43"/>
    <col collapsed="false" customWidth="true" hidden="false" outlineLevel="0" max="6" min="6" style="0" width="39"/>
  </cols>
  <sheetData>
    <row r="2" customFormat="false" ht="24" hidden="false" customHeight="true" outlineLevel="0" collapsed="false">
      <c r="A2" s="1" t="s">
        <v>1183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1184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23" hidden="false" customHeight="true" outlineLevel="0" collapsed="false">
      <c r="A6" s="5" t="s">
        <v>1185</v>
      </c>
      <c r="B6" s="6" t="s">
        <v>1186</v>
      </c>
      <c r="C6" s="6" t="s">
        <v>1187</v>
      </c>
      <c r="D6" s="6" t="s">
        <v>1188</v>
      </c>
      <c r="E6" s="6" t="s">
        <v>1189</v>
      </c>
      <c r="F6" s="7" t="s">
        <v>1190</v>
      </c>
    </row>
    <row r="7" customFormat="false" ht="15" hidden="false" customHeight="false" outlineLevel="0" collapsed="false">
      <c r="A7" s="8" t="s">
        <v>1191</v>
      </c>
      <c r="B7" s="8" t="s">
        <v>1192</v>
      </c>
      <c r="C7" s="8" t="s">
        <v>26</v>
      </c>
      <c r="D7" s="8" t="s">
        <v>1193</v>
      </c>
      <c r="E7" s="8" t="s">
        <v>1194</v>
      </c>
      <c r="F7" s="8" t="s">
        <v>1195</v>
      </c>
    </row>
    <row r="8" customFormat="false" ht="15" hidden="false" customHeight="false" outlineLevel="0" collapsed="false">
      <c r="A8" s="9" t="s">
        <v>1196</v>
      </c>
      <c r="B8" s="9" t="s">
        <v>1197</v>
      </c>
      <c r="C8" s="9" t="s">
        <v>1198</v>
      </c>
      <c r="D8" s="9" t="s">
        <v>1199</v>
      </c>
      <c r="E8" s="9" t="s">
        <v>1200</v>
      </c>
      <c r="F8" s="9" t="s">
        <v>1201</v>
      </c>
    </row>
    <row r="9" customFormat="false" ht="15" hidden="false" customHeight="false" outlineLevel="0" collapsed="false">
      <c r="A9" s="9" t="s">
        <v>1202</v>
      </c>
      <c r="B9" s="9" t="s">
        <v>1203</v>
      </c>
      <c r="C9" s="9" t="s">
        <v>1204</v>
      </c>
      <c r="D9" s="9" t="s">
        <v>1205</v>
      </c>
      <c r="E9" s="9" t="s">
        <v>1206</v>
      </c>
      <c r="F9" s="9" t="s">
        <v>1207</v>
      </c>
    </row>
    <row r="10" customFormat="false" ht="15" hidden="false" customHeight="false" outlineLevel="0" collapsed="false">
      <c r="A10" s="9" t="s">
        <v>1208</v>
      </c>
      <c r="B10" s="9" t="s">
        <v>1170</v>
      </c>
      <c r="C10" s="9" t="s">
        <v>1209</v>
      </c>
      <c r="D10" s="9" t="s">
        <v>1210</v>
      </c>
      <c r="E10" s="9" t="s">
        <v>1211</v>
      </c>
      <c r="F10" s="9" t="s">
        <v>1212</v>
      </c>
    </row>
    <row r="11" customFormat="false" ht="15" hidden="false" customHeight="false" outlineLevel="0" collapsed="false">
      <c r="A11" s="9" t="s">
        <v>1213</v>
      </c>
      <c r="B11" s="9" t="s">
        <v>1214</v>
      </c>
      <c r="C11" s="9" t="s">
        <v>1215</v>
      </c>
      <c r="D11" s="9" t="s">
        <v>1216</v>
      </c>
      <c r="E11" s="9" t="s">
        <v>1217</v>
      </c>
      <c r="F11" s="9" t="s">
        <v>1218</v>
      </c>
    </row>
    <row r="12" customFormat="false" ht="15" hidden="false" customHeight="false" outlineLevel="0" collapsed="false">
      <c r="A12" s="9" t="s">
        <v>1219</v>
      </c>
      <c r="B12" s="9" t="s">
        <v>1220</v>
      </c>
      <c r="C12" s="9" t="s">
        <v>1221</v>
      </c>
      <c r="D12" s="9" t="s">
        <v>1222</v>
      </c>
      <c r="E12" s="9" t="s">
        <v>1223</v>
      </c>
      <c r="F12" s="9" t="s">
        <v>1224</v>
      </c>
    </row>
    <row r="13" customFormat="false" ht="15" hidden="false" customHeight="false" outlineLevel="0" collapsed="false">
      <c r="A13" s="9" t="s">
        <v>1225</v>
      </c>
      <c r="B13" s="9" t="s">
        <v>1226</v>
      </c>
      <c r="C13" s="9" t="s">
        <v>1227</v>
      </c>
      <c r="D13" s="9" t="s">
        <v>1228</v>
      </c>
      <c r="E13" s="9" t="s">
        <v>1223</v>
      </c>
      <c r="F13" s="9" t="s">
        <v>1229</v>
      </c>
    </row>
    <row r="14" customFormat="false" ht="15" hidden="false" customHeight="false" outlineLevel="0" collapsed="false">
      <c r="A14" s="9" t="s">
        <v>1230</v>
      </c>
      <c r="B14" s="9" t="s">
        <v>1231</v>
      </c>
      <c r="C14" s="9" t="s">
        <v>1232</v>
      </c>
      <c r="D14" s="9" t="s">
        <v>1233</v>
      </c>
      <c r="E14" s="9" t="s">
        <v>1234</v>
      </c>
      <c r="F14" s="9" t="s">
        <v>1235</v>
      </c>
    </row>
    <row r="15" customFormat="false" ht="15" hidden="false" customHeight="false" outlineLevel="0" collapsed="false">
      <c r="A15" s="9" t="s">
        <v>1236</v>
      </c>
      <c r="B15" s="9" t="s">
        <v>1237</v>
      </c>
      <c r="C15" s="9" t="s">
        <v>1238</v>
      </c>
      <c r="D15" s="9" t="s">
        <v>1239</v>
      </c>
      <c r="E15" s="9" t="s">
        <v>1240</v>
      </c>
      <c r="F15" s="9" t="s">
        <v>1241</v>
      </c>
    </row>
    <row r="16" customFormat="false" ht="15" hidden="false" customHeight="false" outlineLevel="0" collapsed="false">
      <c r="A16" s="9" t="s">
        <v>1242</v>
      </c>
      <c r="B16" s="9" t="s">
        <v>1243</v>
      </c>
      <c r="C16" s="9" t="s">
        <v>59</v>
      </c>
      <c r="D16" s="9" t="s">
        <v>1244</v>
      </c>
      <c r="E16" s="9" t="s">
        <v>1245</v>
      </c>
      <c r="F16" s="9" t="s">
        <v>1246</v>
      </c>
    </row>
    <row r="17" customFormat="false" ht="15" hidden="false" customHeight="false" outlineLevel="0" collapsed="false">
      <c r="A17" s="9" t="s">
        <v>1247</v>
      </c>
      <c r="B17" s="9" t="s">
        <v>1248</v>
      </c>
      <c r="C17" s="9" t="s">
        <v>59</v>
      </c>
      <c r="D17" s="9" t="s">
        <v>1249</v>
      </c>
      <c r="E17" s="9" t="s">
        <v>1250</v>
      </c>
      <c r="F17" s="9" t="s">
        <v>1251</v>
      </c>
    </row>
    <row r="18" customFormat="false" ht="15" hidden="false" customHeight="false" outlineLevel="0" collapsed="false">
      <c r="A18" s="12" t="s">
        <v>1252</v>
      </c>
      <c r="B18" s="12" t="s">
        <v>1253</v>
      </c>
      <c r="C18" s="12" t="s">
        <v>1254</v>
      </c>
      <c r="D18" s="12" t="s">
        <v>1255</v>
      </c>
      <c r="E18" s="12" t="s">
        <v>1256</v>
      </c>
      <c r="F18" s="12" t="s">
        <v>1257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49"/>
    <col collapsed="false" customWidth="true" hidden="false" outlineLevel="0" max="4" min="3" style="0" width="47"/>
    <col collapsed="false" customWidth="true" hidden="false" outlineLevel="0" max="5" min="5" style="0" width="67"/>
    <col collapsed="false" customWidth="true" hidden="false" outlineLevel="0" max="6" min="6" style="0" width="17"/>
  </cols>
  <sheetData>
    <row r="2" customFormat="false" ht="24" hidden="false" customHeight="true" outlineLevel="0" collapsed="false">
      <c r="A2" s="1" t="s">
        <v>1258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1259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23" hidden="false" customHeight="true" outlineLevel="0" collapsed="false">
      <c r="A6" s="5" t="s">
        <v>1260</v>
      </c>
      <c r="B6" s="6" t="s">
        <v>1261</v>
      </c>
      <c r="C6" s="6" t="s">
        <v>1262</v>
      </c>
      <c r="D6" s="6" t="s">
        <v>1263</v>
      </c>
      <c r="E6" s="6" t="s">
        <v>1264</v>
      </c>
      <c r="F6" s="7" t="s">
        <v>1265</v>
      </c>
    </row>
    <row r="7" customFormat="false" ht="15" hidden="false" customHeight="false" outlineLevel="0" collapsed="false">
      <c r="A7" s="8" t="s">
        <v>1266</v>
      </c>
      <c r="B7" s="8" t="s">
        <v>1267</v>
      </c>
      <c r="C7" s="8" t="s">
        <v>1268</v>
      </c>
      <c r="D7" s="8" t="s">
        <v>1269</v>
      </c>
      <c r="E7" s="8" t="s">
        <v>1270</v>
      </c>
      <c r="F7" s="19" t="n">
        <v>0</v>
      </c>
    </row>
    <row r="8" customFormat="false" ht="15" hidden="false" customHeight="false" outlineLevel="0" collapsed="false">
      <c r="A8" s="9" t="s">
        <v>1271</v>
      </c>
      <c r="B8" s="9" t="s">
        <v>1272</v>
      </c>
      <c r="C8" s="9" t="s">
        <v>1273</v>
      </c>
      <c r="D8" s="9" t="s">
        <v>1274</v>
      </c>
      <c r="E8" s="9" t="s">
        <v>1275</v>
      </c>
      <c r="F8" s="21" t="n">
        <v>0</v>
      </c>
    </row>
    <row r="9" customFormat="false" ht="15" hidden="false" customHeight="false" outlineLevel="0" collapsed="false">
      <c r="A9" s="9" t="s">
        <v>1276</v>
      </c>
      <c r="B9" s="9" t="s">
        <v>1277</v>
      </c>
      <c r="C9" s="9" t="s">
        <v>1278</v>
      </c>
      <c r="D9" s="9" t="s">
        <v>1279</v>
      </c>
      <c r="E9" s="9" t="s">
        <v>1280</v>
      </c>
      <c r="F9" s="21" t="n">
        <v>0</v>
      </c>
    </row>
    <row r="10" customFormat="false" ht="15" hidden="false" customHeight="false" outlineLevel="0" collapsed="false">
      <c r="A10" s="9" t="s">
        <v>1281</v>
      </c>
      <c r="B10" s="9" t="s">
        <v>1282</v>
      </c>
      <c r="C10" s="9" t="s">
        <v>1283</v>
      </c>
      <c r="D10" s="9" t="s">
        <v>1284</v>
      </c>
      <c r="E10" s="9" t="s">
        <v>1285</v>
      </c>
      <c r="F10" s="21" t="n">
        <v>0</v>
      </c>
    </row>
    <row r="11" customFormat="false" ht="15" hidden="false" customHeight="false" outlineLevel="0" collapsed="false">
      <c r="A11" s="12" t="s">
        <v>97</v>
      </c>
      <c r="B11" s="12" t="s">
        <v>1286</v>
      </c>
      <c r="C11" s="12" t="s">
        <v>1287</v>
      </c>
      <c r="D11" s="12" t="s">
        <v>1288</v>
      </c>
      <c r="E11" s="12" t="s">
        <v>1289</v>
      </c>
      <c r="F11" s="22" t="n">
        <v>0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48"/>
    <col collapsed="false" customWidth="true" hidden="false" outlineLevel="0" max="5" min="5" style="0" width="23"/>
    <col collapsed="false" customWidth="true" hidden="false" outlineLevel="0" max="6" min="6" style="0" width="14"/>
  </cols>
  <sheetData>
    <row r="2" customFormat="false" ht="24" hidden="false" customHeight="true" outlineLevel="0" collapsed="false">
      <c r="A2" s="1" t="s">
        <v>1290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1291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23" hidden="false" customHeight="true" outlineLevel="0" collapsed="false">
      <c r="A6" s="5" t="s">
        <v>218</v>
      </c>
      <c r="B6" s="6" t="s">
        <v>1292</v>
      </c>
      <c r="C6" s="6" t="s">
        <v>1293</v>
      </c>
      <c r="D6" s="6" t="s">
        <v>1294</v>
      </c>
      <c r="E6" s="6" t="s">
        <v>1295</v>
      </c>
      <c r="F6" s="7" t="s">
        <v>3</v>
      </c>
    </row>
    <row r="7" customFormat="false" ht="15" hidden="false" customHeight="false" outlineLevel="0" collapsed="false">
      <c r="A7" s="8" t="s">
        <v>1073</v>
      </c>
      <c r="B7" s="8" t="s">
        <v>1296</v>
      </c>
      <c r="C7" s="8" t="s">
        <v>1297</v>
      </c>
      <c r="D7" s="8" t="s">
        <v>1298</v>
      </c>
      <c r="E7" s="8" t="s">
        <v>18</v>
      </c>
      <c r="F7" s="8" t="s">
        <v>1299</v>
      </c>
    </row>
    <row r="8" customFormat="false" ht="15" hidden="false" customHeight="false" outlineLevel="0" collapsed="false">
      <c r="A8" s="9" t="s">
        <v>1075</v>
      </c>
      <c r="B8" s="9" t="s">
        <v>1300</v>
      </c>
      <c r="C8" s="9" t="s">
        <v>1301</v>
      </c>
      <c r="D8" s="9" t="s">
        <v>1302</v>
      </c>
      <c r="E8" s="9" t="s">
        <v>62</v>
      </c>
      <c r="F8" s="9" t="s">
        <v>1299</v>
      </c>
    </row>
    <row r="9" customFormat="false" ht="15" hidden="false" customHeight="false" outlineLevel="0" collapsed="false">
      <c r="A9" s="9" t="s">
        <v>1077</v>
      </c>
      <c r="B9" s="9" t="s">
        <v>1303</v>
      </c>
      <c r="C9" s="9" t="s">
        <v>1304</v>
      </c>
      <c r="D9" s="9" t="s">
        <v>1305</v>
      </c>
      <c r="E9" s="9" t="s">
        <v>1306</v>
      </c>
      <c r="F9" s="9" t="s">
        <v>1299</v>
      </c>
    </row>
    <row r="10" customFormat="false" ht="15" hidden="false" customHeight="false" outlineLevel="0" collapsed="false">
      <c r="A10" s="9" t="s">
        <v>1079</v>
      </c>
      <c r="B10" s="9" t="s">
        <v>1307</v>
      </c>
      <c r="C10" s="9" t="s">
        <v>1308</v>
      </c>
      <c r="D10" s="9" t="s">
        <v>1309</v>
      </c>
      <c r="E10" s="9" t="s">
        <v>1306</v>
      </c>
      <c r="F10" s="9" t="s">
        <v>1299</v>
      </c>
    </row>
    <row r="11" customFormat="false" ht="15" hidden="false" customHeight="false" outlineLevel="0" collapsed="false">
      <c r="A11" s="9" t="s">
        <v>1081</v>
      </c>
      <c r="B11" s="9" t="s">
        <v>1310</v>
      </c>
      <c r="C11" s="9" t="s">
        <v>1311</v>
      </c>
      <c r="D11" s="9" t="s">
        <v>1312</v>
      </c>
      <c r="E11" s="9" t="s">
        <v>57</v>
      </c>
      <c r="F11" s="9" t="s">
        <v>1299</v>
      </c>
    </row>
    <row r="12" customFormat="false" ht="15" hidden="false" customHeight="false" outlineLevel="0" collapsed="false">
      <c r="A12" s="9" t="s">
        <v>1083</v>
      </c>
      <c r="B12" s="9" t="s">
        <v>1313</v>
      </c>
      <c r="C12" s="9" t="s">
        <v>1314</v>
      </c>
      <c r="D12" s="9" t="s">
        <v>1315</v>
      </c>
      <c r="E12" s="9" t="s">
        <v>62</v>
      </c>
      <c r="F12" s="9" t="s">
        <v>1299</v>
      </c>
    </row>
    <row r="13" customFormat="false" ht="15" hidden="false" customHeight="false" outlineLevel="0" collapsed="false">
      <c r="A13" s="9" t="s">
        <v>1085</v>
      </c>
      <c r="B13" s="9" t="s">
        <v>1316</v>
      </c>
      <c r="C13" s="9" t="s">
        <v>1317</v>
      </c>
      <c r="D13" s="9" t="s">
        <v>1318</v>
      </c>
      <c r="E13" s="9" t="s">
        <v>1319</v>
      </c>
      <c r="F13" s="9" t="s">
        <v>1299</v>
      </c>
    </row>
    <row r="14" customFormat="false" ht="15" hidden="false" customHeight="false" outlineLevel="0" collapsed="false">
      <c r="A14" s="9" t="s">
        <v>1087</v>
      </c>
      <c r="B14" s="9" t="s">
        <v>1320</v>
      </c>
      <c r="C14" s="9" t="s">
        <v>1321</v>
      </c>
      <c r="D14" s="9" t="s">
        <v>1322</v>
      </c>
      <c r="E14" s="9" t="s">
        <v>1323</v>
      </c>
      <c r="F14" s="9" t="s">
        <v>1299</v>
      </c>
    </row>
    <row r="15" customFormat="false" ht="15" hidden="false" customHeight="false" outlineLevel="0" collapsed="false">
      <c r="A15" s="9" t="s">
        <v>1089</v>
      </c>
      <c r="B15" s="9" t="s">
        <v>1324</v>
      </c>
      <c r="C15" s="9" t="s">
        <v>1325</v>
      </c>
      <c r="D15" s="9" t="s">
        <v>1326</v>
      </c>
      <c r="E15" s="9" t="s">
        <v>1327</v>
      </c>
      <c r="F15" s="9" t="s">
        <v>1299</v>
      </c>
    </row>
    <row r="16" customFormat="false" ht="15" hidden="false" customHeight="false" outlineLevel="0" collapsed="false">
      <c r="A16" s="9" t="s">
        <v>1091</v>
      </c>
      <c r="B16" s="9" t="s">
        <v>1328</v>
      </c>
      <c r="C16" s="9" t="s">
        <v>1329</v>
      </c>
      <c r="D16" s="9" t="s">
        <v>1330</v>
      </c>
      <c r="E16" s="9" t="s">
        <v>57</v>
      </c>
      <c r="F16" s="9" t="s">
        <v>1299</v>
      </c>
    </row>
    <row r="17" customFormat="false" ht="15" hidden="false" customHeight="false" outlineLevel="0" collapsed="false">
      <c r="A17" s="9" t="s">
        <v>1093</v>
      </c>
      <c r="B17" s="9" t="s">
        <v>1331</v>
      </c>
      <c r="C17" s="9" t="s">
        <v>1332</v>
      </c>
      <c r="D17" s="9" t="s">
        <v>1333</v>
      </c>
      <c r="E17" s="9" t="s">
        <v>1334</v>
      </c>
      <c r="F17" s="9" t="s">
        <v>1299</v>
      </c>
    </row>
    <row r="18" customFormat="false" ht="15" hidden="false" customHeight="false" outlineLevel="0" collapsed="false">
      <c r="A18" s="9" t="s">
        <v>1095</v>
      </c>
      <c r="B18" s="9" t="s">
        <v>1335</v>
      </c>
      <c r="C18" s="9" t="s">
        <v>1336</v>
      </c>
      <c r="D18" s="9" t="s">
        <v>1337</v>
      </c>
      <c r="E18" s="9" t="s">
        <v>1338</v>
      </c>
      <c r="F18" s="9" t="s">
        <v>1299</v>
      </c>
    </row>
    <row r="19" customFormat="false" ht="15" hidden="false" customHeight="false" outlineLevel="0" collapsed="false">
      <c r="A19" s="9" t="s">
        <v>1339</v>
      </c>
      <c r="B19" s="9" t="s">
        <v>1340</v>
      </c>
      <c r="C19" s="9" t="s">
        <v>1341</v>
      </c>
      <c r="D19" s="9" t="s">
        <v>1342</v>
      </c>
      <c r="E19" s="9" t="s">
        <v>1343</v>
      </c>
      <c r="F19" s="9" t="s">
        <v>1299</v>
      </c>
    </row>
    <row r="20" customFormat="false" ht="15" hidden="false" customHeight="false" outlineLevel="0" collapsed="false">
      <c r="A20" s="9" t="s">
        <v>1344</v>
      </c>
      <c r="B20" s="9" t="s">
        <v>1345</v>
      </c>
      <c r="C20" s="9" t="s">
        <v>1346</v>
      </c>
      <c r="D20" s="9" t="s">
        <v>1347</v>
      </c>
      <c r="E20" s="9" t="s">
        <v>1348</v>
      </c>
      <c r="F20" s="9" t="s">
        <v>1299</v>
      </c>
    </row>
    <row r="21" customFormat="false" ht="15" hidden="false" customHeight="false" outlineLevel="0" collapsed="false">
      <c r="A21" s="9" t="s">
        <v>1349</v>
      </c>
      <c r="B21" s="9" t="s">
        <v>1350</v>
      </c>
      <c r="C21" s="9" t="s">
        <v>1351</v>
      </c>
      <c r="D21" s="9" t="s">
        <v>1352</v>
      </c>
      <c r="E21" s="9" t="s">
        <v>1353</v>
      </c>
      <c r="F21" s="9" t="s">
        <v>1299</v>
      </c>
    </row>
    <row r="22" customFormat="false" ht="15" hidden="false" customHeight="false" outlineLevel="0" collapsed="false">
      <c r="A22" s="9" t="s">
        <v>1354</v>
      </c>
      <c r="B22" s="9" t="s">
        <v>1355</v>
      </c>
      <c r="C22" s="9" t="s">
        <v>1356</v>
      </c>
      <c r="D22" s="9" t="s">
        <v>1357</v>
      </c>
      <c r="E22" s="9" t="s">
        <v>37</v>
      </c>
      <c r="F22" s="9" t="s">
        <v>1299</v>
      </c>
    </row>
    <row r="23" customFormat="false" ht="15" hidden="false" customHeight="false" outlineLevel="0" collapsed="false">
      <c r="A23" s="9" t="s">
        <v>1358</v>
      </c>
      <c r="B23" s="9" t="s">
        <v>1359</v>
      </c>
      <c r="C23" s="9" t="s">
        <v>1360</v>
      </c>
      <c r="D23" s="9" t="s">
        <v>1361</v>
      </c>
      <c r="E23" s="9" t="s">
        <v>75</v>
      </c>
      <c r="F23" s="9" t="s">
        <v>1299</v>
      </c>
    </row>
    <row r="24" customFormat="false" ht="15" hidden="false" customHeight="false" outlineLevel="0" collapsed="false">
      <c r="A24" s="12" t="s">
        <v>1362</v>
      </c>
      <c r="B24" s="12" t="s">
        <v>1363</v>
      </c>
      <c r="C24" s="12" t="s">
        <v>1364</v>
      </c>
      <c r="D24" s="12" t="s">
        <v>1365</v>
      </c>
      <c r="E24" s="12" t="s">
        <v>57</v>
      </c>
      <c r="F24" s="12" t="s">
        <v>1299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7"/>
    <col collapsed="false" customWidth="true" hidden="false" outlineLevel="0" max="5" min="5" style="0" width="18"/>
    <col collapsed="false" customWidth="true" hidden="false" outlineLevel="0" max="7" min="6" style="0" width="19"/>
  </cols>
  <sheetData>
    <row r="2" customFormat="false" ht="24" hidden="false" customHeight="true" outlineLevel="0" collapsed="false">
      <c r="A2" s="1" t="s">
        <v>1366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1367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218</v>
      </c>
      <c r="B6" s="6" t="s">
        <v>1368</v>
      </c>
      <c r="C6" s="6" t="s">
        <v>1369</v>
      </c>
      <c r="D6" s="6" t="s">
        <v>1370</v>
      </c>
      <c r="E6" s="6" t="s">
        <v>1371</v>
      </c>
      <c r="F6" s="6" t="s">
        <v>1372</v>
      </c>
      <c r="G6" s="7" t="s">
        <v>1373</v>
      </c>
    </row>
    <row r="7" customFormat="false" ht="15" hidden="false" customHeight="false" outlineLevel="0" collapsed="false">
      <c r="A7" s="8" t="s">
        <v>1374</v>
      </c>
      <c r="B7" s="8" t="s">
        <v>1375</v>
      </c>
      <c r="C7" s="54" t="n">
        <v>200</v>
      </c>
      <c r="D7" s="54" t="n">
        <v>201</v>
      </c>
      <c r="E7" s="54" t="n">
        <v>1</v>
      </c>
      <c r="F7" s="55" t="s">
        <v>1376</v>
      </c>
      <c r="G7" s="55" t="s">
        <v>1376</v>
      </c>
    </row>
    <row r="8" customFormat="false" ht="15" hidden="false" customHeight="false" outlineLevel="0" collapsed="false">
      <c r="A8" s="9" t="s">
        <v>1377</v>
      </c>
      <c r="B8" s="9" t="s">
        <v>1378</v>
      </c>
      <c r="C8" s="56" t="n">
        <v>110</v>
      </c>
      <c r="D8" s="56" t="n">
        <v>111</v>
      </c>
      <c r="E8" s="56" t="n">
        <v>2</v>
      </c>
      <c r="F8" s="57" t="s">
        <v>1376</v>
      </c>
      <c r="G8" s="57" t="s">
        <v>1376</v>
      </c>
    </row>
    <row r="9" customFormat="false" ht="15" hidden="false" customHeight="false" outlineLevel="0" collapsed="false">
      <c r="A9" s="9" t="s">
        <v>1379</v>
      </c>
      <c r="B9" s="9" t="s">
        <v>1380</v>
      </c>
      <c r="C9" s="56" t="n">
        <v>10</v>
      </c>
      <c r="D9" s="56" t="n">
        <v>9</v>
      </c>
      <c r="E9" s="56" t="n">
        <v>2</v>
      </c>
      <c r="F9" s="57" t="s">
        <v>1376</v>
      </c>
      <c r="G9" s="57" t="s">
        <v>1376</v>
      </c>
    </row>
    <row r="10" customFormat="false" ht="15" hidden="false" customHeight="false" outlineLevel="0" collapsed="false">
      <c r="A10" s="9" t="s">
        <v>1381</v>
      </c>
      <c r="B10" s="9" t="s">
        <v>1382</v>
      </c>
      <c r="C10" s="56" t="n">
        <v>57.4</v>
      </c>
      <c r="D10" s="56" t="n">
        <v>58.4</v>
      </c>
      <c r="E10" s="56" t="n">
        <v>4</v>
      </c>
      <c r="F10" s="57" t="s">
        <v>1376</v>
      </c>
      <c r="G10" s="57" t="s">
        <v>1376</v>
      </c>
    </row>
    <row r="11" customFormat="false" ht="15" hidden="false" customHeight="false" outlineLevel="0" collapsed="false">
      <c r="A11" s="9" t="s">
        <v>1383</v>
      </c>
      <c r="B11" s="9" t="s">
        <v>1384</v>
      </c>
      <c r="C11" s="56" t="n">
        <v>14.3476512772823</v>
      </c>
      <c r="D11" s="56" t="n">
        <v>15</v>
      </c>
      <c r="E11" s="56" t="n">
        <v>3</v>
      </c>
      <c r="F11" s="57" t="s">
        <v>1376</v>
      </c>
      <c r="G11" s="57" t="s">
        <v>1376</v>
      </c>
    </row>
    <row r="12" customFormat="false" ht="15" hidden="false" customHeight="false" outlineLevel="0" collapsed="false">
      <c r="A12" s="9" t="s">
        <v>1385</v>
      </c>
      <c r="B12" s="9" t="s">
        <v>1386</v>
      </c>
      <c r="C12" s="56" t="n">
        <v>12</v>
      </c>
      <c r="D12" s="56" t="n">
        <v>13</v>
      </c>
      <c r="E12" s="56" t="n">
        <v>2</v>
      </c>
      <c r="F12" s="57" t="s">
        <v>1376</v>
      </c>
      <c r="G12" s="57" t="s">
        <v>1376</v>
      </c>
    </row>
    <row r="13" customFormat="false" ht="15" hidden="false" customHeight="false" outlineLevel="0" collapsed="false">
      <c r="A13" s="9" t="s">
        <v>1387</v>
      </c>
      <c r="B13" s="9" t="s">
        <v>1388</v>
      </c>
      <c r="C13" s="56" t="n">
        <v>24</v>
      </c>
      <c r="D13" s="56" t="n">
        <v>23</v>
      </c>
      <c r="E13" s="56" t="n">
        <v>4</v>
      </c>
      <c r="F13" s="57" t="s">
        <v>1376</v>
      </c>
      <c r="G13" s="57" t="s">
        <v>1376</v>
      </c>
    </row>
    <row r="14" customFormat="false" ht="15" hidden="false" customHeight="false" outlineLevel="0" collapsed="false">
      <c r="A14" s="9" t="s">
        <v>1389</v>
      </c>
      <c r="B14" s="9" t="s">
        <v>1390</v>
      </c>
      <c r="C14" s="56" t="n">
        <v>4</v>
      </c>
      <c r="D14" s="56" t="n">
        <v>5</v>
      </c>
      <c r="E14" s="56" t="n">
        <v>2</v>
      </c>
      <c r="F14" s="57" t="s">
        <v>1376</v>
      </c>
      <c r="G14" s="57" t="s">
        <v>1376</v>
      </c>
    </row>
    <row r="15" customFormat="false" ht="15" hidden="false" customHeight="false" outlineLevel="0" collapsed="false">
      <c r="A15" s="9" t="s">
        <v>1391</v>
      </c>
      <c r="B15" s="9" t="s">
        <v>1392</v>
      </c>
      <c r="C15" s="56" t="n">
        <v>12</v>
      </c>
      <c r="D15" s="56" t="n">
        <v>11</v>
      </c>
      <c r="E15" s="56" t="n">
        <v>1</v>
      </c>
      <c r="F15" s="57" t="s">
        <v>1376</v>
      </c>
      <c r="G15" s="57" t="s">
        <v>1376</v>
      </c>
    </row>
    <row r="16" customFormat="false" ht="15" hidden="false" customHeight="false" outlineLevel="0" collapsed="false">
      <c r="A16" s="9" t="s">
        <v>1393</v>
      </c>
      <c r="B16" s="9" t="s">
        <v>1394</v>
      </c>
      <c r="C16" s="56" t="n">
        <v>7</v>
      </c>
      <c r="D16" s="56" t="n">
        <v>8</v>
      </c>
      <c r="E16" s="56" t="n">
        <v>1</v>
      </c>
      <c r="F16" s="57" t="s">
        <v>1376</v>
      </c>
      <c r="G16" s="57" t="s">
        <v>1376</v>
      </c>
    </row>
    <row r="17" customFormat="false" ht="15" hidden="false" customHeight="false" outlineLevel="0" collapsed="false">
      <c r="A17" s="9" t="s">
        <v>1395</v>
      </c>
      <c r="B17" s="9" t="s">
        <v>1396</v>
      </c>
      <c r="C17" s="56" t="n">
        <v>6</v>
      </c>
      <c r="D17" s="56" t="n">
        <v>5</v>
      </c>
      <c r="E17" s="56" t="n">
        <v>4</v>
      </c>
      <c r="F17" s="57" t="s">
        <v>1376</v>
      </c>
      <c r="G17" s="57" t="s">
        <v>1376</v>
      </c>
    </row>
    <row r="18" customFormat="false" ht="15" hidden="false" customHeight="false" outlineLevel="0" collapsed="false">
      <c r="A18" s="9" t="s">
        <v>1397</v>
      </c>
      <c r="B18" s="9" t="s">
        <v>1398</v>
      </c>
      <c r="C18" s="56" t="n">
        <v>48</v>
      </c>
      <c r="D18" s="56" t="n">
        <v>47</v>
      </c>
      <c r="E18" s="56" t="n">
        <v>1</v>
      </c>
      <c r="F18" s="57" t="s">
        <v>1376</v>
      </c>
      <c r="G18" s="57" t="s">
        <v>1376</v>
      </c>
    </row>
    <row r="19" customFormat="false" ht="15" hidden="false" customHeight="false" outlineLevel="0" collapsed="false">
      <c r="A19" s="9" t="s">
        <v>1399</v>
      </c>
      <c r="B19" s="9" t="s">
        <v>1400</v>
      </c>
      <c r="C19" s="56" t="n">
        <v>0</v>
      </c>
      <c r="D19" s="56" t="n">
        <v>1</v>
      </c>
      <c r="E19" s="56" t="n">
        <v>1</v>
      </c>
      <c r="F19" s="57" t="s">
        <v>1376</v>
      </c>
      <c r="G19" s="57" t="s">
        <v>1376</v>
      </c>
    </row>
    <row r="20" customFormat="false" ht="15" hidden="false" customHeight="false" outlineLevel="0" collapsed="false">
      <c r="A20" s="12" t="s">
        <v>1401</v>
      </c>
      <c r="B20" s="12" t="s">
        <v>1402</v>
      </c>
      <c r="C20" s="58" t="n">
        <v>0</v>
      </c>
      <c r="D20" s="58" t="n">
        <v>1</v>
      </c>
      <c r="E20" s="58" t="n">
        <v>1</v>
      </c>
      <c r="F20" s="59" t="s">
        <v>1376</v>
      </c>
      <c r="G20" s="59" t="s">
        <v>1376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3" min="2" style="0" width="23"/>
    <col collapsed="false" customWidth="true" hidden="false" outlineLevel="0" max="4" min="4" style="0" width="19"/>
    <col collapsed="false" customWidth="true" hidden="false" outlineLevel="0" max="5" min="5" style="0" width="14"/>
  </cols>
  <sheetData>
    <row r="2" customFormat="false" ht="24" hidden="false" customHeight="true" outlineLevel="0" collapsed="false">
      <c r="A2" s="1" t="s">
        <v>1403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1404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1405</v>
      </c>
      <c r="B6" s="6" t="s">
        <v>1406</v>
      </c>
      <c r="C6" s="6" t="s">
        <v>1407</v>
      </c>
      <c r="D6" s="6" t="s">
        <v>267</v>
      </c>
      <c r="E6" s="7" t="s">
        <v>5</v>
      </c>
    </row>
    <row r="7" customFormat="false" ht="15" hidden="false" customHeight="false" outlineLevel="0" collapsed="false">
      <c r="A7" s="8" t="s">
        <v>104</v>
      </c>
      <c r="B7" s="60" t="n">
        <f aca="false">Controls!B7</f>
        <v>200</v>
      </c>
      <c r="C7" s="54" t="n">
        <v>200</v>
      </c>
      <c r="D7" s="60" t="n">
        <f aca="false">B7-C7</f>
        <v>0</v>
      </c>
      <c r="E7" s="18" t="str">
        <f aca="false">IF(ABS(D7)&lt;0.000001,"PASS","FAIL")</f>
        <v>PASS</v>
      </c>
    </row>
    <row r="8" customFormat="false" ht="15" hidden="false" customHeight="false" outlineLevel="0" collapsed="false">
      <c r="A8" s="9" t="s">
        <v>1408</v>
      </c>
      <c r="B8" s="61" t="n">
        <f aca="false">SUM(Controls!B8:B12)</f>
        <v>200</v>
      </c>
      <c r="C8" s="56" t="n">
        <v>200</v>
      </c>
      <c r="D8" s="61" t="n">
        <f aca="false">B8-C8</f>
        <v>0</v>
      </c>
      <c r="E8" s="20" t="str">
        <f aca="false">IF(ABS(D8)&lt;0.000001,"PASS","FAIL")</f>
        <v>PASS</v>
      </c>
    </row>
    <row r="9" customFormat="false" ht="15" hidden="false" customHeight="false" outlineLevel="0" collapsed="false">
      <c r="A9" s="9" t="s">
        <v>1409</v>
      </c>
      <c r="B9" s="61" t="n">
        <f aca="false">Controls!B8</f>
        <v>110</v>
      </c>
      <c r="C9" s="56" t="n">
        <v>110</v>
      </c>
      <c r="D9" s="61" t="n">
        <f aca="false">B9-C9</f>
        <v>0</v>
      </c>
      <c r="E9" s="20" t="str">
        <f aca="false">IF(ABS(D9)&lt;0.000001,"PASS","FAIL")</f>
        <v>PASS</v>
      </c>
    </row>
    <row r="10" customFormat="false" ht="15" hidden="false" customHeight="false" outlineLevel="0" collapsed="false">
      <c r="A10" s="9" t="s">
        <v>1410</v>
      </c>
      <c r="B10" s="61" t="n">
        <f aca="false">SUM(Controls!B9:B11)</f>
        <v>80</v>
      </c>
      <c r="C10" s="56" t="n">
        <v>80</v>
      </c>
      <c r="D10" s="61" t="n">
        <f aca="false">B10-C10</f>
        <v>0</v>
      </c>
      <c r="E10" s="20" t="str">
        <f aca="false">IF(ABS(D10)&lt;0.000001,"PASS","FAIL")</f>
        <v>PASS</v>
      </c>
    </row>
    <row r="11" customFormat="false" ht="15" hidden="false" customHeight="false" outlineLevel="0" collapsed="false">
      <c r="A11" s="9" t="s">
        <v>1411</v>
      </c>
      <c r="B11" s="61" t="n">
        <f aca="false">SUM(Controls!B13:B15)+Controls!B12</f>
        <v>200</v>
      </c>
      <c r="C11" s="56" t="n">
        <v>200</v>
      </c>
      <c r="D11" s="61" t="n">
        <f aca="false">B11-C11</f>
        <v>0</v>
      </c>
      <c r="E11" s="20" t="str">
        <f aca="false">IF(ABS(D11)&lt;0.000001,"PASS","FAIL")</f>
        <v>PASS</v>
      </c>
    </row>
    <row r="12" customFormat="false" ht="15" hidden="false" customHeight="false" outlineLevel="0" collapsed="false">
      <c r="A12" s="9" t="s">
        <v>1412</v>
      </c>
      <c r="B12" s="61" t="n">
        <f aca="false">SUM(Controls!B13:B14)</f>
        <v>110</v>
      </c>
      <c r="C12" s="56" t="n">
        <v>110</v>
      </c>
      <c r="D12" s="61" t="n">
        <f aca="false">B12-C12</f>
        <v>0</v>
      </c>
      <c r="E12" s="20" t="str">
        <f aca="false">IF(ABS(D12)&lt;0.000001,"PASS","FAIL")</f>
        <v>PASS</v>
      </c>
    </row>
    <row r="13" customFormat="false" ht="15" hidden="false" customHeight="false" outlineLevel="0" collapsed="false">
      <c r="A13" s="9" t="s">
        <v>1413</v>
      </c>
      <c r="B13" s="61" t="n">
        <f aca="false">SUM(Controls!B16:B17)</f>
        <v>27.5</v>
      </c>
      <c r="C13" s="56" t="n">
        <v>27.5</v>
      </c>
      <c r="D13" s="61" t="n">
        <f aca="false">B13-C13</f>
        <v>0</v>
      </c>
      <c r="E13" s="20" t="str">
        <f aca="false">IF(ABS(D13)&lt;0.000001,"PASS","FAIL")</f>
        <v>PASS</v>
      </c>
    </row>
    <row r="14" customFormat="false" ht="15" hidden="false" customHeight="false" outlineLevel="0" collapsed="false">
      <c r="A14" s="9" t="s">
        <v>1414</v>
      </c>
      <c r="B14" s="61" t="n">
        <f aca="false">Finance!B26+Finance!B27</f>
        <v>82.5</v>
      </c>
      <c r="C14" s="56" t="n">
        <v>82.5</v>
      </c>
      <c r="D14" s="61" t="n">
        <f aca="false">B14-C14</f>
        <v>0</v>
      </c>
      <c r="E14" s="20" t="str">
        <f aca="false">IF(ABS(D14)&lt;0.000001,"PASS","FAIL")</f>
        <v>PASS</v>
      </c>
    </row>
    <row r="15" customFormat="false" ht="15" hidden="false" customHeight="false" outlineLevel="0" collapsed="false">
      <c r="A15" s="9" t="s">
        <v>1415</v>
      </c>
      <c r="B15" s="61" t="n">
        <f aca="false">SUM(Finance!B24:B27)</f>
        <v>110</v>
      </c>
      <c r="C15" s="56" t="n">
        <v>110</v>
      </c>
      <c r="D15" s="61" t="n">
        <f aca="false">B15-C15</f>
        <v>0</v>
      </c>
      <c r="E15" s="20" t="str">
        <f aca="false">IF(ABS(D15)&lt;0.000001,"PASS","FAIL")</f>
        <v>PASS</v>
      </c>
    </row>
    <row r="16" customFormat="false" ht="15" hidden="false" customHeight="false" outlineLevel="0" collapsed="false">
      <c r="A16" s="9" t="s">
        <v>1416</v>
      </c>
      <c r="B16" s="61" t="n">
        <f aca="false">Controls!B18</f>
        <v>12</v>
      </c>
      <c r="C16" s="56" t="n">
        <v>12</v>
      </c>
      <c r="D16" s="61" t="n">
        <f aca="false">B16-C16</f>
        <v>0</v>
      </c>
      <c r="E16" s="20" t="str">
        <f aca="false">IF(ABS(D16)&lt;0.000001,"PASS","FAIL")</f>
        <v>PASS</v>
      </c>
    </row>
    <row r="17" customFormat="false" ht="15" hidden="false" customHeight="false" outlineLevel="0" collapsed="false">
      <c r="A17" s="9" t="s">
        <v>1417</v>
      </c>
      <c r="B17" s="61" t="n">
        <f aca="false">Finance!B29</f>
        <v>68</v>
      </c>
      <c r="C17" s="56" t="n">
        <v>68</v>
      </c>
      <c r="D17" s="61" t="n">
        <f aca="false">B17-C17</f>
        <v>0</v>
      </c>
      <c r="E17" s="20" t="str">
        <f aca="false">IF(ABS(D17)&lt;0.000001,"PASS","FAIL")</f>
        <v>PASS</v>
      </c>
    </row>
    <row r="18" customFormat="false" ht="15" hidden="false" customHeight="false" outlineLevel="0" collapsed="false">
      <c r="A18" s="9" t="s">
        <v>1418</v>
      </c>
      <c r="B18" s="61" t="n">
        <f aca="false">'Public Estate'!B16</f>
        <v>12</v>
      </c>
      <c r="C18" s="56" t="n">
        <v>12</v>
      </c>
      <c r="D18" s="61" t="n">
        <f aca="false">B18-C18</f>
        <v>-1.77635683940025E-015</v>
      </c>
      <c r="E18" s="20" t="str">
        <f aca="false">IF(ABS(D18)&lt;0.000001,"PASS","FAIL")</f>
        <v>PASS</v>
      </c>
    </row>
    <row r="19" customFormat="false" ht="15" hidden="false" customHeight="false" outlineLevel="0" collapsed="false">
      <c r="A19" s="9" t="s">
        <v>1419</v>
      </c>
      <c r="B19" s="61" t="n">
        <f aca="false">'Public Estate'!C16</f>
        <v>0</v>
      </c>
      <c r="C19" s="56" t="n">
        <v>0</v>
      </c>
      <c r="D19" s="61" t="n">
        <f aca="false">B19-C19</f>
        <v>0</v>
      </c>
      <c r="E19" s="20" t="str">
        <f aca="false">IF(ABS(D19)&lt;0.000001,"PASS","FAIL")</f>
        <v>PASS</v>
      </c>
    </row>
    <row r="20" customFormat="false" ht="15" hidden="false" customHeight="false" outlineLevel="0" collapsed="false">
      <c r="A20" s="9" t="s">
        <v>1420</v>
      </c>
      <c r="B20" s="61" t="n">
        <f aca="false">Finance!B30/Finance!B24</f>
        <v>0.15</v>
      </c>
      <c r="C20" s="56" t="n">
        <v>0.15</v>
      </c>
      <c r="D20" s="61" t="n">
        <f aca="false">B20-C20</f>
        <v>0</v>
      </c>
      <c r="E20" s="20" t="str">
        <f aca="false">IF(ABS(D20)&lt;0.000001,"PASS","FAIL")</f>
        <v>PASS</v>
      </c>
    </row>
    <row r="21" customFormat="false" ht="15" hidden="false" customHeight="false" outlineLevel="0" collapsed="false">
      <c r="A21" s="9" t="s">
        <v>1421</v>
      </c>
      <c r="B21" s="61" t="n">
        <f aca="false">Finance!B31/Finance!B24</f>
        <v>0.35</v>
      </c>
      <c r="C21" s="56" t="n">
        <v>0.35</v>
      </c>
      <c r="D21" s="61" t="n">
        <f aca="false">B21-C21</f>
        <v>0</v>
      </c>
      <c r="E21" s="20" t="str">
        <f aca="false">IF(ABS(D21)&lt;0.000001,"PASS","FAIL")</f>
        <v>PASS</v>
      </c>
    </row>
    <row r="22" customFormat="false" ht="15" hidden="false" customHeight="false" outlineLevel="0" collapsed="false">
      <c r="A22" s="9" t="s">
        <v>1422</v>
      </c>
      <c r="B22" s="61" t="n">
        <f aca="false">Finance!B32/Finance!B24</f>
        <v>0.5</v>
      </c>
      <c r="C22" s="56" t="n">
        <v>0.5</v>
      </c>
      <c r="D22" s="61" t="n">
        <f aca="false">B22-C22</f>
        <v>0</v>
      </c>
      <c r="E22" s="20" t="str">
        <f aca="false">IF(ABS(D22)&lt;0.000001,"PASS","FAIL")</f>
        <v>PASS</v>
      </c>
    </row>
    <row r="23" customFormat="false" ht="15" hidden="false" customHeight="false" outlineLevel="0" collapsed="false">
      <c r="A23" s="9" t="s">
        <v>1423</v>
      </c>
      <c r="B23" s="61" t="n">
        <f aca="false">Finance!B35/Finance!B24</f>
        <v>0.5</v>
      </c>
      <c r="C23" s="56" t="n">
        <v>0.5</v>
      </c>
      <c r="D23" s="61" t="n">
        <f aca="false">B23-C23</f>
        <v>0</v>
      </c>
      <c r="E23" s="20" t="str">
        <f aca="false">IF(ABS(D23)&lt;0.000001,"PASS","FAIL")</f>
        <v>PASS</v>
      </c>
    </row>
    <row r="24" customFormat="false" ht="15" hidden="false" customHeight="false" outlineLevel="0" collapsed="false">
      <c r="A24" s="9" t="s">
        <v>1424</v>
      </c>
      <c r="B24" s="61" t="n">
        <f aca="false">Finance!B32+Finance!B35</f>
        <v>14.3476512772823</v>
      </c>
      <c r="C24" s="56" t="n">
        <v>14.3476512772823</v>
      </c>
      <c r="D24" s="61" t="n">
        <f aca="false">B24-C24</f>
        <v>0</v>
      </c>
      <c r="E24" s="20" t="str">
        <f aca="false">IF(ABS(D24)&lt;0.000001,"PASS","FAIL")</f>
        <v>PASS</v>
      </c>
    </row>
    <row r="25" customFormat="false" ht="15" hidden="false" customHeight="false" outlineLevel="0" collapsed="false">
      <c r="A25" s="9" t="s">
        <v>1425</v>
      </c>
      <c r="B25" s="61" t="n">
        <f aca="false">COUNTA('Root Register'!B7:B30)</f>
        <v>24</v>
      </c>
      <c r="C25" s="56" t="n">
        <v>24</v>
      </c>
      <c r="D25" s="61" t="n">
        <f aca="false">B25-C25</f>
        <v>0</v>
      </c>
      <c r="E25" s="20" t="str">
        <f aca="false">IF(ABS(D25)&lt;0.000001,"PASS","FAIL")</f>
        <v>PASS</v>
      </c>
    </row>
    <row r="26" customFormat="false" ht="15" hidden="false" customHeight="false" outlineLevel="0" collapsed="false">
      <c r="A26" s="9" t="s">
        <v>1426</v>
      </c>
      <c r="B26" s="61" t="n">
        <f aca="false">COUNTA('Root Register'!A7:A30)</f>
        <v>24</v>
      </c>
      <c r="C26" s="56" t="n">
        <v>24</v>
      </c>
      <c r="D26" s="61" t="n">
        <f aca="false">B26-C26</f>
        <v>0</v>
      </c>
      <c r="E26" s="20" t="str">
        <f aca="false">IF(ABS(D26)&lt;0.000001,"PASS","FAIL")</f>
        <v>PASS</v>
      </c>
    </row>
    <row r="27" customFormat="false" ht="15" hidden="false" customHeight="false" outlineLevel="0" collapsed="false">
      <c r="A27" s="9" t="s">
        <v>1427</v>
      </c>
      <c r="B27" s="61" t="n">
        <f aca="false">COUNTA(Finance!A40:A45)</f>
        <v>6</v>
      </c>
      <c r="C27" s="56" t="n">
        <v>6</v>
      </c>
      <c r="D27" s="61" t="n">
        <f aca="false">B27-C27</f>
        <v>0</v>
      </c>
      <c r="E27" s="20" t="str">
        <f aca="false">IF(ABS(D27)&lt;0.000001,"PASS","FAIL")</f>
        <v>PASS</v>
      </c>
    </row>
    <row r="28" customFormat="false" ht="15" hidden="false" customHeight="false" outlineLevel="0" collapsed="false">
      <c r="A28" s="9" t="s">
        <v>1428</v>
      </c>
      <c r="B28" s="61" t="n">
        <f aca="false">SUM(Finance!F40:F45)</f>
        <v>24</v>
      </c>
      <c r="C28" s="56" t="n">
        <v>24</v>
      </c>
      <c r="D28" s="61" t="n">
        <f aca="false">B28-C28</f>
        <v>0</v>
      </c>
      <c r="E28" s="20" t="str">
        <f aca="false">IF(ABS(D28)&lt;0.000001,"PASS","FAIL")</f>
        <v>PASS</v>
      </c>
    </row>
    <row r="29" customFormat="false" ht="15" hidden="false" customHeight="false" outlineLevel="0" collapsed="false">
      <c r="A29" s="9" t="s">
        <v>1429</v>
      </c>
      <c r="B29" s="61" t="n">
        <f aca="false">'Root Register'!H33</f>
        <v>14.3476512772823</v>
      </c>
      <c r="C29" s="56" t="n">
        <v>14.3476512772823</v>
      </c>
      <c r="D29" s="61" t="n">
        <f aca="false">B29-C29</f>
        <v>-3.90798504668055E-014</v>
      </c>
      <c r="E29" s="20" t="str">
        <f aca="false">IF(ABS(D29)&lt;0.000001,"PASS","FAIL")</f>
        <v>PASS</v>
      </c>
    </row>
    <row r="30" customFormat="false" ht="15" hidden="false" customHeight="false" outlineLevel="0" collapsed="false">
      <c r="A30" s="9" t="s">
        <v>1430</v>
      </c>
      <c r="B30" s="61" t="n">
        <f aca="false">'Root Register'!I33</f>
        <v>13.1523487227178</v>
      </c>
      <c r="C30" s="56" t="n">
        <v>13.1523487227177</v>
      </c>
      <c r="D30" s="61" t="n">
        <f aca="false">B30-C30</f>
        <v>5.32907051820075E-014</v>
      </c>
      <c r="E30" s="20" t="str">
        <f aca="false">IF(ABS(D30)&lt;0.000001,"PASS","FAIL")</f>
        <v>PASS</v>
      </c>
    </row>
    <row r="31" customFormat="false" ht="15" hidden="false" customHeight="false" outlineLevel="0" collapsed="false">
      <c r="A31" s="9" t="s">
        <v>1431</v>
      </c>
      <c r="B31" s="61" t="n">
        <f aca="false">'Root Register'!L33</f>
        <v>0</v>
      </c>
      <c r="C31" s="56" t="n">
        <v>0</v>
      </c>
      <c r="D31" s="61" t="n">
        <f aca="false">B31-C31</f>
        <v>0</v>
      </c>
      <c r="E31" s="20" t="str">
        <f aca="false">IF(ABS(D31)&lt;0.000001,"PASS","FAIL")</f>
        <v>PASS</v>
      </c>
    </row>
    <row r="32" customFormat="false" ht="15" hidden="false" customHeight="false" outlineLevel="0" collapsed="false">
      <c r="A32" s="9" t="s">
        <v>1432</v>
      </c>
      <c r="B32" s="61" t="n">
        <f aca="false">'Root Register'!M33</f>
        <v>0</v>
      </c>
      <c r="C32" s="56" t="n">
        <v>0</v>
      </c>
      <c r="D32" s="61" t="n">
        <f aca="false">B32-C32</f>
        <v>0</v>
      </c>
      <c r="E32" s="20" t="str">
        <f aca="false">IF(ABS(D32)&lt;0.000001,"PASS","FAIL")</f>
        <v>PASS</v>
      </c>
    </row>
    <row r="33" customFormat="false" ht="15" hidden="false" customHeight="false" outlineLevel="0" collapsed="false">
      <c r="A33" s="9" t="s">
        <v>161</v>
      </c>
      <c r="B33" s="61" t="n">
        <f aca="false">'Root Register'!N33</f>
        <v>0</v>
      </c>
      <c r="C33" s="56" t="n">
        <v>0</v>
      </c>
      <c r="D33" s="61" t="n">
        <f aca="false">B33-C33</f>
        <v>0</v>
      </c>
      <c r="E33" s="20" t="str">
        <f aca="false">IF(ABS(D33)&lt;0.000001,"PASS","FAIL")</f>
        <v>PASS</v>
      </c>
    </row>
    <row r="34" customFormat="false" ht="15" hidden="false" customHeight="false" outlineLevel="0" collapsed="false">
      <c r="A34" s="9" t="s">
        <v>163</v>
      </c>
      <c r="B34" s="61" t="n">
        <f aca="false">'Root Register'!O33</f>
        <v>0</v>
      </c>
      <c r="C34" s="56" t="n">
        <v>0</v>
      </c>
      <c r="D34" s="61" t="n">
        <f aca="false">B34-C34</f>
        <v>0</v>
      </c>
      <c r="E34" s="20" t="str">
        <f aca="false">IF(ABS(D34)&lt;0.000001,"PASS","FAIL")</f>
        <v>PASS</v>
      </c>
    </row>
    <row r="35" customFormat="false" ht="15" hidden="false" customHeight="false" outlineLevel="0" collapsed="false">
      <c r="A35" s="9" t="s">
        <v>1433</v>
      </c>
      <c r="B35" s="61" t="n">
        <f aca="false">Controls!B19*Controls!B20</f>
        <v>96</v>
      </c>
      <c r="C35" s="56" t="n">
        <v>96</v>
      </c>
      <c r="D35" s="61" t="n">
        <f aca="false">B35-C35</f>
        <v>0</v>
      </c>
      <c r="E35" s="20" t="str">
        <f aca="false">IF(ABS(D35)&lt;0.000001,"PASS","FAIL")</f>
        <v>PASS</v>
      </c>
    </row>
    <row r="36" customFormat="false" ht="15" hidden="false" customHeight="false" outlineLevel="0" collapsed="false">
      <c r="A36" s="9" t="s">
        <v>134</v>
      </c>
      <c r="B36" s="61" t="n">
        <f aca="false">Controls!B21</f>
        <v>24</v>
      </c>
      <c r="C36" s="56" t="n">
        <v>24</v>
      </c>
      <c r="D36" s="61" t="n">
        <f aca="false">B36-C36</f>
        <v>0</v>
      </c>
      <c r="E36" s="20" t="str">
        <f aca="false">IF(ABS(D36)&lt;0.000001,"PASS","FAIL")</f>
        <v>PASS</v>
      </c>
    </row>
    <row r="37" customFormat="false" ht="15" hidden="false" customHeight="false" outlineLevel="0" collapsed="false">
      <c r="A37" s="9" t="s">
        <v>1434</v>
      </c>
      <c r="B37" s="61" t="n">
        <f aca="false">Controls!B19*Controls!B20-Controls!B21</f>
        <v>72</v>
      </c>
      <c r="C37" s="56" t="n">
        <v>72</v>
      </c>
      <c r="D37" s="61" t="n">
        <f aca="false">B37-C37</f>
        <v>0</v>
      </c>
      <c r="E37" s="20" t="str">
        <f aca="false">IF(ABS(D37)&lt;0.000001,"PASS","FAIL")</f>
        <v>PASS</v>
      </c>
    </row>
    <row r="38" customFormat="false" ht="15" hidden="false" customHeight="false" outlineLevel="0" collapsed="false">
      <c r="A38" s="9" t="s">
        <v>1435</v>
      </c>
      <c r="B38" s="61" t="n">
        <f aca="false">Controls!B19*Controls!B22</f>
        <v>288</v>
      </c>
      <c r="C38" s="56" t="n">
        <v>288</v>
      </c>
      <c r="D38" s="61" t="n">
        <f aca="false">B38-C38</f>
        <v>0</v>
      </c>
      <c r="E38" s="20" t="str">
        <f aca="false">IF(ABS(D38)&lt;0.000001,"PASS","FAIL")</f>
        <v>PASS</v>
      </c>
    </row>
    <row r="39" customFormat="false" ht="15" hidden="false" customHeight="false" outlineLevel="0" collapsed="false">
      <c r="A39" s="9" t="s">
        <v>1436</v>
      </c>
      <c r="B39" s="61" t="n">
        <f aca="false">COUNTA('Domain Register'!A7:A294)</f>
        <v>288</v>
      </c>
      <c r="C39" s="56" t="n">
        <v>288</v>
      </c>
      <c r="D39" s="61" t="n">
        <f aca="false">B39-C39</f>
        <v>0</v>
      </c>
      <c r="E39" s="20" t="str">
        <f aca="false">IF(ABS(D39)&lt;0.000001,"PASS","FAIL")</f>
        <v>PASS</v>
      </c>
    </row>
    <row r="40" customFormat="false" ht="15" hidden="false" customHeight="false" outlineLevel="0" collapsed="false">
      <c r="A40" s="9" t="s">
        <v>1437</v>
      </c>
      <c r="B40" s="61" t="n">
        <f aca="false">Controls!B19*Controls!B23</f>
        <v>168</v>
      </c>
      <c r="C40" s="56" t="n">
        <v>168</v>
      </c>
      <c r="D40" s="61" t="n">
        <f aca="false">B40-C40</f>
        <v>0</v>
      </c>
      <c r="E40" s="20" t="str">
        <f aca="false">IF(ABS(D40)&lt;0.000001,"PASS","FAIL")</f>
        <v>PASS</v>
      </c>
    </row>
    <row r="41" customFormat="false" ht="15" hidden="false" customHeight="false" outlineLevel="0" collapsed="false">
      <c r="A41" s="9" t="s">
        <v>1438</v>
      </c>
      <c r="B41" s="61" t="n">
        <f aca="false">COUNTIF('Domain Register'!I7:I294,"EXCLUSIVE DECLARATION")</f>
        <v>168</v>
      </c>
      <c r="C41" s="56" t="n">
        <v>168</v>
      </c>
      <c r="D41" s="61" t="n">
        <f aca="false">B41-C41</f>
        <v>0</v>
      </c>
      <c r="E41" s="20" t="str">
        <f aca="false">IF(ABS(D41)&lt;0.000001,"PASS","FAIL")</f>
        <v>PASS</v>
      </c>
    </row>
    <row r="42" customFormat="false" ht="15" hidden="false" customHeight="false" outlineLevel="0" collapsed="false">
      <c r="A42" s="9" t="s">
        <v>1439</v>
      </c>
      <c r="B42" s="61" t="n">
        <f aca="false">COUNTIF('Domain Register'!I7:I294,"HELD")</f>
        <v>120</v>
      </c>
      <c r="C42" s="56" t="n">
        <v>120</v>
      </c>
      <c r="D42" s="61" t="n">
        <f aca="false">B42-C42</f>
        <v>0</v>
      </c>
      <c r="E42" s="20" t="str">
        <f aca="false">IF(ABS(D42)&lt;0.000001,"PASS","FAIL")</f>
        <v>PASS</v>
      </c>
    </row>
    <row r="43" customFormat="false" ht="15" hidden="false" customHeight="false" outlineLevel="0" collapsed="false">
      <c r="A43" s="9" t="s">
        <v>1440</v>
      </c>
      <c r="B43" s="61" t="n">
        <f aca="false">SUM('Domain Register'!H7:H294)</f>
        <v>0</v>
      </c>
      <c r="C43" s="56" t="n">
        <v>0</v>
      </c>
      <c r="D43" s="61" t="n">
        <f aca="false">B43-C43</f>
        <v>0</v>
      </c>
      <c r="E43" s="20" t="str">
        <f aca="false">IF(ABS(D43)&lt;0.000001,"PASS","FAIL")</f>
        <v>PASS</v>
      </c>
    </row>
    <row r="44" customFormat="false" ht="15" hidden="false" customHeight="false" outlineLevel="0" collapsed="false">
      <c r="A44" s="9" t="s">
        <v>139</v>
      </c>
      <c r="B44" s="61" t="n">
        <f aca="false">Controls!B24</f>
        <v>6</v>
      </c>
      <c r="C44" s="56" t="n">
        <v>6</v>
      </c>
      <c r="D44" s="61" t="n">
        <f aca="false">B44-C44</f>
        <v>0</v>
      </c>
      <c r="E44" s="20" t="str">
        <f aca="false">IF(ABS(D44)&lt;0.000001,"PASS","FAIL")</f>
        <v>PASS</v>
      </c>
    </row>
    <row r="45" customFormat="false" ht="15" hidden="false" customHeight="false" outlineLevel="0" collapsed="false">
      <c r="A45" s="9" t="s">
        <v>1441</v>
      </c>
      <c r="B45" s="61" t="n">
        <f aca="false">Controls!B24*Controls!B25</f>
        <v>24</v>
      </c>
      <c r="C45" s="56" t="n">
        <v>24</v>
      </c>
      <c r="D45" s="61" t="n">
        <f aca="false">B45-C45</f>
        <v>0</v>
      </c>
      <c r="E45" s="20" t="str">
        <f aca="false">IF(ABS(D45)&lt;0.000001,"PASS","FAIL")</f>
        <v>PASS</v>
      </c>
    </row>
    <row r="46" customFormat="false" ht="15" hidden="false" customHeight="false" outlineLevel="0" collapsed="false">
      <c r="A46" s="9" t="s">
        <v>1442</v>
      </c>
      <c r="B46" s="61" t="n">
        <f aca="false">Controls!B24*Controls!B25*Controls!B26</f>
        <v>72</v>
      </c>
      <c r="C46" s="56" t="n">
        <v>72</v>
      </c>
      <c r="D46" s="61" t="n">
        <f aca="false">B46-C46</f>
        <v>0</v>
      </c>
      <c r="E46" s="20" t="str">
        <f aca="false">IF(ABS(D46)&lt;0.000001,"PASS","FAIL")</f>
        <v>PASS</v>
      </c>
    </row>
    <row r="47" customFormat="false" ht="15" hidden="false" customHeight="false" outlineLevel="0" collapsed="false">
      <c r="A47" s="9" t="s">
        <v>56</v>
      </c>
      <c r="B47" s="61" t="n">
        <f aca="false">Controls!B24*Controls!B25*Controls!B26*Controls!B27</f>
        <v>144</v>
      </c>
      <c r="C47" s="56" t="n">
        <v>144</v>
      </c>
      <c r="D47" s="61" t="n">
        <f aca="false">B47-C47</f>
        <v>0</v>
      </c>
      <c r="E47" s="20" t="str">
        <f aca="false">IF(ABS(D47)&lt;0.000001,"PASS","FAIL")</f>
        <v>PASS</v>
      </c>
    </row>
    <row r="48" customFormat="false" ht="15" hidden="false" customHeight="false" outlineLevel="0" collapsed="false">
      <c r="A48" s="9" t="s">
        <v>1443</v>
      </c>
      <c r="B48" s="61" t="n">
        <f aca="false">Controls!B21</f>
        <v>24</v>
      </c>
      <c r="C48" s="56" t="n">
        <v>24</v>
      </c>
      <c r="D48" s="61" t="n">
        <f aca="false">B48-C48</f>
        <v>0</v>
      </c>
      <c r="E48" s="20" t="str">
        <f aca="false">IF(ABS(D48)&lt;0.000001,"PASS","FAIL")</f>
        <v>PASS</v>
      </c>
    </row>
    <row r="49" customFormat="false" ht="15" hidden="false" customHeight="false" outlineLevel="0" collapsed="false">
      <c r="A49" s="9" t="s">
        <v>71</v>
      </c>
      <c r="B49" s="61" t="n">
        <f aca="false">Controls!B21*Controls!B28</f>
        <v>1152</v>
      </c>
      <c r="C49" s="56" t="n">
        <v>1152</v>
      </c>
      <c r="D49" s="61" t="n">
        <f aca="false">B49-C49</f>
        <v>0</v>
      </c>
      <c r="E49" s="20" t="str">
        <f aca="false">IF(ABS(D49)&lt;0.000001,"PASS","FAIL")</f>
        <v>PASS</v>
      </c>
    </row>
    <row r="50" customFormat="false" ht="15" hidden="false" customHeight="false" outlineLevel="0" collapsed="false">
      <c r="A50" s="9" t="s">
        <v>1444</v>
      </c>
      <c r="B50" s="61" t="n">
        <f aca="false">Controls!B33</f>
        <v>0</v>
      </c>
      <c r="C50" s="56" t="n">
        <v>0</v>
      </c>
      <c r="D50" s="61" t="n">
        <f aca="false">B50-C50</f>
        <v>0</v>
      </c>
      <c r="E50" s="20" t="str">
        <f aca="false">IF(ABS(D50)&lt;0.000001,"PASS","FAIL")</f>
        <v>PASS</v>
      </c>
    </row>
    <row r="51" customFormat="false" ht="15" hidden="false" customHeight="false" outlineLevel="0" collapsed="false">
      <c r="A51" s="9" t="s">
        <v>1445</v>
      </c>
      <c r="B51" s="61" t="n">
        <f aca="false">COUNTA('Interface Law'!A7:A36)</f>
        <v>30</v>
      </c>
      <c r="C51" s="56" t="n">
        <v>30</v>
      </c>
      <c r="D51" s="61" t="n">
        <f aca="false">B51-C51</f>
        <v>0</v>
      </c>
      <c r="E51" s="20" t="str">
        <f aca="false">IF(ABS(D51)&lt;0.000001,"PASS","FAIL")</f>
        <v>PASS</v>
      </c>
    </row>
    <row r="52" customFormat="false" ht="15" hidden="false" customHeight="false" outlineLevel="0" collapsed="false">
      <c r="A52" s="9" t="s">
        <v>1446</v>
      </c>
      <c r="B52" s="61" t="n">
        <f aca="false">COUNTIF('Interface Law'!E7:E36,"Yes")</f>
        <v>0</v>
      </c>
      <c r="C52" s="56" t="n">
        <v>0</v>
      </c>
      <c r="D52" s="61" t="n">
        <f aca="false">B52-C52</f>
        <v>0</v>
      </c>
      <c r="E52" s="20" t="str">
        <f aca="false">IF(ABS(D52)&lt;0.000001,"PASS","FAIL")</f>
        <v>PASS</v>
      </c>
    </row>
    <row r="53" customFormat="false" ht="15" hidden="false" customHeight="false" outlineLevel="0" collapsed="false">
      <c r="A53" s="9" t="s">
        <v>1447</v>
      </c>
      <c r="B53" s="61" t="n">
        <f aca="false">COUNTIF('Interface Law'!F7:F36,"SOURCE EMPTY")</f>
        <v>30</v>
      </c>
      <c r="C53" s="56" t="n">
        <v>30</v>
      </c>
      <c r="D53" s="61" t="n">
        <f aca="false">B53-C53</f>
        <v>0</v>
      </c>
      <c r="E53" s="20" t="str">
        <f aca="false">IF(ABS(D53)&lt;0.000001,"PASS","FAIL")</f>
        <v>PASS</v>
      </c>
    </row>
    <row r="54" customFormat="false" ht="15" hidden="false" customHeight="false" outlineLevel="0" collapsed="false">
      <c r="A54" s="9" t="s">
        <v>149</v>
      </c>
      <c r="B54" s="61" t="n">
        <f aca="false">COUNTA('Interface Law'!A41:A52)</f>
        <v>12</v>
      </c>
      <c r="C54" s="56" t="n">
        <v>12</v>
      </c>
      <c r="D54" s="61" t="n">
        <f aca="false">B54-C54</f>
        <v>0</v>
      </c>
      <c r="E54" s="20" t="str">
        <f aca="false">IF(ABS(D54)&lt;0.000001,"PASS","FAIL")</f>
        <v>PASS</v>
      </c>
    </row>
    <row r="55" customFormat="false" ht="15" hidden="false" customHeight="false" outlineLevel="0" collapsed="false">
      <c r="A55" s="9" t="s">
        <v>1448</v>
      </c>
      <c r="B55" s="61" t="n">
        <f aca="false">COUNTIF('Interface Law'!C41:C52,"Yes")</f>
        <v>0</v>
      </c>
      <c r="C55" s="56" t="n">
        <v>0</v>
      </c>
      <c r="D55" s="61" t="n">
        <f aca="false">B55-C55</f>
        <v>0</v>
      </c>
      <c r="E55" s="20" t="str">
        <f aca="false">IF(ABS(D55)&lt;0.000001,"PASS","FAIL")</f>
        <v>PASS</v>
      </c>
    </row>
    <row r="56" customFormat="false" ht="15" hidden="false" customHeight="false" outlineLevel="0" collapsed="false">
      <c r="A56" s="9" t="s">
        <v>1449</v>
      </c>
      <c r="B56" s="61" t="n">
        <f aca="false">COUNTIF(Architecture!R7:R11,"SELECT")</f>
        <v>1</v>
      </c>
      <c r="C56" s="56" t="n">
        <v>1</v>
      </c>
      <c r="D56" s="61" t="n">
        <f aca="false">B56-C56</f>
        <v>0</v>
      </c>
      <c r="E56" s="20" t="str">
        <f aca="false">IF(ABS(D56)&lt;0.000001,"PASS","FAIL")</f>
        <v>PASS</v>
      </c>
    </row>
    <row r="57" customFormat="false" ht="15" hidden="false" customHeight="false" outlineLevel="0" collapsed="false">
      <c r="A57" s="9" t="s">
        <v>1450</v>
      </c>
      <c r="B57" s="61" t="n">
        <f aca="false">Architecture!P7</f>
        <v>14</v>
      </c>
      <c r="C57" s="56" t="n">
        <v>14</v>
      </c>
      <c r="D57" s="61" t="n">
        <f aca="false">B57-C57</f>
        <v>0</v>
      </c>
      <c r="E57" s="20" t="str">
        <f aca="false">IF(ABS(D57)&lt;0.000001,"PASS","FAIL")</f>
        <v>PASS</v>
      </c>
    </row>
    <row r="58" customFormat="false" ht="15" hidden="false" customHeight="false" outlineLevel="0" collapsed="false">
      <c r="A58" s="9" t="s">
        <v>1451</v>
      </c>
      <c r="B58" s="61" t="n">
        <f aca="false">COUNTIF(Architecture!R7:R11,"REJECT")</f>
        <v>4</v>
      </c>
      <c r="C58" s="56" t="n">
        <v>4</v>
      </c>
      <c r="D58" s="61" t="n">
        <f aca="false">B58-C58</f>
        <v>0</v>
      </c>
      <c r="E58" s="20" t="str">
        <f aca="false">IF(ABS(D58)&lt;0.000001,"PASS","FAIL")</f>
        <v>PASS</v>
      </c>
    </row>
    <row r="59" customFormat="false" ht="15" hidden="false" customHeight="false" outlineLevel="0" collapsed="false">
      <c r="A59" s="9" t="s">
        <v>1452</v>
      </c>
      <c r="B59" s="61" t="n">
        <f aca="false">COUNTIF(Contradictions!E7:E16,"RESOLVED")</f>
        <v>10</v>
      </c>
      <c r="C59" s="56" t="n">
        <v>10</v>
      </c>
      <c r="D59" s="61" t="n">
        <f aca="false">B59-C59</f>
        <v>0</v>
      </c>
      <c r="E59" s="20" t="str">
        <f aca="false">IF(ABS(D59)&lt;0.000001,"PASS","FAIL")</f>
        <v>PASS</v>
      </c>
    </row>
    <row r="60" customFormat="false" ht="15" hidden="false" customHeight="false" outlineLevel="0" collapsed="false">
      <c r="A60" s="9" t="s">
        <v>1453</v>
      </c>
      <c r="B60" s="61" t="n">
        <f aca="false">COUNTA('Launch Objects'!A7:A15)</f>
        <v>9</v>
      </c>
      <c r="C60" s="56" t="n">
        <v>9</v>
      </c>
      <c r="D60" s="61" t="n">
        <f aca="false">B60-C60</f>
        <v>0</v>
      </c>
      <c r="E60" s="20" t="str">
        <f aca="false">IF(ABS(D60)&lt;0.000001,"PASS","FAIL")</f>
        <v>PASS</v>
      </c>
    </row>
    <row r="61" customFormat="false" ht="15" hidden="false" customHeight="false" outlineLevel="0" collapsed="false">
      <c r="A61" s="9" t="s">
        <v>1454</v>
      </c>
      <c r="B61" s="61" t="n">
        <f aca="false">COUNTA('Warrant Ladder'!A7:A18)</f>
        <v>12</v>
      </c>
      <c r="C61" s="56" t="n">
        <v>12</v>
      </c>
      <c r="D61" s="61" t="n">
        <f aca="false">B61-C61</f>
        <v>0</v>
      </c>
      <c r="E61" s="20" t="str">
        <f aca="false">IF(ABS(D61)&lt;0.000001,"PASS","FAIL")</f>
        <v>PASS</v>
      </c>
    </row>
    <row r="62" customFormat="false" ht="15" hidden="false" customHeight="false" outlineLevel="0" collapsed="false">
      <c r="A62" s="9" t="s">
        <v>153</v>
      </c>
      <c r="B62" s="61" t="n">
        <f aca="false">Controls!B31</f>
        <v>0</v>
      </c>
      <c r="C62" s="56" t="n">
        <v>0</v>
      </c>
      <c r="D62" s="61" t="n">
        <f aca="false">B62-C62</f>
        <v>0</v>
      </c>
      <c r="E62" s="20" t="str">
        <f aca="false">IF(ABS(D62)&lt;0.000001,"PASS","FAIL")</f>
        <v>PASS</v>
      </c>
    </row>
    <row r="63" customFormat="false" ht="15" hidden="false" customHeight="false" outlineLevel="0" collapsed="false">
      <c r="A63" s="9" t="s">
        <v>156</v>
      </c>
      <c r="B63" s="61" t="n">
        <f aca="false">Controls!B32</f>
        <v>0</v>
      </c>
      <c r="C63" s="56" t="n">
        <v>0</v>
      </c>
      <c r="D63" s="61" t="n">
        <f aca="false">B63-C63</f>
        <v>0</v>
      </c>
      <c r="E63" s="20" t="str">
        <f aca="false">IF(ABS(D63)&lt;0.000001,"PASS","FAIL")</f>
        <v>PASS</v>
      </c>
    </row>
    <row r="64" customFormat="false" ht="15" hidden="false" customHeight="false" outlineLevel="0" collapsed="false">
      <c r="A64" s="9" t="s">
        <v>159</v>
      </c>
      <c r="B64" s="61" t="n">
        <f aca="false">Controls!B34</f>
        <v>0</v>
      </c>
      <c r="C64" s="56" t="n">
        <v>0</v>
      </c>
      <c r="D64" s="61" t="n">
        <f aca="false">B64-C64</f>
        <v>0</v>
      </c>
      <c r="E64" s="20" t="str">
        <f aca="false">IF(ABS(D64)&lt;0.000001,"PASS","FAIL")</f>
        <v>PASS</v>
      </c>
    </row>
    <row r="65" customFormat="false" ht="15" hidden="false" customHeight="false" outlineLevel="0" collapsed="false">
      <c r="A65" s="9" t="s">
        <v>164</v>
      </c>
      <c r="B65" s="61" t="n">
        <f aca="false">Controls!B37</f>
        <v>0</v>
      </c>
      <c r="C65" s="56" t="n">
        <v>0</v>
      </c>
      <c r="D65" s="61" t="n">
        <f aca="false">B65-C65</f>
        <v>0</v>
      </c>
      <c r="E65" s="20" t="str">
        <f aca="false">IF(ABS(D65)&lt;0.000001,"PASS","FAIL")</f>
        <v>PASS</v>
      </c>
    </row>
    <row r="66" customFormat="false" ht="15" hidden="false" customHeight="false" outlineLevel="0" collapsed="false">
      <c r="A66" s="9" t="s">
        <v>1455</v>
      </c>
      <c r="B66" s="61" t="n">
        <f aca="false">SUM('A2 Return'!F7:F11)</f>
        <v>0</v>
      </c>
      <c r="C66" s="56" t="n">
        <v>0</v>
      </c>
      <c r="D66" s="61" t="n">
        <f aca="false">B66-C66</f>
        <v>0</v>
      </c>
      <c r="E66" s="20" t="str">
        <f aca="false">IF(ABS(D66)&lt;0.000001,"PASS","FAIL")</f>
        <v>PASS</v>
      </c>
    </row>
    <row r="67" customFormat="false" ht="15" hidden="false" customHeight="false" outlineLevel="0" collapsed="false">
      <c r="A67" s="9" t="s">
        <v>1456</v>
      </c>
      <c r="B67" s="61" t="n">
        <f aca="false">COUNTA('Stress Tests'!A7:A24)</f>
        <v>18</v>
      </c>
      <c r="C67" s="56" t="n">
        <v>18</v>
      </c>
      <c r="D67" s="61" t="n">
        <f aca="false">B67-C67</f>
        <v>0</v>
      </c>
      <c r="E67" s="20" t="str">
        <f aca="false">IF(ABS(D67)&lt;0.000001,"PASS","FAIL")</f>
        <v>PASS</v>
      </c>
    </row>
    <row r="68" customFormat="false" ht="15" hidden="false" customHeight="false" outlineLevel="0" collapsed="false">
      <c r="A68" s="9" t="s">
        <v>1457</v>
      </c>
      <c r="B68" s="61" t="n">
        <f aca="false">COUNTIF('Stress Tests'!F7:F24,"PASS")</f>
        <v>18</v>
      </c>
      <c r="C68" s="56" t="n">
        <v>18</v>
      </c>
      <c r="D68" s="61" t="n">
        <f aca="false">B68-C68</f>
        <v>0</v>
      </c>
      <c r="E68" s="20" t="str">
        <f aca="false">IF(ABS(D68)&lt;0.000001,"PASS","FAIL")</f>
        <v>PASS</v>
      </c>
    </row>
    <row r="69" customFormat="false" ht="15" hidden="false" customHeight="false" outlineLevel="0" collapsed="false">
      <c r="A69" s="9" t="s">
        <v>1458</v>
      </c>
      <c r="B69" s="61" t="n">
        <f aca="false">COUNTA(Integration!A7:A11)</f>
        <v>5</v>
      </c>
      <c r="C69" s="56" t="n">
        <v>5</v>
      </c>
      <c r="D69" s="61" t="n">
        <f aca="false">B69-C69</f>
        <v>0</v>
      </c>
      <c r="E69" s="20" t="str">
        <f aca="false">IF(ABS(D69)&lt;0.000001,"PASS","FAIL")</f>
        <v>PASS</v>
      </c>
    </row>
    <row r="70" customFormat="false" ht="15" hidden="false" customHeight="false" outlineLevel="0" collapsed="false">
      <c r="A70" s="12" t="s">
        <v>1459</v>
      </c>
      <c r="B70" s="62" t="n">
        <f aca="false">COUNTIF(Integration!F7:F11,"RETURN")</f>
        <v>1</v>
      </c>
      <c r="C70" s="58" t="n">
        <v>1</v>
      </c>
      <c r="D70" s="62" t="n">
        <f aca="false">B70-C70</f>
        <v>0</v>
      </c>
      <c r="E70" s="23" t="str">
        <f aca="false">IF(ABS(D70)&lt;0.000001,"PASS","FAIL")</f>
        <v>PASS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52"/>
    <col collapsed="false" customWidth="true" hidden="false" outlineLevel="0" max="3" min="3" style="0" width="47"/>
    <col collapsed="false" customWidth="true" hidden="false" outlineLevel="0" max="4" min="4" style="0" width="23"/>
    <col collapsed="false" customWidth="true" hidden="false" outlineLevel="0" max="5" min="5" style="0" width="58"/>
  </cols>
  <sheetData>
    <row r="2" customFormat="false" ht="24" hidden="false" customHeight="true" outlineLevel="0" collapsed="false">
      <c r="A2" s="1" t="s">
        <v>1460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1461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1462</v>
      </c>
      <c r="B6" s="6" t="s">
        <v>1463</v>
      </c>
      <c r="C6" s="6" t="s">
        <v>1464</v>
      </c>
      <c r="D6" s="6" t="s">
        <v>1465</v>
      </c>
      <c r="E6" s="7" t="s">
        <v>1466</v>
      </c>
    </row>
    <row r="7" customFormat="false" ht="15" hidden="false" customHeight="false" outlineLevel="0" collapsed="false">
      <c r="A7" s="8" t="s">
        <v>105</v>
      </c>
      <c r="B7" s="8" t="s">
        <v>1467</v>
      </c>
      <c r="C7" s="8" t="s">
        <v>1468</v>
      </c>
      <c r="D7" s="8" t="s">
        <v>1469</v>
      </c>
      <c r="E7" s="8" t="s">
        <v>1470</v>
      </c>
    </row>
    <row r="8" customFormat="false" ht="15" hidden="false" customHeight="false" outlineLevel="0" collapsed="false">
      <c r="A8" s="9" t="s">
        <v>118</v>
      </c>
      <c r="B8" s="9" t="s">
        <v>1471</v>
      </c>
      <c r="C8" s="9" t="s">
        <v>1472</v>
      </c>
      <c r="D8" s="9" t="s">
        <v>1469</v>
      </c>
      <c r="E8" s="9" t="s">
        <v>1473</v>
      </c>
    </row>
    <row r="9" customFormat="false" ht="15" hidden="false" customHeight="false" outlineLevel="0" collapsed="false">
      <c r="A9" s="9" t="s">
        <v>125</v>
      </c>
      <c r="B9" s="9" t="s">
        <v>1474</v>
      </c>
      <c r="C9" s="9" t="s">
        <v>1475</v>
      </c>
      <c r="D9" s="9" t="s">
        <v>1469</v>
      </c>
      <c r="E9" s="9" t="s">
        <v>1476</v>
      </c>
    </row>
    <row r="10" customFormat="false" ht="15" hidden="false" customHeight="false" outlineLevel="0" collapsed="false">
      <c r="A10" s="9" t="s">
        <v>129</v>
      </c>
      <c r="B10" s="9" t="s">
        <v>1477</v>
      </c>
      <c r="C10" s="9" t="s">
        <v>1478</v>
      </c>
      <c r="D10" s="9" t="s">
        <v>1469</v>
      </c>
      <c r="E10" s="9" t="s">
        <v>1479</v>
      </c>
    </row>
    <row r="11" customFormat="false" ht="15" hidden="false" customHeight="false" outlineLevel="0" collapsed="false">
      <c r="A11" s="9" t="s">
        <v>154</v>
      </c>
      <c r="B11" s="9" t="s">
        <v>1480</v>
      </c>
      <c r="C11" s="9" t="s">
        <v>1481</v>
      </c>
      <c r="D11" s="9" t="s">
        <v>1469</v>
      </c>
      <c r="E11" s="9" t="s">
        <v>1482</v>
      </c>
    </row>
    <row r="12" customFormat="false" ht="15" hidden="false" customHeight="false" outlineLevel="0" collapsed="false">
      <c r="A12" s="9" t="s">
        <v>1483</v>
      </c>
      <c r="B12" s="9" t="s">
        <v>1484</v>
      </c>
      <c r="C12" s="9" t="s">
        <v>1485</v>
      </c>
      <c r="D12" s="9" t="s">
        <v>1469</v>
      </c>
      <c r="E12" s="9" t="s">
        <v>1486</v>
      </c>
    </row>
    <row r="13" customFormat="false" ht="15" hidden="false" customHeight="false" outlineLevel="0" collapsed="false">
      <c r="A13" s="9" t="s">
        <v>1487</v>
      </c>
      <c r="B13" s="9" t="s">
        <v>1488</v>
      </c>
      <c r="C13" s="9" t="s">
        <v>1489</v>
      </c>
      <c r="D13" s="9" t="s">
        <v>1490</v>
      </c>
      <c r="E13" s="9" t="s">
        <v>1491</v>
      </c>
    </row>
    <row r="14" customFormat="false" ht="15" hidden="false" customHeight="false" outlineLevel="0" collapsed="false">
      <c r="A14" s="12" t="s">
        <v>1492</v>
      </c>
      <c r="B14" s="12" t="s">
        <v>1493</v>
      </c>
      <c r="C14" s="12" t="s">
        <v>1494</v>
      </c>
      <c r="D14" s="12" t="s">
        <v>1495</v>
      </c>
      <c r="E14" s="12" t="s">
        <v>1496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